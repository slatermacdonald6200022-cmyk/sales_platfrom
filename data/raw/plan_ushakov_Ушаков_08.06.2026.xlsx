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ikhail Tsarev\New project\План продаж\05.2026\Ушаков\"/>
    </mc:Choice>
  </mc:AlternateContent>
  <xr:revisionPtr revIDLastSave="0" documentId="13_ncr:1_{464EB177-80C8-4FB6-9C8E-B901C1C5A3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4_Ушаков" sheetId="1" r:id="rId1"/>
    <sheet name="Лист1" sheetId="2" r:id="rId2"/>
  </sheets>
  <definedNames>
    <definedName name="_xlnm._FilterDatabase" localSheetId="0" hidden="1">'2024_Ушаков'!$A$5:$GD$126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2" l="1"/>
  <c r="O66" i="2"/>
  <c r="Q65" i="2"/>
  <c r="O65" i="2"/>
  <c r="Q64" i="2"/>
  <c r="O64" i="2"/>
  <c r="Q63" i="2"/>
  <c r="O63" i="2"/>
  <c r="Q62" i="2"/>
  <c r="O62" i="2"/>
  <c r="H62" i="2"/>
  <c r="G62" i="2"/>
  <c r="Q61" i="2"/>
  <c r="O61" i="2"/>
  <c r="H61" i="2"/>
  <c r="Q60" i="2"/>
  <c r="O60" i="2"/>
  <c r="H60" i="2"/>
  <c r="C60" i="2"/>
  <c r="Q59" i="2"/>
  <c r="O59" i="2"/>
  <c r="H59" i="2"/>
  <c r="G59" i="2"/>
  <c r="C59" i="2"/>
  <c r="Q58" i="2"/>
  <c r="O58" i="2"/>
  <c r="H58" i="2"/>
  <c r="G58" i="2"/>
  <c r="C58" i="2"/>
  <c r="Q57" i="2"/>
  <c r="O57" i="2"/>
  <c r="H57" i="2"/>
  <c r="G57" i="2"/>
  <c r="C57" i="2"/>
  <c r="Q56" i="2"/>
  <c r="O56" i="2"/>
  <c r="H56" i="2"/>
  <c r="G56" i="2"/>
  <c r="C56" i="2"/>
  <c r="Q55" i="2"/>
  <c r="O55" i="2"/>
  <c r="H55" i="2"/>
  <c r="G55" i="2"/>
  <c r="C55" i="2"/>
  <c r="Q54" i="2"/>
  <c r="O54" i="2"/>
  <c r="H54" i="2"/>
  <c r="G54" i="2"/>
  <c r="C54" i="2"/>
  <c r="Q53" i="2"/>
  <c r="O53" i="2"/>
  <c r="H53" i="2"/>
  <c r="G53" i="2"/>
  <c r="C53" i="2"/>
  <c r="Q52" i="2"/>
  <c r="O52" i="2"/>
  <c r="H52" i="2"/>
  <c r="G52" i="2"/>
  <c r="C52" i="2"/>
  <c r="Q51" i="2"/>
  <c r="O51" i="2"/>
  <c r="H51" i="2"/>
  <c r="G51" i="2"/>
  <c r="C51" i="2"/>
  <c r="Q50" i="2"/>
  <c r="O50" i="2"/>
  <c r="H50" i="2"/>
  <c r="G50" i="2"/>
  <c r="C50" i="2"/>
  <c r="Q49" i="2"/>
  <c r="O49" i="2"/>
  <c r="H49" i="2"/>
  <c r="G49" i="2"/>
  <c r="C49" i="2"/>
  <c r="Q48" i="2"/>
  <c r="O48" i="2"/>
  <c r="H48" i="2"/>
  <c r="G48" i="2"/>
  <c r="C48" i="2"/>
  <c r="Q47" i="2"/>
  <c r="O47" i="2"/>
  <c r="H47" i="2"/>
  <c r="G47" i="2"/>
  <c r="C47" i="2"/>
  <c r="Q46" i="2"/>
  <c r="O46" i="2"/>
  <c r="H46" i="2"/>
  <c r="G46" i="2"/>
  <c r="C46" i="2"/>
  <c r="Q45" i="2"/>
  <c r="O45" i="2"/>
  <c r="H45" i="2"/>
  <c r="G45" i="2"/>
  <c r="C45" i="2"/>
  <c r="Q44" i="2"/>
  <c r="O44" i="2"/>
  <c r="H44" i="2"/>
  <c r="G44" i="2"/>
  <c r="C44" i="2"/>
  <c r="Q43" i="2"/>
  <c r="O43" i="2"/>
  <c r="H43" i="2"/>
  <c r="G43" i="2"/>
  <c r="C43" i="2"/>
  <c r="Q42" i="2"/>
  <c r="O42" i="2"/>
  <c r="H42" i="2"/>
  <c r="G42" i="2"/>
  <c r="C42" i="2"/>
  <c r="Q41" i="2"/>
  <c r="O41" i="2"/>
  <c r="H41" i="2"/>
  <c r="G41" i="2"/>
  <c r="C41" i="2"/>
  <c r="Q40" i="2"/>
  <c r="O40" i="2"/>
  <c r="H40" i="2"/>
  <c r="G40" i="2"/>
  <c r="C40" i="2"/>
  <c r="Q39" i="2"/>
  <c r="O39" i="2"/>
  <c r="H39" i="2"/>
  <c r="G39" i="2"/>
  <c r="C39" i="2"/>
  <c r="Q38" i="2"/>
  <c r="O38" i="2"/>
  <c r="H38" i="2"/>
  <c r="G38" i="2"/>
  <c r="C38" i="2"/>
  <c r="Q37" i="2"/>
  <c r="O37" i="2"/>
  <c r="H37" i="2"/>
  <c r="G37" i="2"/>
  <c r="C37" i="2"/>
  <c r="Q36" i="2"/>
  <c r="O36" i="2"/>
  <c r="H36" i="2"/>
  <c r="G36" i="2"/>
  <c r="C36" i="2"/>
  <c r="Q35" i="2"/>
  <c r="O35" i="2"/>
  <c r="H35" i="2"/>
  <c r="G35" i="2"/>
  <c r="C35" i="2"/>
  <c r="Q34" i="2"/>
  <c r="O34" i="2"/>
  <c r="H34" i="2"/>
  <c r="G34" i="2"/>
  <c r="C34" i="2"/>
  <c r="Q33" i="2"/>
  <c r="O33" i="2"/>
  <c r="H33" i="2"/>
  <c r="G33" i="2"/>
  <c r="C33" i="2"/>
  <c r="Q32" i="2"/>
  <c r="O32" i="2"/>
  <c r="H32" i="2"/>
  <c r="G32" i="2"/>
  <c r="C32" i="2"/>
  <c r="Q31" i="2"/>
  <c r="O31" i="2"/>
  <c r="H31" i="2"/>
  <c r="G31" i="2"/>
  <c r="C31" i="2"/>
  <c r="Q30" i="2"/>
  <c r="O30" i="2"/>
  <c r="H30" i="2"/>
  <c r="G30" i="2"/>
  <c r="C30" i="2"/>
  <c r="Q29" i="2"/>
  <c r="O29" i="2"/>
  <c r="H29" i="2"/>
  <c r="G29" i="2"/>
  <c r="C29" i="2"/>
  <c r="Q28" i="2"/>
  <c r="O28" i="2"/>
  <c r="H28" i="2"/>
  <c r="G28" i="2"/>
  <c r="C28" i="2"/>
  <c r="Q27" i="2"/>
  <c r="O27" i="2"/>
  <c r="H27" i="2"/>
  <c r="G27" i="2"/>
  <c r="C27" i="2"/>
  <c r="Q26" i="2"/>
  <c r="O26" i="2"/>
  <c r="H26" i="2"/>
  <c r="G26" i="2"/>
  <c r="C26" i="2"/>
  <c r="Q25" i="2"/>
  <c r="O25" i="2"/>
  <c r="H25" i="2"/>
  <c r="G25" i="2"/>
  <c r="C25" i="2"/>
  <c r="Q24" i="2"/>
  <c r="O24" i="2"/>
  <c r="H24" i="2"/>
  <c r="G24" i="2"/>
  <c r="C24" i="2"/>
  <c r="Q23" i="2"/>
  <c r="O23" i="2"/>
  <c r="H23" i="2"/>
  <c r="G23" i="2"/>
  <c r="C23" i="2"/>
  <c r="Q22" i="2"/>
  <c r="O22" i="2"/>
  <c r="H22" i="2"/>
  <c r="G22" i="2"/>
  <c r="C22" i="2"/>
  <c r="Q21" i="2"/>
  <c r="O21" i="2"/>
  <c r="H21" i="2"/>
  <c r="C21" i="2"/>
  <c r="Q20" i="2"/>
  <c r="O20" i="2"/>
  <c r="H20" i="2"/>
  <c r="G20" i="2"/>
  <c r="C20" i="2"/>
  <c r="Q19" i="2"/>
  <c r="O19" i="2"/>
  <c r="H19" i="2"/>
  <c r="G19" i="2"/>
  <c r="C19" i="2"/>
  <c r="Q18" i="2"/>
  <c r="O18" i="2"/>
  <c r="H18" i="2"/>
  <c r="G18" i="2"/>
  <c r="C18" i="2"/>
  <c r="Q17" i="2"/>
  <c r="O17" i="2"/>
  <c r="H17" i="2"/>
  <c r="G17" i="2"/>
  <c r="C17" i="2"/>
  <c r="Q16" i="2"/>
  <c r="O16" i="2"/>
  <c r="H16" i="2"/>
  <c r="G16" i="2"/>
  <c r="C16" i="2"/>
  <c r="Q15" i="2"/>
  <c r="O15" i="2"/>
  <c r="H15" i="2"/>
  <c r="G15" i="2"/>
  <c r="C15" i="2"/>
  <c r="Q14" i="2"/>
  <c r="O14" i="2"/>
  <c r="H14" i="2"/>
  <c r="G14" i="2"/>
  <c r="C14" i="2"/>
  <c r="Q13" i="2"/>
  <c r="O13" i="2"/>
  <c r="H13" i="2"/>
  <c r="G13" i="2"/>
  <c r="C13" i="2"/>
  <c r="Q12" i="2"/>
  <c r="O12" i="2"/>
  <c r="H12" i="2"/>
  <c r="G12" i="2"/>
  <c r="C12" i="2"/>
  <c r="Q11" i="2"/>
  <c r="O11" i="2"/>
  <c r="H11" i="2"/>
  <c r="G11" i="2"/>
  <c r="C11" i="2"/>
  <c r="Q10" i="2"/>
  <c r="O10" i="2"/>
  <c r="H10" i="2"/>
  <c r="G10" i="2"/>
  <c r="C10" i="2"/>
  <c r="Q9" i="2"/>
  <c r="O9" i="2"/>
  <c r="H9" i="2"/>
  <c r="G9" i="2"/>
  <c r="C9" i="2"/>
  <c r="Q8" i="2"/>
  <c r="O8" i="2"/>
  <c r="H8" i="2"/>
  <c r="G8" i="2"/>
  <c r="C8" i="2"/>
  <c r="Q7" i="2"/>
  <c r="O7" i="2"/>
  <c r="H7" i="2"/>
  <c r="G7" i="2"/>
  <c r="C7" i="2"/>
  <c r="Q6" i="2"/>
  <c r="O6" i="2"/>
  <c r="H6" i="2"/>
  <c r="G6" i="2"/>
  <c r="C6" i="2"/>
  <c r="Q5" i="2"/>
  <c r="O5" i="2"/>
  <c r="H5" i="2"/>
  <c r="G5" i="2"/>
  <c r="C5" i="2"/>
  <c r="Q4" i="2"/>
  <c r="O4" i="2"/>
  <c r="H4" i="2"/>
  <c r="G4" i="2"/>
  <c r="C4" i="2"/>
  <c r="Q3" i="2"/>
  <c r="O3" i="2"/>
  <c r="G3" i="2"/>
  <c r="C3" i="2"/>
  <c r="CL138" i="1"/>
  <c r="CK138" i="1"/>
  <c r="CL137" i="1"/>
  <c r="CK137" i="1"/>
  <c r="CL136" i="1"/>
  <c r="CK136" i="1"/>
  <c r="CL135" i="1"/>
  <c r="CK135" i="1"/>
  <c r="CL134" i="1"/>
  <c r="CK134" i="1"/>
  <c r="CL133" i="1"/>
  <c r="CK133" i="1"/>
  <c r="CL132" i="1"/>
  <c r="CK132" i="1"/>
  <c r="CL131" i="1"/>
  <c r="CK131" i="1"/>
  <c r="I109" i="1"/>
  <c r="I108" i="1"/>
  <c r="I107" i="1"/>
  <c r="I106" i="1"/>
  <c r="I105" i="1"/>
  <c r="I104" i="1"/>
  <c r="I103" i="1"/>
  <c r="I102" i="1"/>
  <c r="I101" i="1"/>
  <c r="I100" i="1"/>
  <c r="I98" i="1"/>
  <c r="I97" i="1"/>
  <c r="I96" i="1"/>
  <c r="I95" i="1"/>
  <c r="I94" i="1"/>
  <c r="JM85" i="1"/>
  <c r="JN85" i="1" s="1"/>
  <c r="JJ85" i="1"/>
  <c r="JF85" i="1"/>
  <c r="JB85" i="1"/>
  <c r="IX85" i="1"/>
  <c r="IT85" i="1"/>
  <c r="IP85" i="1"/>
  <c r="IL85" i="1"/>
  <c r="IH85" i="1"/>
  <c r="ID85" i="1"/>
  <c r="HZ85" i="1"/>
  <c r="HV85" i="1"/>
  <c r="HR85" i="1"/>
  <c r="HO85" i="1"/>
  <c r="HP85" i="1" s="1"/>
  <c r="HL85" i="1"/>
  <c r="HH85" i="1"/>
  <c r="HD85" i="1"/>
  <c r="GZ85" i="1"/>
  <c r="GV85" i="1"/>
  <c r="GR85" i="1"/>
  <c r="GN85" i="1"/>
  <c r="GJ85" i="1"/>
  <c r="GF85" i="1"/>
  <c r="GB85" i="1"/>
  <c r="FX85" i="1"/>
  <c r="FT85" i="1"/>
  <c r="FQ85" i="1"/>
  <c r="FR85" i="1" s="1"/>
  <c r="FN85" i="1"/>
  <c r="FJ85" i="1"/>
  <c r="FF85" i="1"/>
  <c r="FB85" i="1"/>
  <c r="EX85" i="1"/>
  <c r="ET85" i="1"/>
  <c r="EP85" i="1"/>
  <c r="EL85" i="1"/>
  <c r="EH85" i="1"/>
  <c r="ED85" i="1"/>
  <c r="DZ85" i="1"/>
  <c r="DV85" i="1"/>
  <c r="JM81" i="1"/>
  <c r="JN81" i="1" s="1"/>
  <c r="JJ81" i="1"/>
  <c r="JF81" i="1"/>
  <c r="JB81" i="1"/>
  <c r="IX81" i="1"/>
  <c r="IT81" i="1"/>
  <c r="IP81" i="1"/>
  <c r="IL81" i="1"/>
  <c r="IH81" i="1"/>
  <c r="ID81" i="1"/>
  <c r="HZ81" i="1"/>
  <c r="HV81" i="1"/>
  <c r="HR81" i="1"/>
  <c r="HO81" i="1"/>
  <c r="HP81" i="1" s="1"/>
  <c r="HL81" i="1"/>
  <c r="HH81" i="1"/>
  <c r="HD81" i="1"/>
  <c r="GZ81" i="1"/>
  <c r="GV81" i="1"/>
  <c r="GR81" i="1"/>
  <c r="GN81" i="1"/>
  <c r="GJ81" i="1"/>
  <c r="GF81" i="1"/>
  <c r="GB81" i="1"/>
  <c r="FX81" i="1"/>
  <c r="FT81" i="1"/>
  <c r="FQ81" i="1"/>
  <c r="FR81" i="1" s="1"/>
  <c r="FN81" i="1"/>
  <c r="FJ81" i="1"/>
  <c r="FF81" i="1"/>
  <c r="FB81" i="1"/>
  <c r="EX81" i="1"/>
  <c r="ET81" i="1"/>
  <c r="EP81" i="1"/>
  <c r="EL81" i="1"/>
  <c r="EH81" i="1"/>
  <c r="ED81" i="1"/>
  <c r="DZ81" i="1"/>
  <c r="DV81" i="1"/>
  <c r="JN80" i="1"/>
  <c r="JM80" i="1"/>
  <c r="JJ80" i="1"/>
  <c r="JF80" i="1"/>
  <c r="JB80" i="1"/>
  <c r="IX80" i="1"/>
  <c r="IT80" i="1"/>
  <c r="IP80" i="1"/>
  <c r="IL80" i="1"/>
  <c r="IH80" i="1"/>
  <c r="ID80" i="1"/>
  <c r="HZ80" i="1"/>
  <c r="HV80" i="1"/>
  <c r="HR80" i="1"/>
  <c r="HO80" i="1"/>
  <c r="HP80" i="1" s="1"/>
  <c r="HL80" i="1"/>
  <c r="HH80" i="1"/>
  <c r="HD80" i="1"/>
  <c r="GZ80" i="1"/>
  <c r="GV80" i="1"/>
  <c r="GR80" i="1"/>
  <c r="GN80" i="1"/>
  <c r="GJ80" i="1"/>
  <c r="GF80" i="1"/>
  <c r="GB80" i="1"/>
  <c r="FX80" i="1"/>
  <c r="FT80" i="1"/>
  <c r="FQ80" i="1"/>
  <c r="FR80" i="1" s="1"/>
  <c r="FN80" i="1"/>
  <c r="FJ80" i="1"/>
  <c r="FF80" i="1"/>
  <c r="FB80" i="1"/>
  <c r="EX80" i="1"/>
  <c r="ET80" i="1"/>
  <c r="EP80" i="1"/>
  <c r="EL80" i="1"/>
  <c r="EH80" i="1"/>
  <c r="ED80" i="1"/>
  <c r="DZ80" i="1"/>
  <c r="DV80" i="1"/>
  <c r="JM79" i="1"/>
  <c r="JN79" i="1" s="1"/>
  <c r="JJ79" i="1"/>
  <c r="JF79" i="1"/>
  <c r="JB79" i="1"/>
  <c r="IX79" i="1"/>
  <c r="IT79" i="1"/>
  <c r="IP79" i="1"/>
  <c r="IL79" i="1"/>
  <c r="IH79" i="1"/>
  <c r="ID79" i="1"/>
  <c r="HZ79" i="1"/>
  <c r="HV79" i="1"/>
  <c r="HR79" i="1"/>
  <c r="HO79" i="1"/>
  <c r="HP79" i="1" s="1"/>
  <c r="HL79" i="1"/>
  <c r="HH79" i="1"/>
  <c r="HD79" i="1"/>
  <c r="GZ79" i="1"/>
  <c r="GV79" i="1"/>
  <c r="GR79" i="1"/>
  <c r="GN79" i="1"/>
  <c r="GJ79" i="1"/>
  <c r="GF79" i="1"/>
  <c r="GB79" i="1"/>
  <c r="FX79" i="1"/>
  <c r="FT79" i="1"/>
  <c r="FQ79" i="1"/>
  <c r="FR79" i="1" s="1"/>
  <c r="FN79" i="1"/>
  <c r="FJ79" i="1"/>
  <c r="FF79" i="1"/>
  <c r="FB79" i="1"/>
  <c r="EX79" i="1"/>
  <c r="ET79" i="1"/>
  <c r="EP79" i="1"/>
  <c r="EL79" i="1"/>
  <c r="EH79" i="1"/>
  <c r="ED79" i="1"/>
  <c r="DZ79" i="1"/>
  <c r="DV79" i="1"/>
  <c r="JM78" i="1"/>
  <c r="JN78" i="1" s="1"/>
  <c r="JJ78" i="1"/>
  <c r="JF78" i="1"/>
  <c r="JB78" i="1"/>
  <c r="IX78" i="1"/>
  <c r="IT78" i="1"/>
  <c r="IP78" i="1"/>
  <c r="IL78" i="1"/>
  <c r="IH78" i="1"/>
  <c r="ID78" i="1"/>
  <c r="HZ78" i="1"/>
  <c r="HV78" i="1"/>
  <c r="HR78" i="1"/>
  <c r="HO78" i="1"/>
  <c r="HP78" i="1" s="1"/>
  <c r="HL78" i="1"/>
  <c r="HH78" i="1"/>
  <c r="HD78" i="1"/>
  <c r="GZ78" i="1"/>
  <c r="GV78" i="1"/>
  <c r="GR78" i="1"/>
  <c r="GN78" i="1"/>
  <c r="GJ78" i="1"/>
  <c r="GF78" i="1"/>
  <c r="GB78" i="1"/>
  <c r="FX78" i="1"/>
  <c r="FT78" i="1"/>
  <c r="FQ78" i="1"/>
  <c r="FR78" i="1" s="1"/>
  <c r="FN78" i="1"/>
  <c r="FJ78" i="1"/>
  <c r="FF78" i="1"/>
  <c r="FB78" i="1"/>
  <c r="EX78" i="1"/>
  <c r="ET78" i="1"/>
  <c r="EP78" i="1"/>
  <c r="EL78" i="1"/>
  <c r="EH78" i="1"/>
  <c r="ED78" i="1"/>
  <c r="DZ78" i="1"/>
  <c r="DV78" i="1"/>
  <c r="JM77" i="1"/>
  <c r="JN77" i="1" s="1"/>
  <c r="JJ77" i="1"/>
  <c r="JF77" i="1"/>
  <c r="JB77" i="1"/>
  <c r="IX77" i="1"/>
  <c r="IT77" i="1"/>
  <c r="IP77" i="1"/>
  <c r="IL77" i="1"/>
  <c r="IH77" i="1"/>
  <c r="ID77" i="1"/>
  <c r="HZ77" i="1"/>
  <c r="HV77" i="1"/>
  <c r="HR77" i="1"/>
  <c r="HO77" i="1"/>
  <c r="HP77" i="1" s="1"/>
  <c r="HL77" i="1"/>
  <c r="HH77" i="1"/>
  <c r="HD77" i="1"/>
  <c r="GZ77" i="1"/>
  <c r="GV77" i="1"/>
  <c r="GR77" i="1"/>
  <c r="GN77" i="1"/>
  <c r="GJ77" i="1"/>
  <c r="GF77" i="1"/>
  <c r="GB77" i="1"/>
  <c r="FX77" i="1"/>
  <c r="FT77" i="1"/>
  <c r="FQ77" i="1"/>
  <c r="FR77" i="1" s="1"/>
  <c r="FN77" i="1"/>
  <c r="FJ77" i="1"/>
  <c r="FF77" i="1"/>
  <c r="FB77" i="1"/>
  <c r="EX77" i="1"/>
  <c r="ET77" i="1"/>
  <c r="EP77" i="1"/>
  <c r="EL77" i="1"/>
  <c r="EH77" i="1"/>
  <c r="ED77" i="1"/>
  <c r="DZ77" i="1"/>
  <c r="DV77" i="1"/>
  <c r="JM76" i="1"/>
  <c r="JN76" i="1" s="1"/>
  <c r="JJ76" i="1"/>
  <c r="JF76" i="1"/>
  <c r="JB76" i="1"/>
  <c r="IX76" i="1"/>
  <c r="IT76" i="1"/>
  <c r="IP76" i="1"/>
  <c r="IL76" i="1"/>
  <c r="IH76" i="1"/>
  <c r="ID76" i="1"/>
  <c r="HZ76" i="1"/>
  <c r="HV76" i="1"/>
  <c r="HR76" i="1"/>
  <c r="HO76" i="1"/>
  <c r="HP76" i="1" s="1"/>
  <c r="HL76" i="1"/>
  <c r="HH76" i="1"/>
  <c r="HD76" i="1"/>
  <c r="GZ76" i="1"/>
  <c r="GV76" i="1"/>
  <c r="GR76" i="1"/>
  <c r="GN76" i="1"/>
  <c r="GJ76" i="1"/>
  <c r="GF76" i="1"/>
  <c r="GB76" i="1"/>
  <c r="FX76" i="1"/>
  <c r="FT76" i="1"/>
  <c r="FQ76" i="1"/>
  <c r="FR76" i="1" s="1"/>
  <c r="FN76" i="1"/>
  <c r="FJ76" i="1"/>
  <c r="FF76" i="1"/>
  <c r="FB76" i="1"/>
  <c r="EX76" i="1"/>
  <c r="ET76" i="1"/>
  <c r="EP76" i="1"/>
  <c r="EL76" i="1"/>
  <c r="EH76" i="1"/>
  <c r="ED76" i="1"/>
  <c r="DZ76" i="1"/>
  <c r="DV76" i="1"/>
  <c r="JM75" i="1"/>
  <c r="JN75" i="1" s="1"/>
  <c r="JJ75" i="1"/>
  <c r="JF75" i="1"/>
  <c r="JB75" i="1"/>
  <c r="IX75" i="1"/>
  <c r="IT75" i="1"/>
  <c r="IP75" i="1"/>
  <c r="IL75" i="1"/>
  <c r="IH75" i="1"/>
  <c r="ID75" i="1"/>
  <c r="HZ75" i="1"/>
  <c r="HV75" i="1"/>
  <c r="HR75" i="1"/>
  <c r="HO75" i="1"/>
  <c r="HP75" i="1" s="1"/>
  <c r="HL75" i="1"/>
  <c r="HH75" i="1"/>
  <c r="HD75" i="1"/>
  <c r="GZ75" i="1"/>
  <c r="GV75" i="1"/>
  <c r="GR75" i="1"/>
  <c r="GN75" i="1"/>
  <c r="GJ75" i="1"/>
  <c r="GF75" i="1"/>
  <c r="GB75" i="1"/>
  <c r="FX75" i="1"/>
  <c r="FT75" i="1"/>
  <c r="FQ75" i="1"/>
  <c r="FR75" i="1" s="1"/>
  <c r="FN75" i="1"/>
  <c r="FJ75" i="1"/>
  <c r="FF75" i="1"/>
  <c r="FB75" i="1"/>
  <c r="EX75" i="1"/>
  <c r="ET75" i="1"/>
  <c r="EP75" i="1"/>
  <c r="EL75" i="1"/>
  <c r="EH75" i="1"/>
  <c r="ED75" i="1"/>
  <c r="DZ75" i="1"/>
  <c r="DV75" i="1"/>
  <c r="JM68" i="1"/>
  <c r="JN68" i="1" s="1"/>
  <c r="JJ68" i="1"/>
  <c r="JF68" i="1"/>
  <c r="JB68" i="1"/>
  <c r="IX68" i="1"/>
  <c r="IT68" i="1"/>
  <c r="IP68" i="1"/>
  <c r="IL68" i="1"/>
  <c r="IH68" i="1"/>
  <c r="ID68" i="1"/>
  <c r="HZ68" i="1"/>
  <c r="HV68" i="1"/>
  <c r="HR68" i="1"/>
  <c r="HO68" i="1"/>
  <c r="HP68" i="1" s="1"/>
  <c r="HL68" i="1"/>
  <c r="HH68" i="1"/>
  <c r="HD68" i="1"/>
  <c r="GZ68" i="1"/>
  <c r="GV68" i="1"/>
  <c r="GR68" i="1"/>
  <c r="GN68" i="1"/>
  <c r="GJ68" i="1"/>
  <c r="GF68" i="1"/>
  <c r="GB68" i="1"/>
  <c r="FX68" i="1"/>
  <c r="FT68" i="1"/>
  <c r="FQ68" i="1"/>
  <c r="FR68" i="1" s="1"/>
  <c r="ED68" i="1"/>
  <c r="DV68" i="1"/>
  <c r="JM67" i="1"/>
  <c r="JN67" i="1" s="1"/>
  <c r="JJ67" i="1"/>
  <c r="JF67" i="1"/>
  <c r="JB67" i="1"/>
  <c r="IX67" i="1"/>
  <c r="IT67" i="1"/>
  <c r="IP67" i="1"/>
  <c r="IL67" i="1"/>
  <c r="IH67" i="1"/>
  <c r="ID67" i="1"/>
  <c r="HZ67" i="1"/>
  <c r="HV67" i="1"/>
  <c r="HR67" i="1"/>
  <c r="HO67" i="1"/>
  <c r="HP67" i="1" s="1"/>
  <c r="HL67" i="1"/>
  <c r="HH67" i="1"/>
  <c r="HD67" i="1"/>
  <c r="GZ67" i="1"/>
  <c r="GV67" i="1"/>
  <c r="GR67" i="1"/>
  <c r="GN67" i="1"/>
  <c r="GJ67" i="1"/>
  <c r="GF67" i="1"/>
  <c r="GB67" i="1"/>
  <c r="FX67" i="1"/>
  <c r="FT67" i="1"/>
  <c r="FQ67" i="1"/>
  <c r="FR67" i="1" s="1"/>
  <c r="JM66" i="1"/>
  <c r="JN66" i="1" s="1"/>
  <c r="JJ66" i="1"/>
  <c r="JF66" i="1"/>
  <c r="JB66" i="1"/>
  <c r="IX66" i="1"/>
  <c r="IT66" i="1"/>
  <c r="IP66" i="1"/>
  <c r="IL66" i="1"/>
  <c r="IH66" i="1"/>
  <c r="ID66" i="1"/>
  <c r="HZ66" i="1"/>
  <c r="HV66" i="1"/>
  <c r="HR66" i="1"/>
  <c r="HP66" i="1"/>
  <c r="HO66" i="1"/>
  <c r="HL66" i="1"/>
  <c r="HH66" i="1"/>
  <c r="HD66" i="1"/>
  <c r="GZ66" i="1"/>
  <c r="GV66" i="1"/>
  <c r="GR66" i="1"/>
  <c r="GN66" i="1"/>
  <c r="GJ66" i="1"/>
  <c r="GF66" i="1"/>
  <c r="GB66" i="1"/>
  <c r="FX66" i="1"/>
  <c r="FT66" i="1"/>
  <c r="FQ66" i="1"/>
  <c r="FR66" i="1" s="1"/>
  <c r="FN66" i="1"/>
  <c r="FJ66" i="1"/>
  <c r="FF66" i="1"/>
  <c r="FB66" i="1"/>
  <c r="EX66" i="1"/>
  <c r="ET66" i="1"/>
  <c r="EP66" i="1"/>
  <c r="EL66" i="1"/>
  <c r="EH66" i="1"/>
  <c r="ED66" i="1"/>
  <c r="DZ66" i="1"/>
  <c r="DV66" i="1"/>
  <c r="JM65" i="1"/>
  <c r="JN65" i="1" s="1"/>
  <c r="JJ65" i="1"/>
  <c r="JF65" i="1"/>
  <c r="JB65" i="1"/>
  <c r="IX65" i="1"/>
  <c r="IT65" i="1"/>
  <c r="IP65" i="1"/>
  <c r="IL65" i="1"/>
  <c r="IH65" i="1"/>
  <c r="ID65" i="1"/>
  <c r="HZ65" i="1"/>
  <c r="HV65" i="1"/>
  <c r="HR65" i="1"/>
  <c r="HO65" i="1"/>
  <c r="HP65" i="1" s="1"/>
  <c r="HL65" i="1"/>
  <c r="HH65" i="1"/>
  <c r="HD65" i="1"/>
  <c r="GZ65" i="1"/>
  <c r="GV65" i="1"/>
  <c r="GR65" i="1"/>
  <c r="GN65" i="1"/>
  <c r="GJ65" i="1"/>
  <c r="GF65" i="1"/>
  <c r="GB65" i="1"/>
  <c r="FX65" i="1"/>
  <c r="FT65" i="1"/>
  <c r="FQ65" i="1"/>
  <c r="FR65" i="1" s="1"/>
  <c r="ED65" i="1"/>
  <c r="DZ65" i="1"/>
  <c r="DV65" i="1"/>
  <c r="DS65" i="1"/>
  <c r="DT65" i="1" s="1"/>
  <c r="DO65" i="1"/>
  <c r="DJ65" i="1"/>
  <c r="DE65" i="1"/>
  <c r="CZ65" i="1"/>
  <c r="CU65" i="1"/>
  <c r="CP65" i="1"/>
  <c r="CK65" i="1"/>
  <c r="CF65" i="1"/>
  <c r="CA65" i="1"/>
  <c r="BV65" i="1"/>
  <c r="BQ65" i="1"/>
  <c r="BL65" i="1"/>
  <c r="JM64" i="1"/>
  <c r="JN64" i="1" s="1"/>
  <c r="JJ64" i="1"/>
  <c r="JF64" i="1"/>
  <c r="JB64" i="1"/>
  <c r="IX64" i="1"/>
  <c r="IT64" i="1"/>
  <c r="IP64" i="1"/>
  <c r="IL64" i="1"/>
  <c r="IH64" i="1"/>
  <c r="ID64" i="1"/>
  <c r="HZ64" i="1"/>
  <c r="HV64" i="1"/>
  <c r="HR64" i="1"/>
  <c r="HO64" i="1"/>
  <c r="HP64" i="1" s="1"/>
  <c r="HL64" i="1"/>
  <c r="HH64" i="1"/>
  <c r="HD64" i="1"/>
  <c r="GZ64" i="1"/>
  <c r="GV64" i="1"/>
  <c r="GR64" i="1"/>
  <c r="GN64" i="1"/>
  <c r="GJ64" i="1"/>
  <c r="GF64" i="1"/>
  <c r="GB64" i="1"/>
  <c r="FX64" i="1"/>
  <c r="FT64" i="1"/>
  <c r="FQ64" i="1"/>
  <c r="FR64" i="1" s="1"/>
  <c r="EH64" i="1"/>
  <c r="ED64" i="1"/>
  <c r="DZ64" i="1"/>
  <c r="DV64" i="1"/>
  <c r="JM63" i="1"/>
  <c r="JN63" i="1" s="1"/>
  <c r="JJ63" i="1"/>
  <c r="JF63" i="1"/>
  <c r="JB63" i="1"/>
  <c r="IX63" i="1"/>
  <c r="IT63" i="1"/>
  <c r="IP63" i="1"/>
  <c r="IL63" i="1"/>
  <c r="IH63" i="1"/>
  <c r="ID63" i="1"/>
  <c r="HZ63" i="1"/>
  <c r="HV63" i="1"/>
  <c r="HR63" i="1"/>
  <c r="HO63" i="1"/>
  <c r="HP63" i="1" s="1"/>
  <c r="HL63" i="1"/>
  <c r="HH63" i="1"/>
  <c r="HD63" i="1"/>
  <c r="GZ63" i="1"/>
  <c r="GV63" i="1"/>
  <c r="GR63" i="1"/>
  <c r="GN63" i="1"/>
  <c r="GJ63" i="1"/>
  <c r="GF63" i="1"/>
  <c r="GB63" i="1"/>
  <c r="FX63" i="1"/>
  <c r="FT63" i="1"/>
  <c r="FQ63" i="1"/>
  <c r="FR63" i="1" s="1"/>
  <c r="FN63" i="1"/>
  <c r="FJ63" i="1"/>
  <c r="FF63" i="1"/>
  <c r="FB63" i="1"/>
  <c r="EX63" i="1"/>
  <c r="ET63" i="1"/>
  <c r="EP63" i="1"/>
  <c r="EL63" i="1"/>
  <c r="EH63" i="1"/>
  <c r="ED63" i="1"/>
  <c r="DZ63" i="1"/>
  <c r="DV63" i="1"/>
  <c r="JM62" i="1"/>
  <c r="JN62" i="1" s="1"/>
  <c r="JJ62" i="1"/>
  <c r="JF62" i="1"/>
  <c r="JB62" i="1"/>
  <c r="IX62" i="1"/>
  <c r="IT62" i="1"/>
  <c r="IP62" i="1"/>
  <c r="IL62" i="1"/>
  <c r="IH62" i="1"/>
  <c r="ID62" i="1"/>
  <c r="HZ62" i="1"/>
  <c r="HV62" i="1"/>
  <c r="HR62" i="1"/>
  <c r="HO62" i="1"/>
  <c r="HP62" i="1" s="1"/>
  <c r="HL62" i="1"/>
  <c r="HH62" i="1"/>
  <c r="HD62" i="1"/>
  <c r="GZ62" i="1"/>
  <c r="GV62" i="1"/>
  <c r="GR62" i="1"/>
  <c r="GN62" i="1"/>
  <c r="GJ62" i="1"/>
  <c r="GF62" i="1"/>
  <c r="GB62" i="1"/>
  <c r="FX62" i="1"/>
  <c r="FT62" i="1"/>
  <c r="FQ62" i="1"/>
  <c r="FR62" i="1" s="1"/>
  <c r="EL62" i="1"/>
  <c r="ED62" i="1"/>
  <c r="DZ62" i="1"/>
  <c r="DV62" i="1"/>
  <c r="DS62" i="1"/>
  <c r="DT62" i="1" s="1"/>
  <c r="DO62" i="1"/>
  <c r="DJ62" i="1"/>
  <c r="DE62" i="1"/>
  <c r="CZ62" i="1"/>
  <c r="CU62" i="1"/>
  <c r="CP62" i="1"/>
  <c r="CK62" i="1"/>
  <c r="CF62" i="1"/>
  <c r="CA62" i="1"/>
  <c r="BV62" i="1"/>
  <c r="BQ62" i="1"/>
  <c r="BL62" i="1"/>
  <c r="JM61" i="1"/>
  <c r="JN61" i="1" s="1"/>
  <c r="JJ61" i="1"/>
  <c r="JF61" i="1"/>
  <c r="JB61" i="1"/>
  <c r="IX61" i="1"/>
  <c r="IT61" i="1"/>
  <c r="IP61" i="1"/>
  <c r="IL61" i="1"/>
  <c r="IH61" i="1"/>
  <c r="ID61" i="1"/>
  <c r="HZ61" i="1"/>
  <c r="HV61" i="1"/>
  <c r="HR61" i="1"/>
  <c r="HO61" i="1"/>
  <c r="HP61" i="1" s="1"/>
  <c r="HL61" i="1"/>
  <c r="HH61" i="1"/>
  <c r="HD61" i="1"/>
  <c r="GZ61" i="1"/>
  <c r="GV61" i="1"/>
  <c r="GR61" i="1"/>
  <c r="GN61" i="1"/>
  <c r="GJ61" i="1"/>
  <c r="GF61" i="1"/>
  <c r="GB61" i="1"/>
  <c r="FX61" i="1"/>
  <c r="FT61" i="1"/>
  <c r="FQ61" i="1"/>
  <c r="FR61" i="1" s="1"/>
  <c r="EL61" i="1"/>
  <c r="ED61" i="1"/>
  <c r="DZ61" i="1"/>
  <c r="DV61" i="1"/>
  <c r="DS61" i="1"/>
  <c r="DT61" i="1" s="1"/>
  <c r="DO61" i="1"/>
  <c r="DJ61" i="1"/>
  <c r="DE61" i="1"/>
  <c r="CZ61" i="1"/>
  <c r="CU61" i="1"/>
  <c r="CP61" i="1"/>
  <c r="CK61" i="1"/>
  <c r="CF61" i="1"/>
  <c r="CA61" i="1"/>
  <c r="BV61" i="1"/>
  <c r="BQ61" i="1"/>
  <c r="BL61" i="1"/>
  <c r="JM60" i="1"/>
  <c r="JN60" i="1" s="1"/>
  <c r="JJ60" i="1"/>
  <c r="JF60" i="1"/>
  <c r="JB60" i="1"/>
  <c r="IX60" i="1"/>
  <c r="IT60" i="1"/>
  <c r="IP60" i="1"/>
  <c r="IL60" i="1"/>
  <c r="IH60" i="1"/>
  <c r="ID60" i="1"/>
  <c r="HZ60" i="1"/>
  <c r="HV60" i="1"/>
  <c r="HR60" i="1"/>
  <c r="HO60" i="1"/>
  <c r="HP60" i="1" s="1"/>
  <c r="HL60" i="1"/>
  <c r="HH60" i="1"/>
  <c r="HD60" i="1"/>
  <c r="GZ60" i="1"/>
  <c r="GV60" i="1"/>
  <c r="GR60" i="1"/>
  <c r="GN60" i="1"/>
  <c r="GJ60" i="1"/>
  <c r="GF60" i="1"/>
  <c r="GB60" i="1"/>
  <c r="FX60" i="1"/>
  <c r="FT60" i="1"/>
  <c r="FQ60" i="1"/>
  <c r="FR60" i="1" s="1"/>
  <c r="EL60" i="1"/>
  <c r="ED60" i="1"/>
  <c r="DZ60" i="1"/>
  <c r="DV60" i="1"/>
  <c r="DS60" i="1"/>
  <c r="DT60" i="1" s="1"/>
  <c r="DO60" i="1"/>
  <c r="DJ60" i="1"/>
  <c r="DE60" i="1"/>
  <c r="CZ60" i="1"/>
  <c r="CU60" i="1"/>
  <c r="CP60" i="1"/>
  <c r="CK60" i="1"/>
  <c r="CF60" i="1"/>
  <c r="CA60" i="1"/>
  <c r="BV60" i="1"/>
  <c r="BQ60" i="1"/>
  <c r="BL60" i="1"/>
  <c r="JM59" i="1"/>
  <c r="JN59" i="1" s="1"/>
  <c r="JJ59" i="1"/>
  <c r="JF59" i="1"/>
  <c r="JB59" i="1"/>
  <c r="IX59" i="1"/>
  <c r="IT59" i="1"/>
  <c r="IP59" i="1"/>
  <c r="IL59" i="1"/>
  <c r="IH59" i="1"/>
  <c r="ID59" i="1"/>
  <c r="HZ59" i="1"/>
  <c r="HV59" i="1"/>
  <c r="HR59" i="1"/>
  <c r="HO59" i="1"/>
  <c r="HP59" i="1" s="1"/>
  <c r="HL59" i="1"/>
  <c r="HH59" i="1"/>
  <c r="HD59" i="1"/>
  <c r="GZ59" i="1"/>
  <c r="GV59" i="1"/>
  <c r="GR59" i="1"/>
  <c r="GN59" i="1"/>
  <c r="GJ59" i="1"/>
  <c r="GF59" i="1"/>
  <c r="GB59" i="1"/>
  <c r="FX59" i="1"/>
  <c r="FT59" i="1"/>
  <c r="FQ59" i="1"/>
  <c r="FR59" i="1" s="1"/>
  <c r="FN59" i="1"/>
  <c r="FJ59" i="1"/>
  <c r="FF59" i="1"/>
  <c r="FB59" i="1"/>
  <c r="EX59" i="1"/>
  <c r="ET59" i="1"/>
  <c r="EP59" i="1"/>
  <c r="EL59" i="1"/>
  <c r="EH59" i="1"/>
  <c r="ED59" i="1"/>
  <c r="DZ59" i="1"/>
  <c r="DV59" i="1"/>
  <c r="DS59" i="1"/>
  <c r="DT59" i="1" s="1"/>
  <c r="DO59" i="1"/>
  <c r="DJ59" i="1"/>
  <c r="DE59" i="1"/>
  <c r="CZ59" i="1"/>
  <c r="CU59" i="1"/>
  <c r="CP59" i="1"/>
  <c r="CK59" i="1"/>
  <c r="CF59" i="1"/>
  <c r="CA59" i="1"/>
  <c r="BV59" i="1"/>
  <c r="BQ59" i="1"/>
  <c r="BL59" i="1"/>
  <c r="JM58" i="1"/>
  <c r="JN58" i="1" s="1"/>
  <c r="JJ58" i="1"/>
  <c r="JF58" i="1"/>
  <c r="JB58" i="1"/>
  <c r="IX58" i="1"/>
  <c r="IT58" i="1"/>
  <c r="IP58" i="1"/>
  <c r="IL58" i="1"/>
  <c r="IH58" i="1"/>
  <c r="ID58" i="1"/>
  <c r="HZ58" i="1"/>
  <c r="HV58" i="1"/>
  <c r="HR58" i="1"/>
  <c r="HO58" i="1"/>
  <c r="HP58" i="1" s="1"/>
  <c r="HL58" i="1"/>
  <c r="HH58" i="1"/>
  <c r="HD58" i="1"/>
  <c r="GZ58" i="1"/>
  <c r="GV58" i="1"/>
  <c r="GR58" i="1"/>
  <c r="GN58" i="1"/>
  <c r="GJ58" i="1"/>
  <c r="GF58" i="1"/>
  <c r="GB58" i="1"/>
  <c r="FX58" i="1"/>
  <c r="FT58" i="1"/>
  <c r="FQ58" i="1"/>
  <c r="FR58" i="1" s="1"/>
  <c r="FN58" i="1"/>
  <c r="FJ58" i="1"/>
  <c r="FF58" i="1"/>
  <c r="FB58" i="1"/>
  <c r="EX58" i="1"/>
  <c r="ET58" i="1"/>
  <c r="EP58" i="1"/>
  <c r="EL58" i="1"/>
  <c r="EH58" i="1"/>
  <c r="ED58" i="1"/>
  <c r="DZ58" i="1"/>
  <c r="DV58" i="1"/>
  <c r="DS58" i="1"/>
  <c r="DT58" i="1" s="1"/>
  <c r="DO58" i="1"/>
  <c r="DJ58" i="1"/>
  <c r="DE58" i="1"/>
  <c r="CZ58" i="1"/>
  <c r="CU58" i="1"/>
  <c r="CP58" i="1"/>
  <c r="CK58" i="1"/>
  <c r="CF58" i="1"/>
  <c r="CA58" i="1"/>
  <c r="BV58" i="1"/>
  <c r="BQ58" i="1"/>
  <c r="BL58" i="1"/>
  <c r="JM57" i="1"/>
  <c r="JN57" i="1" s="1"/>
  <c r="JJ57" i="1"/>
  <c r="JF57" i="1"/>
  <c r="JB57" i="1"/>
  <c r="IX57" i="1"/>
  <c r="IT57" i="1"/>
  <c r="IP57" i="1"/>
  <c r="IL57" i="1"/>
  <c r="IH57" i="1"/>
  <c r="ID57" i="1"/>
  <c r="HZ57" i="1"/>
  <c r="HV57" i="1"/>
  <c r="HR57" i="1"/>
  <c r="HO57" i="1"/>
  <c r="HP57" i="1" s="1"/>
  <c r="HL57" i="1"/>
  <c r="HH57" i="1"/>
  <c r="HD57" i="1"/>
  <c r="GZ57" i="1"/>
  <c r="GV57" i="1"/>
  <c r="GR57" i="1"/>
  <c r="GN57" i="1"/>
  <c r="GJ57" i="1"/>
  <c r="GF57" i="1"/>
  <c r="GB57" i="1"/>
  <c r="FX57" i="1"/>
  <c r="FT57" i="1"/>
  <c r="FQ57" i="1"/>
  <c r="FR57" i="1" s="1"/>
  <c r="DS57" i="1"/>
  <c r="DT57" i="1" s="1"/>
  <c r="DO57" i="1"/>
  <c r="DJ57" i="1"/>
  <c r="DE57" i="1"/>
  <c r="CZ57" i="1"/>
  <c r="CU57" i="1"/>
  <c r="CP57" i="1"/>
  <c r="CK57" i="1"/>
  <c r="CF57" i="1"/>
  <c r="CA57" i="1"/>
  <c r="BV57" i="1"/>
  <c r="BQ57" i="1"/>
  <c r="BL57" i="1"/>
  <c r="JM56" i="1"/>
  <c r="JN56" i="1" s="1"/>
  <c r="JJ56" i="1"/>
  <c r="JF56" i="1"/>
  <c r="JB56" i="1"/>
  <c r="IX56" i="1"/>
  <c r="IT56" i="1"/>
  <c r="IP56" i="1"/>
  <c r="IL56" i="1"/>
  <c r="IH56" i="1"/>
  <c r="ID56" i="1"/>
  <c r="HZ56" i="1"/>
  <c r="HV56" i="1"/>
  <c r="HR56" i="1"/>
  <c r="HO56" i="1"/>
  <c r="HP56" i="1" s="1"/>
  <c r="HL56" i="1"/>
  <c r="HH56" i="1"/>
  <c r="HD56" i="1"/>
  <c r="GZ56" i="1"/>
  <c r="GV56" i="1"/>
  <c r="GR56" i="1"/>
  <c r="GN56" i="1"/>
  <c r="GJ56" i="1"/>
  <c r="GF56" i="1"/>
  <c r="GB56" i="1"/>
  <c r="FX56" i="1"/>
  <c r="FT56" i="1"/>
  <c r="FQ56" i="1"/>
  <c r="FR56" i="1" s="1"/>
  <c r="FN56" i="1"/>
  <c r="FJ56" i="1"/>
  <c r="FF56" i="1"/>
  <c r="FB56" i="1"/>
  <c r="EX56" i="1"/>
  <c r="ET56" i="1"/>
  <c r="EP56" i="1"/>
  <c r="EL56" i="1"/>
  <c r="EH56" i="1"/>
  <c r="ED56" i="1"/>
  <c r="DZ56" i="1"/>
  <c r="DV56" i="1"/>
  <c r="DT56" i="1"/>
  <c r="DS56" i="1"/>
  <c r="DO56" i="1"/>
  <c r="DJ56" i="1"/>
  <c r="DE56" i="1"/>
  <c r="CZ56" i="1"/>
  <c r="CU56" i="1"/>
  <c r="CP56" i="1"/>
  <c r="CK56" i="1"/>
  <c r="CF56" i="1"/>
  <c r="CA56" i="1"/>
  <c r="BV56" i="1"/>
  <c r="BQ56" i="1"/>
  <c r="BL56" i="1"/>
  <c r="JM55" i="1"/>
  <c r="JN55" i="1" s="1"/>
  <c r="JJ55" i="1"/>
  <c r="JF55" i="1"/>
  <c r="JB55" i="1"/>
  <c r="IX55" i="1"/>
  <c r="IT55" i="1"/>
  <c r="IP55" i="1"/>
  <c r="IL55" i="1"/>
  <c r="IH55" i="1"/>
  <c r="ID55" i="1"/>
  <c r="HZ55" i="1"/>
  <c r="HV55" i="1"/>
  <c r="HR55" i="1"/>
  <c r="HO55" i="1"/>
  <c r="HP55" i="1" s="1"/>
  <c r="HL55" i="1"/>
  <c r="HH55" i="1"/>
  <c r="HD55" i="1"/>
  <c r="GZ55" i="1"/>
  <c r="GV55" i="1"/>
  <c r="GR55" i="1"/>
  <c r="GN55" i="1"/>
  <c r="GJ55" i="1"/>
  <c r="GF55" i="1"/>
  <c r="GB55" i="1"/>
  <c r="FX55" i="1"/>
  <c r="FT55" i="1"/>
  <c r="FQ55" i="1"/>
  <c r="FR55" i="1" s="1"/>
  <c r="EL55" i="1"/>
  <c r="EH55" i="1"/>
  <c r="ED55" i="1"/>
  <c r="DZ55" i="1"/>
  <c r="DV55" i="1"/>
  <c r="DS55" i="1"/>
  <c r="DT55" i="1" s="1"/>
  <c r="DO55" i="1"/>
  <c r="DJ55" i="1"/>
  <c r="DE55" i="1"/>
  <c r="CZ55" i="1"/>
  <c r="CU55" i="1"/>
  <c r="CP55" i="1"/>
  <c r="CK55" i="1"/>
  <c r="CF55" i="1"/>
  <c r="CA55" i="1"/>
  <c r="BV55" i="1"/>
  <c r="BQ55" i="1"/>
  <c r="BL55" i="1"/>
  <c r="JM54" i="1"/>
  <c r="JN54" i="1" s="1"/>
  <c r="JJ54" i="1"/>
  <c r="JF54" i="1"/>
  <c r="JB54" i="1"/>
  <c r="IX54" i="1"/>
  <c r="IT54" i="1"/>
  <c r="IP54" i="1"/>
  <c r="IL54" i="1"/>
  <c r="IH54" i="1"/>
  <c r="ID54" i="1"/>
  <c r="HZ54" i="1"/>
  <c r="HV54" i="1"/>
  <c r="HR54" i="1"/>
  <c r="HO54" i="1"/>
  <c r="HP54" i="1" s="1"/>
  <c r="HL54" i="1"/>
  <c r="HH54" i="1"/>
  <c r="HD54" i="1"/>
  <c r="GZ54" i="1"/>
  <c r="GV54" i="1"/>
  <c r="GR54" i="1"/>
  <c r="GN54" i="1"/>
  <c r="GJ54" i="1"/>
  <c r="GF54" i="1"/>
  <c r="GB54" i="1"/>
  <c r="FX54" i="1"/>
  <c r="FT54" i="1"/>
  <c r="FQ54" i="1"/>
  <c r="FR54" i="1" s="1"/>
  <c r="FN54" i="1"/>
  <c r="FJ54" i="1"/>
  <c r="FF54" i="1"/>
  <c r="FB54" i="1"/>
  <c r="EX54" i="1"/>
  <c r="ET54" i="1"/>
  <c r="EP54" i="1"/>
  <c r="EL54" i="1"/>
  <c r="EH54" i="1"/>
  <c r="ED54" i="1"/>
  <c r="DZ54" i="1"/>
  <c r="DV54" i="1"/>
  <c r="DS54" i="1"/>
  <c r="DT54" i="1" s="1"/>
  <c r="DO54" i="1"/>
  <c r="DJ54" i="1"/>
  <c r="DE54" i="1"/>
  <c r="CZ54" i="1"/>
  <c r="CU54" i="1"/>
  <c r="CP54" i="1"/>
  <c r="CK54" i="1"/>
  <c r="CF54" i="1"/>
  <c r="CA54" i="1"/>
  <c r="BV54" i="1"/>
  <c r="BQ54" i="1"/>
  <c r="BL54" i="1"/>
  <c r="JM53" i="1"/>
  <c r="JN53" i="1" s="1"/>
  <c r="JJ53" i="1"/>
  <c r="JF53" i="1"/>
  <c r="JB53" i="1"/>
  <c r="IX53" i="1"/>
  <c r="IT53" i="1"/>
  <c r="IP53" i="1"/>
  <c r="IL53" i="1"/>
  <c r="IH53" i="1"/>
  <c r="ID53" i="1"/>
  <c r="HZ53" i="1"/>
  <c r="HV53" i="1"/>
  <c r="HR53" i="1"/>
  <c r="HO53" i="1"/>
  <c r="HP53" i="1" s="1"/>
  <c r="HL53" i="1"/>
  <c r="HH53" i="1"/>
  <c r="HD53" i="1"/>
  <c r="GZ53" i="1"/>
  <c r="GV53" i="1"/>
  <c r="GR53" i="1"/>
  <c r="GN53" i="1"/>
  <c r="GJ53" i="1"/>
  <c r="GF53" i="1"/>
  <c r="GB53" i="1"/>
  <c r="FX53" i="1"/>
  <c r="FT53" i="1"/>
  <c r="FQ53" i="1"/>
  <c r="FR53" i="1" s="1"/>
  <c r="DS53" i="1"/>
  <c r="DT53" i="1" s="1"/>
  <c r="DO53" i="1"/>
  <c r="DJ53" i="1"/>
  <c r="DE53" i="1"/>
  <c r="CZ53" i="1"/>
  <c r="CU53" i="1"/>
  <c r="CP53" i="1"/>
  <c r="CK53" i="1"/>
  <c r="CF53" i="1"/>
  <c r="CA53" i="1"/>
  <c r="BV53" i="1"/>
  <c r="BQ53" i="1"/>
  <c r="BL53" i="1"/>
  <c r="JM52" i="1"/>
  <c r="JN52" i="1" s="1"/>
  <c r="JJ52" i="1"/>
  <c r="JF52" i="1"/>
  <c r="JB52" i="1"/>
  <c r="IX52" i="1"/>
  <c r="IT52" i="1"/>
  <c r="IP52" i="1"/>
  <c r="IL52" i="1"/>
  <c r="IH52" i="1"/>
  <c r="ID52" i="1"/>
  <c r="HZ52" i="1"/>
  <c r="HV52" i="1"/>
  <c r="HR52" i="1"/>
  <c r="HO52" i="1"/>
  <c r="HP52" i="1" s="1"/>
  <c r="HL52" i="1"/>
  <c r="HH52" i="1"/>
  <c r="HD52" i="1"/>
  <c r="GZ52" i="1"/>
  <c r="GV52" i="1"/>
  <c r="GR52" i="1"/>
  <c r="GN52" i="1"/>
  <c r="GJ52" i="1"/>
  <c r="GF52" i="1"/>
  <c r="GB52" i="1"/>
  <c r="FX52" i="1"/>
  <c r="FT52" i="1"/>
  <c r="FQ52" i="1"/>
  <c r="FR52" i="1" s="1"/>
  <c r="DV52" i="1"/>
  <c r="DS52" i="1"/>
  <c r="DT52" i="1" s="1"/>
  <c r="DO52" i="1"/>
  <c r="DJ52" i="1"/>
  <c r="DE52" i="1"/>
  <c r="CZ52" i="1"/>
  <c r="CU52" i="1"/>
  <c r="CP52" i="1"/>
  <c r="CK52" i="1"/>
  <c r="CF52" i="1"/>
  <c r="CA52" i="1"/>
  <c r="BV52" i="1"/>
  <c r="BQ52" i="1"/>
  <c r="BL52" i="1"/>
  <c r="JM51" i="1"/>
  <c r="JN51" i="1" s="1"/>
  <c r="JJ51" i="1"/>
  <c r="JF51" i="1"/>
  <c r="JB51" i="1"/>
  <c r="IX51" i="1"/>
  <c r="IT51" i="1"/>
  <c r="IP51" i="1"/>
  <c r="IL51" i="1"/>
  <c r="IH51" i="1"/>
  <c r="ID51" i="1"/>
  <c r="HZ51" i="1"/>
  <c r="HV51" i="1"/>
  <c r="HR51" i="1"/>
  <c r="HO51" i="1"/>
  <c r="HP51" i="1" s="1"/>
  <c r="HL51" i="1"/>
  <c r="HH51" i="1"/>
  <c r="HD51" i="1"/>
  <c r="GZ51" i="1"/>
  <c r="GV51" i="1"/>
  <c r="GR51" i="1"/>
  <c r="GN51" i="1"/>
  <c r="GJ51" i="1"/>
  <c r="GF51" i="1"/>
  <c r="GB51" i="1"/>
  <c r="FX51" i="1"/>
  <c r="FT51" i="1"/>
  <c r="FQ51" i="1"/>
  <c r="FR51" i="1" s="1"/>
  <c r="FN51" i="1"/>
  <c r="FJ51" i="1"/>
  <c r="FF51" i="1"/>
  <c r="FB51" i="1"/>
  <c r="EX51" i="1"/>
  <c r="ET51" i="1"/>
  <c r="EP51" i="1"/>
  <c r="EL51" i="1"/>
  <c r="EH51" i="1"/>
  <c r="ED51" i="1"/>
  <c r="DZ51" i="1"/>
  <c r="DV51" i="1"/>
  <c r="DS51" i="1"/>
  <c r="DT51" i="1" s="1"/>
  <c r="DO51" i="1"/>
  <c r="DJ51" i="1"/>
  <c r="DE51" i="1"/>
  <c r="CZ51" i="1"/>
  <c r="CU51" i="1"/>
  <c r="CP51" i="1"/>
  <c r="CK51" i="1"/>
  <c r="CF51" i="1"/>
  <c r="CA51" i="1"/>
  <c r="BV51" i="1"/>
  <c r="BQ51" i="1"/>
  <c r="BL51" i="1"/>
  <c r="JM50" i="1"/>
  <c r="JN50" i="1" s="1"/>
  <c r="JJ50" i="1"/>
  <c r="JF50" i="1"/>
  <c r="JB50" i="1"/>
  <c r="IX50" i="1"/>
  <c r="IT50" i="1"/>
  <c r="IP50" i="1"/>
  <c r="IL50" i="1"/>
  <c r="IH50" i="1"/>
  <c r="ID50" i="1"/>
  <c r="HZ50" i="1"/>
  <c r="HV50" i="1"/>
  <c r="HR50" i="1"/>
  <c r="HO50" i="1"/>
  <c r="HP50" i="1" s="1"/>
  <c r="HL50" i="1"/>
  <c r="HH50" i="1"/>
  <c r="HD50" i="1"/>
  <c r="GZ50" i="1"/>
  <c r="GV50" i="1"/>
  <c r="GR50" i="1"/>
  <c r="GN50" i="1"/>
  <c r="GJ50" i="1"/>
  <c r="GF50" i="1"/>
  <c r="GB50" i="1"/>
  <c r="FX50" i="1"/>
  <c r="FT50" i="1"/>
  <c r="FQ50" i="1"/>
  <c r="FR50" i="1" s="1"/>
  <c r="ET50" i="1"/>
  <c r="EP50" i="1"/>
  <c r="DV50" i="1"/>
  <c r="DS50" i="1"/>
  <c r="DT50" i="1" s="1"/>
  <c r="DO50" i="1"/>
  <c r="DJ50" i="1"/>
  <c r="DE50" i="1"/>
  <c r="CZ50" i="1"/>
  <c r="CU50" i="1"/>
  <c r="CP50" i="1"/>
  <c r="CK50" i="1"/>
  <c r="CF50" i="1"/>
  <c r="CA50" i="1"/>
  <c r="BV50" i="1"/>
  <c r="BQ50" i="1"/>
  <c r="BL50" i="1"/>
  <c r="JM49" i="1"/>
  <c r="JN49" i="1" s="1"/>
  <c r="JJ49" i="1"/>
  <c r="JF49" i="1"/>
  <c r="JB49" i="1"/>
  <c r="IX49" i="1"/>
  <c r="IT49" i="1"/>
  <c r="IP49" i="1"/>
  <c r="IL49" i="1"/>
  <c r="IH49" i="1"/>
  <c r="ID49" i="1"/>
  <c r="HZ49" i="1"/>
  <c r="HV49" i="1"/>
  <c r="HR49" i="1"/>
  <c r="HO49" i="1"/>
  <c r="HP49" i="1" s="1"/>
  <c r="HL49" i="1"/>
  <c r="HH49" i="1"/>
  <c r="HD49" i="1"/>
  <c r="GZ49" i="1"/>
  <c r="GV49" i="1"/>
  <c r="GR49" i="1"/>
  <c r="GN49" i="1"/>
  <c r="GJ49" i="1"/>
  <c r="GF49" i="1"/>
  <c r="GB49" i="1"/>
  <c r="FX49" i="1"/>
  <c r="FT49" i="1"/>
  <c r="FQ49" i="1"/>
  <c r="FR49" i="1" s="1"/>
  <c r="FN49" i="1"/>
  <c r="FJ49" i="1"/>
  <c r="FF49" i="1"/>
  <c r="FB49" i="1"/>
  <c r="EX49" i="1"/>
  <c r="ET49" i="1"/>
  <c r="EP49" i="1"/>
  <c r="EL49" i="1"/>
  <c r="EH49" i="1"/>
  <c r="ED49" i="1"/>
  <c r="DZ49" i="1"/>
  <c r="DV49" i="1"/>
  <c r="DS49" i="1"/>
  <c r="DT49" i="1" s="1"/>
  <c r="DO49" i="1"/>
  <c r="DJ49" i="1"/>
  <c r="DE49" i="1"/>
  <c r="CZ49" i="1"/>
  <c r="CU49" i="1"/>
  <c r="CP49" i="1"/>
  <c r="CK49" i="1"/>
  <c r="CF49" i="1"/>
  <c r="CA49" i="1"/>
  <c r="BV49" i="1"/>
  <c r="BQ49" i="1"/>
  <c r="BL49" i="1"/>
  <c r="JM48" i="1"/>
  <c r="JN48" i="1" s="1"/>
  <c r="JJ48" i="1"/>
  <c r="JF48" i="1"/>
  <c r="JB48" i="1"/>
  <c r="IX48" i="1"/>
  <c r="IT48" i="1"/>
  <c r="IP48" i="1"/>
  <c r="IL48" i="1"/>
  <c r="IH48" i="1"/>
  <c r="ID48" i="1"/>
  <c r="HZ48" i="1"/>
  <c r="HV48" i="1"/>
  <c r="HR48" i="1"/>
  <c r="HO48" i="1"/>
  <c r="HP48" i="1" s="1"/>
  <c r="HL48" i="1"/>
  <c r="HH48" i="1"/>
  <c r="HD48" i="1"/>
  <c r="GZ48" i="1"/>
  <c r="GV48" i="1"/>
  <c r="GR48" i="1"/>
  <c r="GN48" i="1"/>
  <c r="GJ48" i="1"/>
  <c r="GF48" i="1"/>
  <c r="GB48" i="1"/>
  <c r="FX48" i="1"/>
  <c r="FT48" i="1"/>
  <c r="FQ48" i="1"/>
  <c r="FR48" i="1" s="1"/>
  <c r="FN48" i="1"/>
  <c r="FJ48" i="1"/>
  <c r="FF48" i="1"/>
  <c r="FB48" i="1"/>
  <c r="EX48" i="1"/>
  <c r="ET48" i="1"/>
  <c r="EP48" i="1"/>
  <c r="EL48" i="1"/>
  <c r="EH48" i="1"/>
  <c r="ED48" i="1"/>
  <c r="DZ48" i="1"/>
  <c r="DV48" i="1"/>
  <c r="DS48" i="1"/>
  <c r="DT48" i="1" s="1"/>
  <c r="DO48" i="1"/>
  <c r="DJ48" i="1"/>
  <c r="DE48" i="1"/>
  <c r="CZ48" i="1"/>
  <c r="CU48" i="1"/>
  <c r="CP48" i="1"/>
  <c r="CK48" i="1"/>
  <c r="CF48" i="1"/>
  <c r="CA48" i="1"/>
  <c r="BV48" i="1"/>
  <c r="BQ48" i="1"/>
  <c r="BL48" i="1"/>
  <c r="BI48" i="1"/>
  <c r="BJ48" i="1" s="1"/>
  <c r="JM47" i="1"/>
  <c r="JN47" i="1" s="1"/>
  <c r="JJ47" i="1"/>
  <c r="JF47" i="1"/>
  <c r="JB47" i="1"/>
  <c r="IX47" i="1"/>
  <c r="IT47" i="1"/>
  <c r="IP47" i="1"/>
  <c r="IL47" i="1"/>
  <c r="IH47" i="1"/>
  <c r="ID47" i="1"/>
  <c r="HZ47" i="1"/>
  <c r="HV47" i="1"/>
  <c r="HR47" i="1"/>
  <c r="HO47" i="1"/>
  <c r="HP47" i="1" s="1"/>
  <c r="HL47" i="1"/>
  <c r="HH47" i="1"/>
  <c r="HD47" i="1"/>
  <c r="GZ47" i="1"/>
  <c r="GV47" i="1"/>
  <c r="GR47" i="1"/>
  <c r="GN47" i="1"/>
  <c r="GJ47" i="1"/>
  <c r="GF47" i="1"/>
  <c r="GB47" i="1"/>
  <c r="FX47" i="1"/>
  <c r="FT47" i="1"/>
  <c r="FQ47" i="1"/>
  <c r="FR47" i="1" s="1"/>
  <c r="FN47" i="1"/>
  <c r="FJ47" i="1"/>
  <c r="FF47" i="1"/>
  <c r="FB47" i="1"/>
  <c r="EX47" i="1"/>
  <c r="ET47" i="1"/>
  <c r="EP47" i="1"/>
  <c r="EL47" i="1"/>
  <c r="EH47" i="1"/>
  <c r="ED47" i="1"/>
  <c r="DZ47" i="1"/>
  <c r="DV47" i="1"/>
  <c r="DS47" i="1"/>
  <c r="DT47" i="1" s="1"/>
  <c r="DO47" i="1"/>
  <c r="DJ47" i="1"/>
  <c r="DE47" i="1"/>
  <c r="CZ47" i="1"/>
  <c r="CU47" i="1"/>
  <c r="CP47" i="1"/>
  <c r="CK47" i="1"/>
  <c r="CF47" i="1"/>
  <c r="CA47" i="1"/>
  <c r="BV47" i="1"/>
  <c r="BQ47" i="1"/>
  <c r="BL47" i="1"/>
  <c r="BI47" i="1"/>
  <c r="BJ47" i="1" s="1"/>
  <c r="JM46" i="1"/>
  <c r="JN46" i="1" s="1"/>
  <c r="JJ46" i="1"/>
  <c r="JF46" i="1"/>
  <c r="JB46" i="1"/>
  <c r="IX46" i="1"/>
  <c r="IT46" i="1"/>
  <c r="IP46" i="1"/>
  <c r="IL46" i="1"/>
  <c r="IH46" i="1"/>
  <c r="ID46" i="1"/>
  <c r="HZ46" i="1"/>
  <c r="HV46" i="1"/>
  <c r="HR46" i="1"/>
  <c r="HO46" i="1"/>
  <c r="HP46" i="1" s="1"/>
  <c r="HL46" i="1"/>
  <c r="HH46" i="1"/>
  <c r="HD46" i="1"/>
  <c r="GZ46" i="1"/>
  <c r="GV46" i="1"/>
  <c r="GR46" i="1"/>
  <c r="GN46" i="1"/>
  <c r="GJ46" i="1"/>
  <c r="GF46" i="1"/>
  <c r="GB46" i="1"/>
  <c r="FX46" i="1"/>
  <c r="FT46" i="1"/>
  <c r="FQ46" i="1"/>
  <c r="FR46" i="1" s="1"/>
  <c r="FN46" i="1"/>
  <c r="FJ46" i="1"/>
  <c r="FF46" i="1"/>
  <c r="FB46" i="1"/>
  <c r="EX46" i="1"/>
  <c r="ET46" i="1"/>
  <c r="EP46" i="1"/>
  <c r="EL46" i="1"/>
  <c r="EH46" i="1"/>
  <c r="ED46" i="1"/>
  <c r="DZ46" i="1"/>
  <c r="DV46" i="1"/>
  <c r="DS46" i="1"/>
  <c r="DT46" i="1" s="1"/>
  <c r="DO46" i="1"/>
  <c r="DJ46" i="1"/>
  <c r="DE46" i="1"/>
  <c r="CZ46" i="1"/>
  <c r="CU46" i="1"/>
  <c r="CP46" i="1"/>
  <c r="CK46" i="1"/>
  <c r="CF46" i="1"/>
  <c r="CA46" i="1"/>
  <c r="BV46" i="1"/>
  <c r="BQ46" i="1"/>
  <c r="BL46" i="1"/>
  <c r="BI46" i="1"/>
  <c r="BJ46" i="1" s="1"/>
  <c r="JM45" i="1"/>
  <c r="JN45" i="1" s="1"/>
  <c r="JJ45" i="1"/>
  <c r="JF45" i="1"/>
  <c r="JB45" i="1"/>
  <c r="IX45" i="1"/>
  <c r="IT45" i="1"/>
  <c r="IP45" i="1"/>
  <c r="IL45" i="1"/>
  <c r="IH45" i="1"/>
  <c r="ID45" i="1"/>
  <c r="HZ45" i="1"/>
  <c r="HV45" i="1"/>
  <c r="HR45" i="1"/>
  <c r="HO45" i="1"/>
  <c r="HP45" i="1" s="1"/>
  <c r="HL45" i="1"/>
  <c r="HH45" i="1"/>
  <c r="HD45" i="1"/>
  <c r="GZ45" i="1"/>
  <c r="GV45" i="1"/>
  <c r="GR45" i="1"/>
  <c r="GN45" i="1"/>
  <c r="GJ45" i="1"/>
  <c r="GF45" i="1"/>
  <c r="GB45" i="1"/>
  <c r="FX45" i="1"/>
  <c r="FT45" i="1"/>
  <c r="FQ45" i="1"/>
  <c r="FR45" i="1" s="1"/>
  <c r="DV45" i="1"/>
  <c r="DS45" i="1"/>
  <c r="DT45" i="1" s="1"/>
  <c r="DO45" i="1"/>
  <c r="DJ45" i="1"/>
  <c r="DE45" i="1"/>
  <c r="CZ45" i="1"/>
  <c r="CU45" i="1"/>
  <c r="CP45" i="1"/>
  <c r="CK45" i="1"/>
  <c r="CF45" i="1"/>
  <c r="CA45" i="1"/>
  <c r="BV45" i="1"/>
  <c r="BQ45" i="1"/>
  <c r="BL45" i="1"/>
  <c r="BI45" i="1"/>
  <c r="BJ45" i="1" s="1"/>
  <c r="JM44" i="1"/>
  <c r="JN44" i="1" s="1"/>
  <c r="JJ44" i="1"/>
  <c r="JF44" i="1"/>
  <c r="JB44" i="1"/>
  <c r="IX44" i="1"/>
  <c r="IT44" i="1"/>
  <c r="IP44" i="1"/>
  <c r="IL44" i="1"/>
  <c r="IH44" i="1"/>
  <c r="ID44" i="1"/>
  <c r="HZ44" i="1"/>
  <c r="HV44" i="1"/>
  <c r="HR44" i="1"/>
  <c r="HO44" i="1"/>
  <c r="HP44" i="1" s="1"/>
  <c r="HL44" i="1"/>
  <c r="HH44" i="1"/>
  <c r="HD44" i="1"/>
  <c r="GZ44" i="1"/>
  <c r="GV44" i="1"/>
  <c r="GR44" i="1"/>
  <c r="GN44" i="1"/>
  <c r="GJ44" i="1"/>
  <c r="GF44" i="1"/>
  <c r="GB44" i="1"/>
  <c r="FX44" i="1"/>
  <c r="FT44" i="1"/>
  <c r="FQ44" i="1"/>
  <c r="FR44" i="1" s="1"/>
  <c r="FN44" i="1"/>
  <c r="FJ44" i="1"/>
  <c r="FF44" i="1"/>
  <c r="FB44" i="1"/>
  <c r="EX44" i="1"/>
  <c r="EL44" i="1"/>
  <c r="DV44" i="1"/>
  <c r="DS44" i="1"/>
  <c r="DT44" i="1" s="1"/>
  <c r="DO44" i="1"/>
  <c r="DJ44" i="1"/>
  <c r="DE44" i="1"/>
  <c r="CZ44" i="1"/>
  <c r="CU44" i="1"/>
  <c r="CP44" i="1"/>
  <c r="CK44" i="1"/>
  <c r="CF44" i="1"/>
  <c r="CA44" i="1"/>
  <c r="BV44" i="1"/>
  <c r="BQ44" i="1"/>
  <c r="BL44" i="1"/>
  <c r="BI44" i="1"/>
  <c r="BJ44" i="1" s="1"/>
  <c r="JM43" i="1"/>
  <c r="JN43" i="1" s="1"/>
  <c r="JJ43" i="1"/>
  <c r="JF43" i="1"/>
  <c r="JB43" i="1"/>
  <c r="IX43" i="1"/>
  <c r="IT43" i="1"/>
  <c r="IP43" i="1"/>
  <c r="IL43" i="1"/>
  <c r="IH43" i="1"/>
  <c r="ID43" i="1"/>
  <c r="HZ43" i="1"/>
  <c r="HV43" i="1"/>
  <c r="HR43" i="1"/>
  <c r="HO43" i="1"/>
  <c r="HP43" i="1" s="1"/>
  <c r="HL43" i="1"/>
  <c r="HH43" i="1"/>
  <c r="HD43" i="1"/>
  <c r="GZ43" i="1"/>
  <c r="GV43" i="1"/>
  <c r="GR43" i="1"/>
  <c r="GN43" i="1"/>
  <c r="GJ43" i="1"/>
  <c r="GF43" i="1"/>
  <c r="GB43" i="1"/>
  <c r="FX43" i="1"/>
  <c r="FT43" i="1"/>
  <c r="FQ43" i="1"/>
  <c r="FR43" i="1" s="1"/>
  <c r="FN43" i="1"/>
  <c r="FJ43" i="1"/>
  <c r="FF43" i="1"/>
  <c r="FB43" i="1"/>
  <c r="EX43" i="1"/>
  <c r="ET43" i="1"/>
  <c r="EP43" i="1"/>
  <c r="DV43" i="1"/>
  <c r="DS43" i="1"/>
  <c r="DT43" i="1" s="1"/>
  <c r="DO43" i="1"/>
  <c r="DJ43" i="1"/>
  <c r="DE43" i="1"/>
  <c r="CZ43" i="1"/>
  <c r="CU43" i="1"/>
  <c r="CP43" i="1"/>
  <c r="CK43" i="1"/>
  <c r="CF43" i="1"/>
  <c r="CA43" i="1"/>
  <c r="BV43" i="1"/>
  <c r="BQ43" i="1"/>
  <c r="BL43" i="1"/>
  <c r="BI43" i="1"/>
  <c r="BJ43" i="1" s="1"/>
  <c r="JM42" i="1"/>
  <c r="JN42" i="1" s="1"/>
  <c r="JJ42" i="1"/>
  <c r="JF42" i="1"/>
  <c r="JB42" i="1"/>
  <c r="IX42" i="1"/>
  <c r="IT42" i="1"/>
  <c r="IP42" i="1"/>
  <c r="IL42" i="1"/>
  <c r="IH42" i="1"/>
  <c r="ID42" i="1"/>
  <c r="HZ42" i="1"/>
  <c r="HV42" i="1"/>
  <c r="HR42" i="1"/>
  <c r="HO42" i="1"/>
  <c r="HP42" i="1" s="1"/>
  <c r="HL42" i="1"/>
  <c r="HH42" i="1"/>
  <c r="HD42" i="1"/>
  <c r="GZ42" i="1"/>
  <c r="GV42" i="1"/>
  <c r="GR42" i="1"/>
  <c r="GN42" i="1"/>
  <c r="GJ42" i="1"/>
  <c r="GF42" i="1"/>
  <c r="GB42" i="1"/>
  <c r="FX42" i="1"/>
  <c r="FT42" i="1"/>
  <c r="FQ42" i="1"/>
  <c r="FR42" i="1" s="1"/>
  <c r="FN42" i="1"/>
  <c r="FJ42" i="1"/>
  <c r="FF42" i="1"/>
  <c r="FB42" i="1"/>
  <c r="EX42" i="1"/>
  <c r="ET42" i="1"/>
  <c r="EP42" i="1"/>
  <c r="DV42" i="1"/>
  <c r="DS42" i="1"/>
  <c r="DT42" i="1" s="1"/>
  <c r="DO42" i="1"/>
  <c r="DJ42" i="1"/>
  <c r="DE42" i="1"/>
  <c r="CZ42" i="1"/>
  <c r="CU42" i="1"/>
  <c r="CP42" i="1"/>
  <c r="CK42" i="1"/>
  <c r="CF42" i="1"/>
  <c r="CA42" i="1"/>
  <c r="BV42" i="1"/>
  <c r="BQ42" i="1"/>
  <c r="BL42" i="1"/>
  <c r="BI42" i="1"/>
  <c r="BJ42" i="1" s="1"/>
  <c r="JM41" i="1"/>
  <c r="JN41" i="1" s="1"/>
  <c r="JJ41" i="1"/>
  <c r="JF41" i="1"/>
  <c r="JB41" i="1"/>
  <c r="IX41" i="1"/>
  <c r="IT41" i="1"/>
  <c r="IP41" i="1"/>
  <c r="IL41" i="1"/>
  <c r="IH41" i="1"/>
  <c r="ID41" i="1"/>
  <c r="HZ41" i="1"/>
  <c r="HV41" i="1"/>
  <c r="HR41" i="1"/>
  <c r="HO41" i="1"/>
  <c r="HP41" i="1" s="1"/>
  <c r="HL41" i="1"/>
  <c r="HH41" i="1"/>
  <c r="HD41" i="1"/>
  <c r="GZ41" i="1"/>
  <c r="GV41" i="1"/>
  <c r="GR41" i="1"/>
  <c r="GN41" i="1"/>
  <c r="GJ41" i="1"/>
  <c r="GF41" i="1"/>
  <c r="GB41" i="1"/>
  <c r="FX41" i="1"/>
  <c r="FT41" i="1"/>
  <c r="FQ41" i="1"/>
  <c r="FR41" i="1" s="1"/>
  <c r="FN41" i="1"/>
  <c r="FJ41" i="1"/>
  <c r="FF41" i="1"/>
  <c r="FB41" i="1"/>
  <c r="EX41" i="1"/>
  <c r="ET41" i="1"/>
  <c r="EP41" i="1"/>
  <c r="EL41" i="1"/>
  <c r="EH41" i="1"/>
  <c r="ED41" i="1"/>
  <c r="DZ41" i="1"/>
  <c r="DV41" i="1"/>
  <c r="DS41" i="1"/>
  <c r="DT41" i="1" s="1"/>
  <c r="DO41" i="1"/>
  <c r="DJ41" i="1"/>
  <c r="DE41" i="1"/>
  <c r="CZ41" i="1"/>
  <c r="CU41" i="1"/>
  <c r="CP41" i="1"/>
  <c r="CK41" i="1"/>
  <c r="CF41" i="1"/>
  <c r="CA41" i="1"/>
  <c r="BV41" i="1"/>
  <c r="BQ41" i="1"/>
  <c r="BL41" i="1"/>
  <c r="BI41" i="1"/>
  <c r="BJ41" i="1" s="1"/>
  <c r="JM40" i="1"/>
  <c r="JN40" i="1" s="1"/>
  <c r="JJ40" i="1"/>
  <c r="JF40" i="1"/>
  <c r="JB40" i="1"/>
  <c r="IX40" i="1"/>
  <c r="IT40" i="1"/>
  <c r="IP40" i="1"/>
  <c r="IL40" i="1"/>
  <c r="IH40" i="1"/>
  <c r="ID40" i="1"/>
  <c r="HZ40" i="1"/>
  <c r="HV40" i="1"/>
  <c r="HR40" i="1"/>
  <c r="HO40" i="1"/>
  <c r="HP40" i="1" s="1"/>
  <c r="HL40" i="1"/>
  <c r="HH40" i="1"/>
  <c r="HD40" i="1"/>
  <c r="GZ40" i="1"/>
  <c r="GV40" i="1"/>
  <c r="GR40" i="1"/>
  <c r="GN40" i="1"/>
  <c r="GJ40" i="1"/>
  <c r="GF40" i="1"/>
  <c r="GB40" i="1"/>
  <c r="FX40" i="1"/>
  <c r="FT40" i="1"/>
  <c r="FQ40" i="1"/>
  <c r="FR40" i="1" s="1"/>
  <c r="FN40" i="1"/>
  <c r="FJ40" i="1"/>
  <c r="FF40" i="1"/>
  <c r="FB40" i="1"/>
  <c r="EX40" i="1"/>
  <c r="ET40" i="1"/>
  <c r="EP40" i="1"/>
  <c r="EL40" i="1"/>
  <c r="EH40" i="1"/>
  <c r="ED40" i="1"/>
  <c r="DZ40" i="1"/>
  <c r="DV40" i="1"/>
  <c r="DS40" i="1"/>
  <c r="DT40" i="1" s="1"/>
  <c r="DO40" i="1"/>
  <c r="DJ40" i="1"/>
  <c r="DE40" i="1"/>
  <c r="CZ40" i="1"/>
  <c r="CU40" i="1"/>
  <c r="CP40" i="1"/>
  <c r="CK40" i="1"/>
  <c r="CF40" i="1"/>
  <c r="CA40" i="1"/>
  <c r="BV40" i="1"/>
  <c r="BQ40" i="1"/>
  <c r="BL40" i="1"/>
  <c r="BI40" i="1"/>
  <c r="BJ40" i="1" s="1"/>
  <c r="JM39" i="1"/>
  <c r="JN39" i="1" s="1"/>
  <c r="JJ39" i="1"/>
  <c r="JF39" i="1"/>
  <c r="JB39" i="1"/>
  <c r="IX39" i="1"/>
  <c r="IT39" i="1"/>
  <c r="IP39" i="1"/>
  <c r="IL39" i="1"/>
  <c r="IH39" i="1"/>
  <c r="ID39" i="1"/>
  <c r="HZ39" i="1"/>
  <c r="HV39" i="1"/>
  <c r="HR39" i="1"/>
  <c r="HO39" i="1"/>
  <c r="HP39" i="1" s="1"/>
  <c r="HL39" i="1"/>
  <c r="HH39" i="1"/>
  <c r="HD39" i="1"/>
  <c r="GZ39" i="1"/>
  <c r="GV39" i="1"/>
  <c r="GR39" i="1"/>
  <c r="GN39" i="1"/>
  <c r="GJ39" i="1"/>
  <c r="GF39" i="1"/>
  <c r="GB39" i="1"/>
  <c r="FX39" i="1"/>
  <c r="FT39" i="1"/>
  <c r="FQ39" i="1"/>
  <c r="FR39" i="1" s="1"/>
  <c r="FN39" i="1"/>
  <c r="FJ39" i="1"/>
  <c r="FF39" i="1"/>
  <c r="FB39" i="1"/>
  <c r="EX39" i="1"/>
  <c r="ET39" i="1"/>
  <c r="EP39" i="1"/>
  <c r="EL39" i="1"/>
  <c r="EH39" i="1"/>
  <c r="ED39" i="1"/>
  <c r="DZ39" i="1"/>
  <c r="DV39" i="1"/>
  <c r="DS39" i="1"/>
  <c r="DT39" i="1" s="1"/>
  <c r="DO39" i="1"/>
  <c r="DJ39" i="1"/>
  <c r="DE39" i="1"/>
  <c r="CZ39" i="1"/>
  <c r="CU39" i="1"/>
  <c r="CP39" i="1"/>
  <c r="CK39" i="1"/>
  <c r="CF39" i="1"/>
  <c r="CA39" i="1"/>
  <c r="BV39" i="1"/>
  <c r="BQ39" i="1"/>
  <c r="BL39" i="1"/>
  <c r="JM38" i="1"/>
  <c r="JN38" i="1" s="1"/>
  <c r="JJ38" i="1"/>
  <c r="JF38" i="1"/>
  <c r="JB38" i="1"/>
  <c r="IX38" i="1"/>
  <c r="IT38" i="1"/>
  <c r="IP38" i="1"/>
  <c r="IL38" i="1"/>
  <c r="IH38" i="1"/>
  <c r="ID38" i="1"/>
  <c r="HZ38" i="1"/>
  <c r="HV38" i="1"/>
  <c r="HR38" i="1"/>
  <c r="HO38" i="1"/>
  <c r="HP38" i="1" s="1"/>
  <c r="HL38" i="1"/>
  <c r="HH38" i="1"/>
  <c r="HD38" i="1"/>
  <c r="GZ38" i="1"/>
  <c r="GV38" i="1"/>
  <c r="GR38" i="1"/>
  <c r="GN38" i="1"/>
  <c r="GJ38" i="1"/>
  <c r="GF38" i="1"/>
  <c r="GB38" i="1"/>
  <c r="FX38" i="1"/>
  <c r="FT38" i="1"/>
  <c r="FQ38" i="1"/>
  <c r="FR38" i="1" s="1"/>
  <c r="FN38" i="1"/>
  <c r="FJ38" i="1"/>
  <c r="FF38" i="1"/>
  <c r="FB38" i="1"/>
  <c r="EX38" i="1"/>
  <c r="ET38" i="1"/>
  <c r="EP38" i="1"/>
  <c r="EL38" i="1"/>
  <c r="EH38" i="1"/>
  <c r="ED38" i="1"/>
  <c r="DZ38" i="1"/>
  <c r="DV38" i="1"/>
  <c r="DS38" i="1"/>
  <c r="DT38" i="1" s="1"/>
  <c r="DO38" i="1"/>
  <c r="DJ38" i="1"/>
  <c r="DE38" i="1"/>
  <c r="CZ38" i="1"/>
  <c r="CU38" i="1"/>
  <c r="CP38" i="1"/>
  <c r="CK38" i="1"/>
  <c r="CF38" i="1"/>
  <c r="CA38" i="1"/>
  <c r="BV38" i="1"/>
  <c r="BQ38" i="1"/>
  <c r="BL38" i="1"/>
  <c r="JM37" i="1"/>
  <c r="JN37" i="1" s="1"/>
  <c r="JJ37" i="1"/>
  <c r="JF37" i="1"/>
  <c r="JB37" i="1"/>
  <c r="IX37" i="1"/>
  <c r="IT37" i="1"/>
  <c r="IP37" i="1"/>
  <c r="IL37" i="1"/>
  <c r="IH37" i="1"/>
  <c r="ID37" i="1"/>
  <c r="HZ37" i="1"/>
  <c r="HV37" i="1"/>
  <c r="HR37" i="1"/>
  <c r="HO37" i="1"/>
  <c r="HP37" i="1" s="1"/>
  <c r="HL37" i="1"/>
  <c r="HH37" i="1"/>
  <c r="HD37" i="1"/>
  <c r="GZ37" i="1"/>
  <c r="GV37" i="1"/>
  <c r="GR37" i="1"/>
  <c r="GN37" i="1"/>
  <c r="GJ37" i="1"/>
  <c r="GF37" i="1"/>
  <c r="GB37" i="1"/>
  <c r="FX37" i="1"/>
  <c r="FT37" i="1"/>
  <c r="FQ37" i="1"/>
  <c r="FR37" i="1" s="1"/>
  <c r="FN37" i="1"/>
  <c r="FJ37" i="1"/>
  <c r="FF37" i="1"/>
  <c r="FB37" i="1"/>
  <c r="EX37" i="1"/>
  <c r="ET37" i="1"/>
  <c r="EP37" i="1"/>
  <c r="EL37" i="1"/>
  <c r="EH37" i="1"/>
  <c r="DZ37" i="1"/>
  <c r="DV37" i="1"/>
  <c r="DS37" i="1"/>
  <c r="DT37" i="1" s="1"/>
  <c r="DO37" i="1"/>
  <c r="DJ37" i="1"/>
  <c r="DE37" i="1"/>
  <c r="CZ37" i="1"/>
  <c r="CU37" i="1"/>
  <c r="CP37" i="1"/>
  <c r="CK37" i="1"/>
  <c r="CF37" i="1"/>
  <c r="CA37" i="1"/>
  <c r="BV37" i="1"/>
  <c r="BQ37" i="1"/>
  <c r="BL37" i="1"/>
  <c r="JM36" i="1"/>
  <c r="JN36" i="1" s="1"/>
  <c r="JJ36" i="1"/>
  <c r="JF36" i="1"/>
  <c r="JB36" i="1"/>
  <c r="IX36" i="1"/>
  <c r="IT36" i="1"/>
  <c r="IP36" i="1"/>
  <c r="IL36" i="1"/>
  <c r="IH36" i="1"/>
  <c r="ID36" i="1"/>
  <c r="HZ36" i="1"/>
  <c r="HV36" i="1"/>
  <c r="HR36" i="1"/>
  <c r="HO36" i="1"/>
  <c r="HP36" i="1" s="1"/>
  <c r="HL36" i="1"/>
  <c r="HH36" i="1"/>
  <c r="HD36" i="1"/>
  <c r="GZ36" i="1"/>
  <c r="GV36" i="1"/>
  <c r="GR36" i="1"/>
  <c r="GN36" i="1"/>
  <c r="GJ36" i="1"/>
  <c r="GF36" i="1"/>
  <c r="GB36" i="1"/>
  <c r="FX36" i="1"/>
  <c r="FT36" i="1"/>
  <c r="FQ36" i="1"/>
  <c r="FR36" i="1" s="1"/>
  <c r="FN36" i="1"/>
  <c r="FJ36" i="1"/>
  <c r="FF36" i="1"/>
  <c r="FB36" i="1"/>
  <c r="EX36" i="1"/>
  <c r="ET36" i="1"/>
  <c r="EP36" i="1"/>
  <c r="EL36" i="1"/>
  <c r="EH36" i="1"/>
  <c r="ED36" i="1"/>
  <c r="DZ36" i="1"/>
  <c r="DV36" i="1"/>
  <c r="DS36" i="1"/>
  <c r="DT36" i="1" s="1"/>
  <c r="DO36" i="1"/>
  <c r="DJ36" i="1"/>
  <c r="DE36" i="1"/>
  <c r="CZ36" i="1"/>
  <c r="CU36" i="1"/>
  <c r="CP36" i="1"/>
  <c r="CK36" i="1"/>
  <c r="CF36" i="1"/>
  <c r="CA36" i="1"/>
  <c r="BV36" i="1"/>
  <c r="BQ36" i="1"/>
  <c r="BL36" i="1"/>
  <c r="JM35" i="1"/>
  <c r="JN35" i="1" s="1"/>
  <c r="JJ35" i="1"/>
  <c r="JF35" i="1"/>
  <c r="JB35" i="1"/>
  <c r="IX35" i="1"/>
  <c r="IT35" i="1"/>
  <c r="IP35" i="1"/>
  <c r="IL35" i="1"/>
  <c r="IH35" i="1"/>
  <c r="ID35" i="1"/>
  <c r="HZ35" i="1"/>
  <c r="HV35" i="1"/>
  <c r="HR35" i="1"/>
  <c r="HO35" i="1"/>
  <c r="HP35" i="1" s="1"/>
  <c r="HL35" i="1"/>
  <c r="HH35" i="1"/>
  <c r="HD35" i="1"/>
  <c r="GZ35" i="1"/>
  <c r="GV35" i="1"/>
  <c r="GR35" i="1"/>
  <c r="GN35" i="1"/>
  <c r="GJ35" i="1"/>
  <c r="GF35" i="1"/>
  <c r="GB35" i="1"/>
  <c r="FX35" i="1"/>
  <c r="FT35" i="1"/>
  <c r="FQ35" i="1"/>
  <c r="FR35" i="1" s="1"/>
  <c r="DZ35" i="1"/>
  <c r="DV35" i="1"/>
  <c r="DS35" i="1"/>
  <c r="DT35" i="1" s="1"/>
  <c r="DO35" i="1"/>
  <c r="DJ35" i="1"/>
  <c r="DE35" i="1"/>
  <c r="CZ35" i="1"/>
  <c r="CU35" i="1"/>
  <c r="CP35" i="1"/>
  <c r="CK35" i="1"/>
  <c r="CF35" i="1"/>
  <c r="CA35" i="1"/>
  <c r="BV35" i="1"/>
  <c r="BQ35" i="1"/>
  <c r="BL35" i="1"/>
  <c r="JM34" i="1"/>
  <c r="JN34" i="1" s="1"/>
  <c r="JJ34" i="1"/>
  <c r="JF34" i="1"/>
  <c r="JB34" i="1"/>
  <c r="IX34" i="1"/>
  <c r="IT34" i="1"/>
  <c r="IP34" i="1"/>
  <c r="IL34" i="1"/>
  <c r="IH34" i="1"/>
  <c r="ID34" i="1"/>
  <c r="HZ34" i="1"/>
  <c r="HV34" i="1"/>
  <c r="HR34" i="1"/>
  <c r="HO34" i="1"/>
  <c r="HP34" i="1" s="1"/>
  <c r="HL34" i="1"/>
  <c r="HH34" i="1"/>
  <c r="HD34" i="1"/>
  <c r="GZ34" i="1"/>
  <c r="GV34" i="1"/>
  <c r="GR34" i="1"/>
  <c r="GN34" i="1"/>
  <c r="GJ34" i="1"/>
  <c r="GF34" i="1"/>
  <c r="GB34" i="1"/>
  <c r="FX34" i="1"/>
  <c r="FT34" i="1"/>
  <c r="FQ34" i="1"/>
  <c r="FR34" i="1" s="1"/>
  <c r="ED34" i="1"/>
  <c r="DZ34" i="1"/>
  <c r="DV34" i="1"/>
  <c r="DS34" i="1"/>
  <c r="DT34" i="1" s="1"/>
  <c r="DO34" i="1"/>
  <c r="DJ34" i="1"/>
  <c r="DE34" i="1"/>
  <c r="CZ34" i="1"/>
  <c r="CU34" i="1"/>
  <c r="CP34" i="1"/>
  <c r="CK34" i="1"/>
  <c r="CF34" i="1"/>
  <c r="CA34" i="1"/>
  <c r="BV34" i="1"/>
  <c r="BQ34" i="1"/>
  <c r="BL34" i="1"/>
  <c r="JM33" i="1"/>
  <c r="JN33" i="1" s="1"/>
  <c r="JJ33" i="1"/>
  <c r="JF33" i="1"/>
  <c r="JB33" i="1"/>
  <c r="IX33" i="1"/>
  <c r="IT33" i="1"/>
  <c r="IP33" i="1"/>
  <c r="IL33" i="1"/>
  <c r="IH33" i="1"/>
  <c r="ID33" i="1"/>
  <c r="HZ33" i="1"/>
  <c r="HV33" i="1"/>
  <c r="HR33" i="1"/>
  <c r="HO33" i="1"/>
  <c r="HP33" i="1" s="1"/>
  <c r="HL33" i="1"/>
  <c r="HH33" i="1"/>
  <c r="HD33" i="1"/>
  <c r="GZ33" i="1"/>
  <c r="GV33" i="1"/>
  <c r="GR33" i="1"/>
  <c r="GN33" i="1"/>
  <c r="GJ33" i="1"/>
  <c r="GF33" i="1"/>
  <c r="GB33" i="1"/>
  <c r="FX33" i="1"/>
  <c r="FT33" i="1"/>
  <c r="FQ33" i="1"/>
  <c r="FR33" i="1" s="1"/>
  <c r="FN33" i="1"/>
  <c r="FJ33" i="1"/>
  <c r="FF33" i="1"/>
  <c r="FB33" i="1"/>
  <c r="EX33" i="1"/>
  <c r="ET33" i="1"/>
  <c r="EP33" i="1"/>
  <c r="EL33" i="1"/>
  <c r="EH33" i="1"/>
  <c r="ED33" i="1"/>
  <c r="DZ33" i="1"/>
  <c r="DV33" i="1"/>
  <c r="DS33" i="1"/>
  <c r="DT33" i="1" s="1"/>
  <c r="DO33" i="1"/>
  <c r="DJ33" i="1"/>
  <c r="DE33" i="1"/>
  <c r="CZ33" i="1"/>
  <c r="CU33" i="1"/>
  <c r="CP33" i="1"/>
  <c r="CK33" i="1"/>
  <c r="CF33" i="1"/>
  <c r="CA33" i="1"/>
  <c r="BV33" i="1"/>
  <c r="BQ33" i="1"/>
  <c r="BL33" i="1"/>
  <c r="JM32" i="1"/>
  <c r="JN32" i="1" s="1"/>
  <c r="JJ32" i="1"/>
  <c r="JF32" i="1"/>
  <c r="JB32" i="1"/>
  <c r="IX32" i="1"/>
  <c r="IT32" i="1"/>
  <c r="IP32" i="1"/>
  <c r="IL32" i="1"/>
  <c r="IH32" i="1"/>
  <c r="ID32" i="1"/>
  <c r="HZ32" i="1"/>
  <c r="HV32" i="1"/>
  <c r="HR32" i="1"/>
  <c r="HO32" i="1"/>
  <c r="HP32" i="1" s="1"/>
  <c r="HL32" i="1"/>
  <c r="HH32" i="1"/>
  <c r="HD32" i="1"/>
  <c r="GZ32" i="1"/>
  <c r="GV32" i="1"/>
  <c r="GR32" i="1"/>
  <c r="GN32" i="1"/>
  <c r="GJ32" i="1"/>
  <c r="GF32" i="1"/>
  <c r="GB32" i="1"/>
  <c r="FX32" i="1"/>
  <c r="FT32" i="1"/>
  <c r="FQ32" i="1"/>
  <c r="FR32" i="1" s="1"/>
  <c r="FN32" i="1"/>
  <c r="FJ32" i="1"/>
  <c r="FF32" i="1"/>
  <c r="FB32" i="1"/>
  <c r="EX32" i="1"/>
  <c r="ET32" i="1"/>
  <c r="EP32" i="1"/>
  <c r="EL32" i="1"/>
  <c r="EH32" i="1"/>
  <c r="ED32" i="1"/>
  <c r="DZ32" i="1"/>
  <c r="DV32" i="1"/>
  <c r="DS32" i="1"/>
  <c r="DT32" i="1" s="1"/>
  <c r="DO32" i="1"/>
  <c r="DJ32" i="1"/>
  <c r="DE32" i="1"/>
  <c r="CZ32" i="1"/>
  <c r="CU32" i="1"/>
  <c r="CP32" i="1"/>
  <c r="CK32" i="1"/>
  <c r="CF32" i="1"/>
  <c r="CA32" i="1"/>
  <c r="BV32" i="1"/>
  <c r="BQ32" i="1"/>
  <c r="BL32" i="1"/>
  <c r="JM31" i="1"/>
  <c r="JN31" i="1" s="1"/>
  <c r="JJ31" i="1"/>
  <c r="JF31" i="1"/>
  <c r="JB31" i="1"/>
  <c r="IX31" i="1"/>
  <c r="IT31" i="1"/>
  <c r="IP31" i="1"/>
  <c r="IL31" i="1"/>
  <c r="IH31" i="1"/>
  <c r="ID31" i="1"/>
  <c r="HZ31" i="1"/>
  <c r="HV31" i="1"/>
  <c r="HR31" i="1"/>
  <c r="HO31" i="1"/>
  <c r="HP31" i="1" s="1"/>
  <c r="HL31" i="1"/>
  <c r="HH31" i="1"/>
  <c r="HD31" i="1"/>
  <c r="GZ31" i="1"/>
  <c r="GV31" i="1"/>
  <c r="GR31" i="1"/>
  <c r="GN31" i="1"/>
  <c r="GJ31" i="1"/>
  <c r="GF31" i="1"/>
  <c r="GB31" i="1"/>
  <c r="FX31" i="1"/>
  <c r="FT31" i="1"/>
  <c r="FQ31" i="1"/>
  <c r="FR31" i="1" s="1"/>
  <c r="FN31" i="1"/>
  <c r="FJ31" i="1"/>
  <c r="FF31" i="1"/>
  <c r="FB31" i="1"/>
  <c r="EX31" i="1"/>
  <c r="ET31" i="1"/>
  <c r="EP31" i="1"/>
  <c r="EL31" i="1"/>
  <c r="EH31" i="1"/>
  <c r="ED31" i="1"/>
  <c r="DZ31" i="1"/>
  <c r="DV31" i="1"/>
  <c r="DS31" i="1"/>
  <c r="DT31" i="1" s="1"/>
  <c r="DO31" i="1"/>
  <c r="DJ31" i="1"/>
  <c r="DE31" i="1"/>
  <c r="CZ31" i="1"/>
  <c r="CU31" i="1"/>
  <c r="CP31" i="1"/>
  <c r="CK31" i="1"/>
  <c r="CF31" i="1"/>
  <c r="CA31" i="1"/>
  <c r="BV31" i="1"/>
  <c r="BQ31" i="1"/>
  <c r="BL31" i="1"/>
  <c r="JM30" i="1"/>
  <c r="JN30" i="1" s="1"/>
  <c r="JJ30" i="1"/>
  <c r="JF30" i="1"/>
  <c r="JB30" i="1"/>
  <c r="IX30" i="1"/>
  <c r="IT30" i="1"/>
  <c r="IP30" i="1"/>
  <c r="IL30" i="1"/>
  <c r="IH30" i="1"/>
  <c r="ID30" i="1"/>
  <c r="HZ30" i="1"/>
  <c r="HV30" i="1"/>
  <c r="HR30" i="1"/>
  <c r="HO30" i="1"/>
  <c r="HP30" i="1" s="1"/>
  <c r="HL30" i="1"/>
  <c r="HH30" i="1"/>
  <c r="HD30" i="1"/>
  <c r="GZ30" i="1"/>
  <c r="GV30" i="1"/>
  <c r="GR30" i="1"/>
  <c r="GN30" i="1"/>
  <c r="GJ30" i="1"/>
  <c r="GF30" i="1"/>
  <c r="GB30" i="1"/>
  <c r="FX30" i="1"/>
  <c r="FT30" i="1"/>
  <c r="FQ30" i="1"/>
  <c r="FR30" i="1" s="1"/>
  <c r="FN30" i="1"/>
  <c r="FJ30" i="1"/>
  <c r="FF30" i="1"/>
  <c r="FB30" i="1"/>
  <c r="EX30" i="1"/>
  <c r="ET30" i="1"/>
  <c r="EP30" i="1"/>
  <c r="EL30" i="1"/>
  <c r="EH30" i="1"/>
  <c r="ED30" i="1"/>
  <c r="DZ30" i="1"/>
  <c r="DV30" i="1"/>
  <c r="DS30" i="1"/>
  <c r="DT30" i="1" s="1"/>
  <c r="DO30" i="1"/>
  <c r="DJ30" i="1"/>
  <c r="DE30" i="1"/>
  <c r="CZ30" i="1"/>
  <c r="CU30" i="1"/>
  <c r="CP30" i="1"/>
  <c r="CK30" i="1"/>
  <c r="CF30" i="1"/>
  <c r="CA30" i="1"/>
  <c r="BV30" i="1"/>
  <c r="BQ30" i="1"/>
  <c r="BL30" i="1"/>
  <c r="JM29" i="1"/>
  <c r="JN29" i="1" s="1"/>
  <c r="JJ29" i="1"/>
  <c r="JF29" i="1"/>
  <c r="JB29" i="1"/>
  <c r="IX29" i="1"/>
  <c r="IT29" i="1"/>
  <c r="IP29" i="1"/>
  <c r="IL29" i="1"/>
  <c r="IH29" i="1"/>
  <c r="ID29" i="1"/>
  <c r="HZ29" i="1"/>
  <c r="HV29" i="1"/>
  <c r="HR29" i="1"/>
  <c r="HO29" i="1"/>
  <c r="HP29" i="1" s="1"/>
  <c r="HL29" i="1"/>
  <c r="HH29" i="1"/>
  <c r="HD29" i="1"/>
  <c r="GZ29" i="1"/>
  <c r="GV29" i="1"/>
  <c r="GR29" i="1"/>
  <c r="GN29" i="1"/>
  <c r="GJ29" i="1"/>
  <c r="GF29" i="1"/>
  <c r="GB29" i="1"/>
  <c r="FX29" i="1"/>
  <c r="FT29" i="1"/>
  <c r="FQ29" i="1"/>
  <c r="FR29" i="1" s="1"/>
  <c r="FN29" i="1"/>
  <c r="FJ29" i="1"/>
  <c r="FF29" i="1"/>
  <c r="FB29" i="1"/>
  <c r="EX29" i="1"/>
  <c r="ET29" i="1"/>
  <c r="EP29" i="1"/>
  <c r="EL29" i="1"/>
  <c r="EH29" i="1"/>
  <c r="ED29" i="1"/>
  <c r="DV29" i="1"/>
  <c r="DS29" i="1"/>
  <c r="DT29" i="1" s="1"/>
  <c r="DO29" i="1"/>
  <c r="DJ29" i="1"/>
  <c r="DE29" i="1"/>
  <c r="CZ29" i="1"/>
  <c r="CU29" i="1"/>
  <c r="CP29" i="1"/>
  <c r="CK29" i="1"/>
  <c r="CF29" i="1"/>
  <c r="CA29" i="1"/>
  <c r="BV29" i="1"/>
  <c r="BQ29" i="1"/>
  <c r="BL29" i="1"/>
  <c r="JM28" i="1"/>
  <c r="JN28" i="1" s="1"/>
  <c r="JJ28" i="1"/>
  <c r="JF28" i="1"/>
  <c r="JB28" i="1"/>
  <c r="IX28" i="1"/>
  <c r="IT28" i="1"/>
  <c r="IP28" i="1"/>
  <c r="IL28" i="1"/>
  <c r="IH28" i="1"/>
  <c r="ID28" i="1"/>
  <c r="HZ28" i="1"/>
  <c r="HV28" i="1"/>
  <c r="HR28" i="1"/>
  <c r="HO28" i="1"/>
  <c r="HP28" i="1" s="1"/>
  <c r="HL28" i="1"/>
  <c r="HH28" i="1"/>
  <c r="HD28" i="1"/>
  <c r="GZ28" i="1"/>
  <c r="GV28" i="1"/>
  <c r="GR28" i="1"/>
  <c r="GN28" i="1"/>
  <c r="GJ28" i="1"/>
  <c r="GF28" i="1"/>
  <c r="GB28" i="1"/>
  <c r="FX28" i="1"/>
  <c r="FT28" i="1"/>
  <c r="FQ28" i="1"/>
  <c r="FR28" i="1" s="1"/>
  <c r="FN28" i="1"/>
  <c r="FJ28" i="1"/>
  <c r="FF28" i="1"/>
  <c r="FB28" i="1"/>
  <c r="EX28" i="1"/>
  <c r="ET28" i="1"/>
  <c r="EP28" i="1"/>
  <c r="EL28" i="1"/>
  <c r="EH28" i="1"/>
  <c r="ED28" i="1"/>
  <c r="DZ28" i="1"/>
  <c r="DV28" i="1"/>
  <c r="DS28" i="1"/>
  <c r="DT28" i="1" s="1"/>
  <c r="DO28" i="1"/>
  <c r="DJ28" i="1"/>
  <c r="DE28" i="1"/>
  <c r="CZ28" i="1"/>
  <c r="CU28" i="1"/>
  <c r="CP28" i="1"/>
  <c r="CK28" i="1"/>
  <c r="CF28" i="1"/>
  <c r="CA28" i="1"/>
  <c r="BV28" i="1"/>
  <c r="BQ28" i="1"/>
  <c r="BL28" i="1"/>
  <c r="JM27" i="1"/>
  <c r="JN27" i="1" s="1"/>
  <c r="JJ27" i="1"/>
  <c r="JF27" i="1"/>
  <c r="JB27" i="1"/>
  <c r="IX27" i="1"/>
  <c r="IT27" i="1"/>
  <c r="IP27" i="1"/>
  <c r="IL27" i="1"/>
  <c r="IH27" i="1"/>
  <c r="ID27" i="1"/>
  <c r="HZ27" i="1"/>
  <c r="HV27" i="1"/>
  <c r="HR27" i="1"/>
  <c r="HO27" i="1"/>
  <c r="HP27" i="1" s="1"/>
  <c r="HL27" i="1"/>
  <c r="HH27" i="1"/>
  <c r="HD27" i="1"/>
  <c r="GZ27" i="1"/>
  <c r="GV27" i="1"/>
  <c r="GR27" i="1"/>
  <c r="GN27" i="1"/>
  <c r="GJ27" i="1"/>
  <c r="GF27" i="1"/>
  <c r="GB27" i="1"/>
  <c r="FX27" i="1"/>
  <c r="FT27" i="1"/>
  <c r="FQ27" i="1"/>
  <c r="FR27" i="1" s="1"/>
  <c r="FN27" i="1"/>
  <c r="FJ27" i="1"/>
  <c r="FF27" i="1"/>
  <c r="FB27" i="1"/>
  <c r="EX27" i="1"/>
  <c r="ET27" i="1"/>
  <c r="EP27" i="1"/>
  <c r="EL27" i="1"/>
  <c r="EH27" i="1"/>
  <c r="ED27" i="1"/>
  <c r="DZ27" i="1"/>
  <c r="DS27" i="1"/>
  <c r="DT27" i="1" s="1"/>
  <c r="DO27" i="1"/>
  <c r="DJ27" i="1"/>
  <c r="DE27" i="1"/>
  <c r="CZ27" i="1"/>
  <c r="CU27" i="1"/>
  <c r="CP27" i="1"/>
  <c r="CK27" i="1"/>
  <c r="CF27" i="1"/>
  <c r="CA27" i="1"/>
  <c r="BV27" i="1"/>
  <c r="BQ27" i="1"/>
  <c r="BL27" i="1"/>
  <c r="JM26" i="1"/>
  <c r="JN26" i="1" s="1"/>
  <c r="JJ26" i="1"/>
  <c r="JF26" i="1"/>
  <c r="JB26" i="1"/>
  <c r="IX26" i="1"/>
  <c r="IT26" i="1"/>
  <c r="IP26" i="1"/>
  <c r="IL26" i="1"/>
  <c r="IH26" i="1"/>
  <c r="ID26" i="1"/>
  <c r="HZ26" i="1"/>
  <c r="HV26" i="1"/>
  <c r="HR26" i="1"/>
  <c r="HO26" i="1"/>
  <c r="HP26" i="1" s="1"/>
  <c r="HL26" i="1"/>
  <c r="HH26" i="1"/>
  <c r="HD26" i="1"/>
  <c r="GZ26" i="1"/>
  <c r="GV26" i="1"/>
  <c r="GR26" i="1"/>
  <c r="GN26" i="1"/>
  <c r="GJ26" i="1"/>
  <c r="GF26" i="1"/>
  <c r="GB26" i="1"/>
  <c r="FX26" i="1"/>
  <c r="FT26" i="1"/>
  <c r="FQ26" i="1"/>
  <c r="FR26" i="1" s="1"/>
  <c r="FN26" i="1"/>
  <c r="FJ26" i="1"/>
  <c r="FF26" i="1"/>
  <c r="FB26" i="1"/>
  <c r="EX26" i="1"/>
  <c r="ET26" i="1"/>
  <c r="EP26" i="1"/>
  <c r="EL26" i="1"/>
  <c r="ED26" i="1"/>
  <c r="DZ26" i="1"/>
  <c r="DS26" i="1"/>
  <c r="DT26" i="1" s="1"/>
  <c r="DO26" i="1"/>
  <c r="DJ26" i="1"/>
  <c r="DE26" i="1"/>
  <c r="CZ26" i="1"/>
  <c r="CU26" i="1"/>
  <c r="CP26" i="1"/>
  <c r="CK26" i="1"/>
  <c r="CF26" i="1"/>
  <c r="CA26" i="1"/>
  <c r="BV26" i="1"/>
  <c r="BQ26" i="1"/>
  <c r="BL26" i="1"/>
  <c r="JM25" i="1"/>
  <c r="JN25" i="1" s="1"/>
  <c r="JJ25" i="1"/>
  <c r="JF25" i="1"/>
  <c r="JB25" i="1"/>
  <c r="IX25" i="1"/>
  <c r="IT25" i="1"/>
  <c r="IP25" i="1"/>
  <c r="IL25" i="1"/>
  <c r="IH25" i="1"/>
  <c r="ID25" i="1"/>
  <c r="HZ25" i="1"/>
  <c r="HV25" i="1"/>
  <c r="HR25" i="1"/>
  <c r="HO25" i="1"/>
  <c r="HP25" i="1" s="1"/>
  <c r="HL25" i="1"/>
  <c r="HH25" i="1"/>
  <c r="HD25" i="1"/>
  <c r="GZ25" i="1"/>
  <c r="GV25" i="1"/>
  <c r="GR25" i="1"/>
  <c r="GN25" i="1"/>
  <c r="GJ25" i="1"/>
  <c r="GF25" i="1"/>
  <c r="GB25" i="1"/>
  <c r="FX25" i="1"/>
  <c r="FT25" i="1"/>
  <c r="FQ25" i="1"/>
  <c r="FR25" i="1" s="1"/>
  <c r="FN25" i="1"/>
  <c r="FJ25" i="1"/>
  <c r="FF25" i="1"/>
  <c r="FB25" i="1"/>
  <c r="EX25" i="1"/>
  <c r="ET25" i="1"/>
  <c r="EP25" i="1"/>
  <c r="EL25" i="1"/>
  <c r="EH25" i="1"/>
  <c r="ED25" i="1"/>
  <c r="DZ25" i="1"/>
  <c r="DV25" i="1"/>
  <c r="DS25" i="1"/>
  <c r="DT25" i="1" s="1"/>
  <c r="DO25" i="1"/>
  <c r="DJ25" i="1"/>
  <c r="DE25" i="1"/>
  <c r="CZ25" i="1"/>
  <c r="CU25" i="1"/>
  <c r="CP25" i="1"/>
  <c r="CK25" i="1"/>
  <c r="CF25" i="1"/>
  <c r="CA25" i="1"/>
  <c r="BV25" i="1"/>
  <c r="BQ25" i="1"/>
  <c r="BL25" i="1"/>
  <c r="JM24" i="1"/>
  <c r="JN24" i="1" s="1"/>
  <c r="JJ24" i="1"/>
  <c r="JF24" i="1"/>
  <c r="JB24" i="1"/>
  <c r="IX24" i="1"/>
  <c r="IT24" i="1"/>
  <c r="IP24" i="1"/>
  <c r="IL24" i="1"/>
  <c r="IH24" i="1"/>
  <c r="ID24" i="1"/>
  <c r="HZ24" i="1"/>
  <c r="HV24" i="1"/>
  <c r="HR24" i="1"/>
  <c r="HO24" i="1"/>
  <c r="HP24" i="1" s="1"/>
  <c r="HL24" i="1"/>
  <c r="HH24" i="1"/>
  <c r="HD24" i="1"/>
  <c r="GZ24" i="1"/>
  <c r="GV24" i="1"/>
  <c r="GR24" i="1"/>
  <c r="GN24" i="1"/>
  <c r="GJ24" i="1"/>
  <c r="GF24" i="1"/>
  <c r="GB24" i="1"/>
  <c r="FX24" i="1"/>
  <c r="FT24" i="1"/>
  <c r="FQ24" i="1"/>
  <c r="FR24" i="1" s="1"/>
  <c r="FN24" i="1"/>
  <c r="FJ24" i="1"/>
  <c r="FF24" i="1"/>
  <c r="FB24" i="1"/>
  <c r="EX24" i="1"/>
  <c r="ET24" i="1"/>
  <c r="EP24" i="1"/>
  <c r="EL24" i="1"/>
  <c r="EH24" i="1"/>
  <c r="ED24" i="1"/>
  <c r="DZ24" i="1"/>
  <c r="DV24" i="1"/>
  <c r="DS24" i="1"/>
  <c r="DT24" i="1" s="1"/>
  <c r="DO24" i="1"/>
  <c r="DJ24" i="1"/>
  <c r="DE24" i="1"/>
  <c r="CZ24" i="1"/>
  <c r="CU24" i="1"/>
  <c r="CP24" i="1"/>
  <c r="CK24" i="1"/>
  <c r="CF24" i="1"/>
  <c r="CA24" i="1"/>
  <c r="BV24" i="1"/>
  <c r="BQ24" i="1"/>
  <c r="BL24" i="1"/>
  <c r="JM23" i="1"/>
  <c r="JN23" i="1" s="1"/>
  <c r="JJ23" i="1"/>
  <c r="JF23" i="1"/>
  <c r="JB23" i="1"/>
  <c r="IX23" i="1"/>
  <c r="IT23" i="1"/>
  <c r="IP23" i="1"/>
  <c r="IL23" i="1"/>
  <c r="IH23" i="1"/>
  <c r="ID23" i="1"/>
  <c r="HZ23" i="1"/>
  <c r="HV23" i="1"/>
  <c r="HR23" i="1"/>
  <c r="HO23" i="1"/>
  <c r="HP23" i="1" s="1"/>
  <c r="HL23" i="1"/>
  <c r="HH23" i="1"/>
  <c r="HD23" i="1"/>
  <c r="GZ23" i="1"/>
  <c r="GV23" i="1"/>
  <c r="GR23" i="1"/>
  <c r="GN23" i="1"/>
  <c r="GJ23" i="1"/>
  <c r="GF23" i="1"/>
  <c r="GB23" i="1"/>
  <c r="FX23" i="1"/>
  <c r="FT23" i="1"/>
  <c r="FQ23" i="1"/>
  <c r="FR23" i="1" s="1"/>
  <c r="FN23" i="1"/>
  <c r="FJ23" i="1"/>
  <c r="FF23" i="1"/>
  <c r="FB23" i="1"/>
  <c r="EX23" i="1"/>
  <c r="ET23" i="1"/>
  <c r="EP23" i="1"/>
  <c r="EL23" i="1"/>
  <c r="EH23" i="1"/>
  <c r="ED23" i="1"/>
  <c r="DZ23" i="1"/>
  <c r="DV23" i="1"/>
  <c r="DS23" i="1"/>
  <c r="DT23" i="1" s="1"/>
  <c r="DO23" i="1"/>
  <c r="DJ23" i="1"/>
  <c r="DE23" i="1"/>
  <c r="CZ23" i="1"/>
  <c r="CU23" i="1"/>
  <c r="CP23" i="1"/>
  <c r="CK23" i="1"/>
  <c r="CF23" i="1"/>
  <c r="CA23" i="1"/>
  <c r="BV23" i="1"/>
  <c r="BQ23" i="1"/>
  <c r="BL23" i="1"/>
  <c r="JM22" i="1"/>
  <c r="JN22" i="1" s="1"/>
  <c r="JJ22" i="1"/>
  <c r="JF22" i="1"/>
  <c r="JB22" i="1"/>
  <c r="IX22" i="1"/>
  <c r="IT22" i="1"/>
  <c r="IP22" i="1"/>
  <c r="IL22" i="1"/>
  <c r="IH22" i="1"/>
  <c r="ID22" i="1"/>
  <c r="HZ22" i="1"/>
  <c r="HV22" i="1"/>
  <c r="HR22" i="1"/>
  <c r="HO22" i="1"/>
  <c r="HP22" i="1" s="1"/>
  <c r="HL22" i="1"/>
  <c r="HH22" i="1"/>
  <c r="HD22" i="1"/>
  <c r="GZ22" i="1"/>
  <c r="GV22" i="1"/>
  <c r="GR22" i="1"/>
  <c r="GN22" i="1"/>
  <c r="GJ22" i="1"/>
  <c r="GF22" i="1"/>
  <c r="GB22" i="1"/>
  <c r="FX22" i="1"/>
  <c r="FT22" i="1"/>
  <c r="FQ22" i="1"/>
  <c r="FR22" i="1" s="1"/>
  <c r="FN22" i="1"/>
  <c r="FJ22" i="1"/>
  <c r="FF22" i="1"/>
  <c r="FB22" i="1"/>
  <c r="EX22" i="1"/>
  <c r="ET22" i="1"/>
  <c r="EP22" i="1"/>
  <c r="EL22" i="1"/>
  <c r="EH22" i="1"/>
  <c r="ED22" i="1"/>
  <c r="DZ22" i="1"/>
  <c r="DV22" i="1"/>
  <c r="DS22" i="1"/>
  <c r="DT22" i="1" s="1"/>
  <c r="DO22" i="1"/>
  <c r="DJ22" i="1"/>
  <c r="DE22" i="1"/>
  <c r="CZ22" i="1"/>
  <c r="CU22" i="1"/>
  <c r="CP22" i="1"/>
  <c r="CK22" i="1"/>
  <c r="CF22" i="1"/>
  <c r="CA22" i="1"/>
  <c r="BV22" i="1"/>
  <c r="BQ22" i="1"/>
  <c r="BL22" i="1"/>
  <c r="JM21" i="1"/>
  <c r="JN21" i="1" s="1"/>
  <c r="JJ21" i="1"/>
  <c r="JF21" i="1"/>
  <c r="JB21" i="1"/>
  <c r="IX21" i="1"/>
  <c r="IT21" i="1"/>
  <c r="IP21" i="1"/>
  <c r="IL21" i="1"/>
  <c r="IH21" i="1"/>
  <c r="ID21" i="1"/>
  <c r="HZ21" i="1"/>
  <c r="HV21" i="1"/>
  <c r="HR21" i="1"/>
  <c r="HO21" i="1"/>
  <c r="HP21" i="1" s="1"/>
  <c r="HL21" i="1"/>
  <c r="HH21" i="1"/>
  <c r="HD21" i="1"/>
  <c r="GZ21" i="1"/>
  <c r="GV21" i="1"/>
  <c r="GR21" i="1"/>
  <c r="GN21" i="1"/>
  <c r="GJ21" i="1"/>
  <c r="GF21" i="1"/>
  <c r="GB21" i="1"/>
  <c r="FX21" i="1"/>
  <c r="FT21" i="1"/>
  <c r="FQ21" i="1"/>
  <c r="FR21" i="1" s="1"/>
  <c r="FN21" i="1"/>
  <c r="FJ21" i="1"/>
  <c r="FF21" i="1"/>
  <c r="FB21" i="1"/>
  <c r="EX21" i="1"/>
  <c r="ET21" i="1"/>
  <c r="EP21" i="1"/>
  <c r="EL21" i="1"/>
  <c r="EH21" i="1"/>
  <c r="ED21" i="1"/>
  <c r="DZ21" i="1"/>
  <c r="DV21" i="1"/>
  <c r="DS21" i="1"/>
  <c r="DT21" i="1" s="1"/>
  <c r="DO21" i="1"/>
  <c r="DJ21" i="1"/>
  <c r="DE21" i="1"/>
  <c r="CZ21" i="1"/>
  <c r="CU21" i="1"/>
  <c r="CP21" i="1"/>
  <c r="CK21" i="1"/>
  <c r="CF21" i="1"/>
  <c r="CA21" i="1"/>
  <c r="BV21" i="1"/>
  <c r="BQ21" i="1"/>
  <c r="BL21" i="1"/>
  <c r="JM20" i="1"/>
  <c r="JN20" i="1" s="1"/>
  <c r="JJ20" i="1"/>
  <c r="JF20" i="1"/>
  <c r="JB20" i="1"/>
  <c r="IX20" i="1"/>
  <c r="IT20" i="1"/>
  <c r="IP20" i="1"/>
  <c r="IL20" i="1"/>
  <c r="IH20" i="1"/>
  <c r="ID20" i="1"/>
  <c r="HZ20" i="1"/>
  <c r="HV20" i="1"/>
  <c r="HR20" i="1"/>
  <c r="HO20" i="1"/>
  <c r="HP20" i="1" s="1"/>
  <c r="HL20" i="1"/>
  <c r="HH20" i="1"/>
  <c r="HD20" i="1"/>
  <c r="GZ20" i="1"/>
  <c r="GV20" i="1"/>
  <c r="GR20" i="1"/>
  <c r="GN20" i="1"/>
  <c r="GJ20" i="1"/>
  <c r="GF20" i="1"/>
  <c r="GB20" i="1"/>
  <c r="FX20" i="1"/>
  <c r="FT20" i="1"/>
  <c r="FQ20" i="1"/>
  <c r="FR20" i="1" s="1"/>
  <c r="FN20" i="1"/>
  <c r="FJ20" i="1"/>
  <c r="FF20" i="1"/>
  <c r="FB20" i="1"/>
  <c r="EX20" i="1"/>
  <c r="ET20" i="1"/>
  <c r="EP20" i="1"/>
  <c r="EL20" i="1"/>
  <c r="EH20" i="1"/>
  <c r="ED20" i="1"/>
  <c r="DZ20" i="1"/>
  <c r="DV20" i="1"/>
  <c r="DS20" i="1"/>
  <c r="DT20" i="1" s="1"/>
  <c r="DO20" i="1"/>
  <c r="DJ20" i="1"/>
  <c r="DE20" i="1"/>
  <c r="CZ20" i="1"/>
  <c r="CU20" i="1"/>
  <c r="CP20" i="1"/>
  <c r="CK20" i="1"/>
  <c r="CF20" i="1"/>
  <c r="CA20" i="1"/>
  <c r="BV20" i="1"/>
  <c r="BQ20" i="1"/>
  <c r="BL20" i="1"/>
  <c r="JM19" i="1"/>
  <c r="JN19" i="1" s="1"/>
  <c r="JJ19" i="1"/>
  <c r="JF19" i="1"/>
  <c r="JB19" i="1"/>
  <c r="IX19" i="1"/>
  <c r="IT19" i="1"/>
  <c r="IP19" i="1"/>
  <c r="IL19" i="1"/>
  <c r="IH19" i="1"/>
  <c r="ID19" i="1"/>
  <c r="HZ19" i="1"/>
  <c r="HV19" i="1"/>
  <c r="HR19" i="1"/>
  <c r="HO19" i="1"/>
  <c r="HP19" i="1" s="1"/>
  <c r="HL19" i="1"/>
  <c r="HH19" i="1"/>
  <c r="HD19" i="1"/>
  <c r="GZ19" i="1"/>
  <c r="GV19" i="1"/>
  <c r="GR19" i="1"/>
  <c r="GN19" i="1"/>
  <c r="GJ19" i="1"/>
  <c r="GF19" i="1"/>
  <c r="GB19" i="1"/>
  <c r="FX19" i="1"/>
  <c r="FT19" i="1"/>
  <c r="FQ19" i="1"/>
  <c r="FR19" i="1" s="1"/>
  <c r="FN19" i="1"/>
  <c r="FJ19" i="1"/>
  <c r="FF19" i="1"/>
  <c r="FB19" i="1"/>
  <c r="EX19" i="1"/>
  <c r="ET19" i="1"/>
  <c r="EP19" i="1"/>
  <c r="EL19" i="1"/>
  <c r="EH19" i="1"/>
  <c r="ED19" i="1"/>
  <c r="DZ19" i="1"/>
  <c r="DV19" i="1"/>
  <c r="DS19" i="1"/>
  <c r="DT19" i="1" s="1"/>
  <c r="DO19" i="1"/>
  <c r="DJ19" i="1"/>
  <c r="DE19" i="1"/>
  <c r="CZ19" i="1"/>
  <c r="CU19" i="1"/>
  <c r="CP19" i="1"/>
  <c r="CK19" i="1"/>
  <c r="CF19" i="1"/>
  <c r="CA19" i="1"/>
  <c r="BV19" i="1"/>
  <c r="BQ19" i="1"/>
  <c r="BL19" i="1"/>
  <c r="BI19" i="1"/>
  <c r="BJ19" i="1" s="1"/>
  <c r="JM18" i="1"/>
  <c r="JN18" i="1" s="1"/>
  <c r="JJ18" i="1"/>
  <c r="JF18" i="1"/>
  <c r="JB18" i="1"/>
  <c r="IX18" i="1"/>
  <c r="IT18" i="1"/>
  <c r="IP18" i="1"/>
  <c r="IL18" i="1"/>
  <c r="IH18" i="1"/>
  <c r="ID18" i="1"/>
  <c r="HZ18" i="1"/>
  <c r="HV18" i="1"/>
  <c r="HR18" i="1"/>
  <c r="HO18" i="1"/>
  <c r="HP18" i="1" s="1"/>
  <c r="HL18" i="1"/>
  <c r="HH18" i="1"/>
  <c r="HD18" i="1"/>
  <c r="GZ18" i="1"/>
  <c r="GV18" i="1"/>
  <c r="GR18" i="1"/>
  <c r="GN18" i="1"/>
  <c r="GJ18" i="1"/>
  <c r="GF18" i="1"/>
  <c r="GB18" i="1"/>
  <c r="FX18" i="1"/>
  <c r="FT18" i="1"/>
  <c r="FQ18" i="1"/>
  <c r="FR18" i="1" s="1"/>
  <c r="FN18" i="1"/>
  <c r="FJ18" i="1"/>
  <c r="FF18" i="1"/>
  <c r="FB18" i="1"/>
  <c r="EX18" i="1"/>
  <c r="ET18" i="1"/>
  <c r="EP18" i="1"/>
  <c r="EL18" i="1"/>
  <c r="EH18" i="1"/>
  <c r="ED18" i="1"/>
  <c r="DZ18" i="1"/>
  <c r="DV18" i="1"/>
  <c r="DS18" i="1"/>
  <c r="DT18" i="1" s="1"/>
  <c r="DO18" i="1"/>
  <c r="DJ18" i="1"/>
  <c r="DE18" i="1"/>
  <c r="CZ18" i="1"/>
  <c r="CU18" i="1"/>
  <c r="CP18" i="1"/>
  <c r="CK18" i="1"/>
  <c r="CF18" i="1"/>
  <c r="CA18" i="1"/>
  <c r="BV18" i="1"/>
  <c r="BQ18" i="1"/>
  <c r="BL18" i="1"/>
  <c r="BI18" i="1"/>
  <c r="BJ18" i="1" s="1"/>
  <c r="JM17" i="1"/>
  <c r="JN17" i="1" s="1"/>
  <c r="JJ17" i="1"/>
  <c r="JF17" i="1"/>
  <c r="JB17" i="1"/>
  <c r="IX17" i="1"/>
  <c r="IT17" i="1"/>
  <c r="IP17" i="1"/>
  <c r="IL17" i="1"/>
  <c r="IH17" i="1"/>
  <c r="ID17" i="1"/>
  <c r="HZ17" i="1"/>
  <c r="HV17" i="1"/>
  <c r="HR17" i="1"/>
  <c r="HO17" i="1"/>
  <c r="HP17" i="1" s="1"/>
  <c r="HL17" i="1"/>
  <c r="HH17" i="1"/>
  <c r="HD17" i="1"/>
  <c r="GZ17" i="1"/>
  <c r="GV17" i="1"/>
  <c r="GR17" i="1"/>
  <c r="GN17" i="1"/>
  <c r="GJ17" i="1"/>
  <c r="GF17" i="1"/>
  <c r="GB17" i="1"/>
  <c r="FX17" i="1"/>
  <c r="FT17" i="1"/>
  <c r="FQ17" i="1"/>
  <c r="FR17" i="1" s="1"/>
  <c r="FN17" i="1"/>
  <c r="FJ17" i="1"/>
  <c r="FF17" i="1"/>
  <c r="FB17" i="1"/>
  <c r="EX17" i="1"/>
  <c r="ET17" i="1"/>
  <c r="EP17" i="1"/>
  <c r="EL17" i="1"/>
  <c r="EH17" i="1"/>
  <c r="ED17" i="1"/>
  <c r="DZ17" i="1"/>
  <c r="DV17" i="1"/>
  <c r="DS17" i="1"/>
  <c r="DT17" i="1" s="1"/>
  <c r="DO17" i="1"/>
  <c r="DJ17" i="1"/>
  <c r="DE17" i="1"/>
  <c r="CZ17" i="1"/>
  <c r="CU17" i="1"/>
  <c r="CP17" i="1"/>
  <c r="CK17" i="1"/>
  <c r="CF17" i="1"/>
  <c r="CA17" i="1"/>
  <c r="BV17" i="1"/>
  <c r="BQ17" i="1"/>
  <c r="BL17" i="1"/>
  <c r="BI17" i="1"/>
  <c r="BJ17" i="1" s="1"/>
  <c r="JM16" i="1"/>
  <c r="JN16" i="1" s="1"/>
  <c r="JJ16" i="1"/>
  <c r="JF16" i="1"/>
  <c r="JB16" i="1"/>
  <c r="IX16" i="1"/>
  <c r="IT16" i="1"/>
  <c r="IP16" i="1"/>
  <c r="IL16" i="1"/>
  <c r="IH16" i="1"/>
  <c r="ID16" i="1"/>
  <c r="HZ16" i="1"/>
  <c r="HV16" i="1"/>
  <c r="HR16" i="1"/>
  <c r="HO16" i="1"/>
  <c r="HP16" i="1" s="1"/>
  <c r="HL16" i="1"/>
  <c r="HH16" i="1"/>
  <c r="HD16" i="1"/>
  <c r="GZ16" i="1"/>
  <c r="GV16" i="1"/>
  <c r="GR16" i="1"/>
  <c r="GN16" i="1"/>
  <c r="GJ16" i="1"/>
  <c r="GF16" i="1"/>
  <c r="GB16" i="1"/>
  <c r="FX16" i="1"/>
  <c r="FT16" i="1"/>
  <c r="FQ16" i="1"/>
  <c r="FR16" i="1" s="1"/>
  <c r="DZ16" i="1"/>
  <c r="DS16" i="1"/>
  <c r="DT16" i="1" s="1"/>
  <c r="DO16" i="1"/>
  <c r="DJ16" i="1"/>
  <c r="DE16" i="1"/>
  <c r="CZ16" i="1"/>
  <c r="CU16" i="1"/>
  <c r="CP16" i="1"/>
  <c r="CK16" i="1"/>
  <c r="CF16" i="1"/>
  <c r="CA16" i="1"/>
  <c r="BV16" i="1"/>
  <c r="BQ16" i="1"/>
  <c r="BL16" i="1"/>
  <c r="BI16" i="1"/>
  <c r="BJ16" i="1" s="1"/>
  <c r="JM15" i="1"/>
  <c r="JN15" i="1" s="1"/>
  <c r="JJ15" i="1"/>
  <c r="JF15" i="1"/>
  <c r="JB15" i="1"/>
  <c r="IX15" i="1"/>
  <c r="IT15" i="1"/>
  <c r="IP15" i="1"/>
  <c r="IL15" i="1"/>
  <c r="IH15" i="1"/>
  <c r="ID15" i="1"/>
  <c r="HZ15" i="1"/>
  <c r="HV15" i="1"/>
  <c r="HR15" i="1"/>
  <c r="HO15" i="1"/>
  <c r="HP15" i="1" s="1"/>
  <c r="HL15" i="1"/>
  <c r="HH15" i="1"/>
  <c r="HD15" i="1"/>
  <c r="GZ15" i="1"/>
  <c r="GV15" i="1"/>
  <c r="GR15" i="1"/>
  <c r="GN15" i="1"/>
  <c r="GJ15" i="1"/>
  <c r="GF15" i="1"/>
  <c r="GB15" i="1"/>
  <c r="FX15" i="1"/>
  <c r="FT15" i="1"/>
  <c r="FQ15" i="1"/>
  <c r="FR15" i="1" s="1"/>
  <c r="FN15" i="1"/>
  <c r="FJ15" i="1"/>
  <c r="FF15" i="1"/>
  <c r="FB15" i="1"/>
  <c r="EX15" i="1"/>
  <c r="ET15" i="1"/>
  <c r="EP15" i="1"/>
  <c r="EL15" i="1"/>
  <c r="EH15" i="1"/>
  <c r="ED15" i="1"/>
  <c r="DZ15" i="1"/>
  <c r="DV15" i="1"/>
  <c r="DS15" i="1"/>
  <c r="DT15" i="1" s="1"/>
  <c r="DO15" i="1"/>
  <c r="DJ15" i="1"/>
  <c r="DE15" i="1"/>
  <c r="CZ15" i="1"/>
  <c r="CU15" i="1"/>
  <c r="CP15" i="1"/>
  <c r="CK15" i="1"/>
  <c r="CF15" i="1"/>
  <c r="CA15" i="1"/>
  <c r="BV15" i="1"/>
  <c r="BQ15" i="1"/>
  <c r="BL15" i="1"/>
  <c r="BI15" i="1"/>
  <c r="BJ15" i="1" s="1"/>
  <c r="JM14" i="1"/>
  <c r="JN14" i="1" s="1"/>
  <c r="JJ14" i="1"/>
  <c r="JF14" i="1"/>
  <c r="JB14" i="1"/>
  <c r="IX14" i="1"/>
  <c r="IT14" i="1"/>
  <c r="IP14" i="1"/>
  <c r="IL14" i="1"/>
  <c r="IH14" i="1"/>
  <c r="ID14" i="1"/>
  <c r="HZ14" i="1"/>
  <c r="HV14" i="1"/>
  <c r="HR14" i="1"/>
  <c r="HO14" i="1"/>
  <c r="HP14" i="1" s="1"/>
  <c r="HL14" i="1"/>
  <c r="HH14" i="1"/>
  <c r="HD14" i="1"/>
  <c r="GZ14" i="1"/>
  <c r="GV14" i="1"/>
  <c r="GR14" i="1"/>
  <c r="GN14" i="1"/>
  <c r="GJ14" i="1"/>
  <c r="GF14" i="1"/>
  <c r="GB14" i="1"/>
  <c r="FX14" i="1"/>
  <c r="FT14" i="1"/>
  <c r="FQ14" i="1"/>
  <c r="FR14" i="1" s="1"/>
  <c r="FN14" i="1"/>
  <c r="FJ14" i="1"/>
  <c r="FF14" i="1"/>
  <c r="FB14" i="1"/>
  <c r="EX14" i="1"/>
  <c r="ET14" i="1"/>
  <c r="EP14" i="1"/>
  <c r="EH14" i="1"/>
  <c r="ED14" i="1"/>
  <c r="DZ14" i="1"/>
  <c r="DV14" i="1"/>
  <c r="DS14" i="1"/>
  <c r="DT14" i="1" s="1"/>
  <c r="DO14" i="1"/>
  <c r="DJ14" i="1"/>
  <c r="DE14" i="1"/>
  <c r="CZ14" i="1"/>
  <c r="CU14" i="1"/>
  <c r="CP14" i="1"/>
  <c r="CK14" i="1"/>
  <c r="CF14" i="1"/>
  <c r="CA14" i="1"/>
  <c r="BV14" i="1"/>
  <c r="BQ14" i="1"/>
  <c r="BL14" i="1"/>
  <c r="BI14" i="1"/>
  <c r="BJ14" i="1" s="1"/>
  <c r="JM13" i="1"/>
  <c r="JN13" i="1" s="1"/>
  <c r="JJ13" i="1"/>
  <c r="JF13" i="1"/>
  <c r="JB13" i="1"/>
  <c r="IX13" i="1"/>
  <c r="IT13" i="1"/>
  <c r="IP13" i="1"/>
  <c r="IL13" i="1"/>
  <c r="IH13" i="1"/>
  <c r="ID13" i="1"/>
  <c r="HZ13" i="1"/>
  <c r="HV13" i="1"/>
  <c r="HR13" i="1"/>
  <c r="HO13" i="1"/>
  <c r="HP13" i="1" s="1"/>
  <c r="HL13" i="1"/>
  <c r="HH13" i="1"/>
  <c r="HD13" i="1"/>
  <c r="GZ13" i="1"/>
  <c r="GV13" i="1"/>
  <c r="GR13" i="1"/>
  <c r="GN13" i="1"/>
  <c r="GJ13" i="1"/>
  <c r="GF13" i="1"/>
  <c r="GB13" i="1"/>
  <c r="FX13" i="1"/>
  <c r="FT13" i="1"/>
  <c r="FQ13" i="1"/>
  <c r="FR13" i="1" s="1"/>
  <c r="ED13" i="1"/>
  <c r="DZ13" i="1"/>
  <c r="DV13" i="1"/>
  <c r="DS13" i="1"/>
  <c r="DT13" i="1" s="1"/>
  <c r="DO13" i="1"/>
  <c r="DJ13" i="1"/>
  <c r="DE13" i="1"/>
  <c r="CZ13" i="1"/>
  <c r="CU13" i="1"/>
  <c r="CP13" i="1"/>
  <c r="CK13" i="1"/>
  <c r="CF13" i="1"/>
  <c r="CA13" i="1"/>
  <c r="BV13" i="1"/>
  <c r="BQ13" i="1"/>
  <c r="BL13" i="1"/>
  <c r="BI13" i="1"/>
  <c r="BJ13" i="1" s="1"/>
  <c r="JM12" i="1"/>
  <c r="JN12" i="1" s="1"/>
  <c r="JJ12" i="1"/>
  <c r="JF12" i="1"/>
  <c r="JB12" i="1"/>
  <c r="IX12" i="1"/>
  <c r="IT12" i="1"/>
  <c r="IP12" i="1"/>
  <c r="IL12" i="1"/>
  <c r="IH12" i="1"/>
  <c r="ID12" i="1"/>
  <c r="HZ12" i="1"/>
  <c r="HV12" i="1"/>
  <c r="HR12" i="1"/>
  <c r="HO12" i="1"/>
  <c r="HP12" i="1" s="1"/>
  <c r="HL12" i="1"/>
  <c r="HH12" i="1"/>
  <c r="HD12" i="1"/>
  <c r="GZ12" i="1"/>
  <c r="GV12" i="1"/>
  <c r="GR12" i="1"/>
  <c r="GN12" i="1"/>
  <c r="GJ12" i="1"/>
  <c r="GF12" i="1"/>
  <c r="GB12" i="1"/>
  <c r="FX12" i="1"/>
  <c r="FT12" i="1"/>
  <c r="FQ12" i="1"/>
  <c r="FR12" i="1" s="1"/>
  <c r="DS12" i="1"/>
  <c r="DT12" i="1" s="1"/>
  <c r="DO12" i="1"/>
  <c r="DJ12" i="1"/>
  <c r="DE12" i="1"/>
  <c r="CZ12" i="1"/>
  <c r="CU12" i="1"/>
  <c r="CP12" i="1"/>
  <c r="CK12" i="1"/>
  <c r="CF12" i="1"/>
  <c r="CA12" i="1"/>
  <c r="BV12" i="1"/>
  <c r="BQ12" i="1"/>
  <c r="BL12" i="1"/>
  <c r="BI12" i="1"/>
  <c r="BJ12" i="1" s="1"/>
  <c r="JM11" i="1"/>
  <c r="JN11" i="1" s="1"/>
  <c r="JJ11" i="1"/>
  <c r="JF11" i="1"/>
  <c r="JB11" i="1"/>
  <c r="IX11" i="1"/>
  <c r="IT11" i="1"/>
  <c r="IP11" i="1"/>
  <c r="IL11" i="1"/>
  <c r="IH11" i="1"/>
  <c r="ID11" i="1"/>
  <c r="HZ11" i="1"/>
  <c r="HV11" i="1"/>
  <c r="HR11" i="1"/>
  <c r="HO11" i="1"/>
  <c r="HP11" i="1" s="1"/>
  <c r="HL11" i="1"/>
  <c r="HH11" i="1"/>
  <c r="HD11" i="1"/>
  <c r="GZ11" i="1"/>
  <c r="GV11" i="1"/>
  <c r="GR11" i="1"/>
  <c r="GN11" i="1"/>
  <c r="GJ11" i="1"/>
  <c r="GF11" i="1"/>
  <c r="GB11" i="1"/>
  <c r="FX11" i="1"/>
  <c r="FT11" i="1"/>
  <c r="FQ11" i="1"/>
  <c r="FR11" i="1" s="1"/>
  <c r="FN11" i="1"/>
  <c r="FJ11" i="1"/>
  <c r="FF11" i="1"/>
  <c r="FB11" i="1"/>
  <c r="EX11" i="1"/>
  <c r="ET11" i="1"/>
  <c r="EP11" i="1"/>
  <c r="EL11" i="1"/>
  <c r="EH11" i="1"/>
  <c r="ED11" i="1"/>
  <c r="DZ11" i="1"/>
  <c r="DV11" i="1"/>
  <c r="DS11" i="1"/>
  <c r="DT11" i="1" s="1"/>
  <c r="DO11" i="1"/>
  <c r="DJ11" i="1"/>
  <c r="DE11" i="1"/>
  <c r="CZ11" i="1"/>
  <c r="CU11" i="1"/>
  <c r="CP11" i="1"/>
  <c r="CK11" i="1"/>
  <c r="CF11" i="1"/>
  <c r="CA11" i="1"/>
  <c r="BV11" i="1"/>
  <c r="BQ11" i="1"/>
  <c r="BL11" i="1"/>
  <c r="BI11" i="1"/>
  <c r="BJ11" i="1" s="1"/>
  <c r="JM10" i="1"/>
  <c r="JN10" i="1" s="1"/>
  <c r="JJ10" i="1"/>
  <c r="JF10" i="1"/>
  <c r="JB10" i="1"/>
  <c r="IX10" i="1"/>
  <c r="IT10" i="1"/>
  <c r="IP10" i="1"/>
  <c r="IL10" i="1"/>
  <c r="IH10" i="1"/>
  <c r="ID10" i="1"/>
  <c r="HZ10" i="1"/>
  <c r="HV10" i="1"/>
  <c r="HR10" i="1"/>
  <c r="HO10" i="1"/>
  <c r="HP10" i="1" s="1"/>
  <c r="HL10" i="1"/>
  <c r="HH10" i="1"/>
  <c r="HD10" i="1"/>
  <c r="GZ10" i="1"/>
  <c r="GV10" i="1"/>
  <c r="GR10" i="1"/>
  <c r="GN10" i="1"/>
  <c r="GJ10" i="1"/>
  <c r="GF10" i="1"/>
  <c r="GB10" i="1"/>
  <c r="FX10" i="1"/>
  <c r="FT10" i="1"/>
  <c r="FQ10" i="1"/>
  <c r="FR10" i="1" s="1"/>
  <c r="FN10" i="1"/>
  <c r="FJ10" i="1"/>
  <c r="FF10" i="1"/>
  <c r="FB10" i="1"/>
  <c r="EX10" i="1"/>
  <c r="ET10" i="1"/>
  <c r="EP10" i="1"/>
  <c r="EL10" i="1"/>
  <c r="ED10" i="1"/>
  <c r="DZ10" i="1"/>
  <c r="DV10" i="1"/>
  <c r="DS10" i="1"/>
  <c r="DT10" i="1" s="1"/>
  <c r="DO10" i="1"/>
  <c r="DJ10" i="1"/>
  <c r="DE10" i="1"/>
  <c r="CZ10" i="1"/>
  <c r="CU10" i="1"/>
  <c r="CP10" i="1"/>
  <c r="CK10" i="1"/>
  <c r="CF10" i="1"/>
  <c r="CA10" i="1"/>
  <c r="BV10" i="1"/>
  <c r="BQ10" i="1"/>
  <c r="BL10" i="1"/>
  <c r="BI10" i="1"/>
  <c r="BJ10" i="1" s="1"/>
  <c r="JM9" i="1"/>
  <c r="JN9" i="1" s="1"/>
  <c r="JJ9" i="1"/>
  <c r="JF9" i="1"/>
  <c r="JB9" i="1"/>
  <c r="IX9" i="1"/>
  <c r="IT9" i="1"/>
  <c r="IP9" i="1"/>
  <c r="IL9" i="1"/>
  <c r="IH9" i="1"/>
  <c r="ID9" i="1"/>
  <c r="HZ9" i="1"/>
  <c r="HV9" i="1"/>
  <c r="HR9" i="1"/>
  <c r="HO9" i="1"/>
  <c r="HP9" i="1" s="1"/>
  <c r="HL9" i="1"/>
  <c r="HH9" i="1"/>
  <c r="HD9" i="1"/>
  <c r="GZ9" i="1"/>
  <c r="GV9" i="1"/>
  <c r="GR9" i="1"/>
  <c r="GN9" i="1"/>
  <c r="GJ9" i="1"/>
  <c r="GF9" i="1"/>
  <c r="GB9" i="1"/>
  <c r="FX9" i="1"/>
  <c r="FT9" i="1"/>
  <c r="FQ9" i="1"/>
  <c r="FR9" i="1" s="1"/>
  <c r="FN9" i="1"/>
  <c r="FJ9" i="1"/>
  <c r="FF9" i="1"/>
  <c r="FB9" i="1"/>
  <c r="EX9" i="1"/>
  <c r="ET9" i="1"/>
  <c r="EP9" i="1"/>
  <c r="EL9" i="1"/>
  <c r="EH9" i="1"/>
  <c r="ED9" i="1"/>
  <c r="DZ9" i="1"/>
  <c r="DV9" i="1"/>
  <c r="DS9" i="1"/>
  <c r="DT9" i="1" s="1"/>
  <c r="DO9" i="1"/>
  <c r="DJ9" i="1"/>
  <c r="DE9" i="1"/>
  <c r="CZ9" i="1"/>
  <c r="CU9" i="1"/>
  <c r="CP9" i="1"/>
  <c r="CK9" i="1"/>
  <c r="CF9" i="1"/>
  <c r="CA9" i="1"/>
  <c r="BV9" i="1"/>
  <c r="BQ9" i="1"/>
  <c r="BL9" i="1"/>
  <c r="BI9" i="1"/>
  <c r="BJ9" i="1" s="1"/>
  <c r="JM8" i="1"/>
  <c r="JN8" i="1" s="1"/>
  <c r="JJ8" i="1"/>
  <c r="JF8" i="1"/>
  <c r="JB8" i="1"/>
  <c r="IX8" i="1"/>
  <c r="IT8" i="1"/>
  <c r="IP8" i="1"/>
  <c r="IL8" i="1"/>
  <c r="IH8" i="1"/>
  <c r="ID8" i="1"/>
  <c r="HZ8" i="1"/>
  <c r="HV8" i="1"/>
  <c r="HR8" i="1"/>
  <c r="HO8" i="1"/>
  <c r="HP8" i="1" s="1"/>
  <c r="HL8" i="1"/>
  <c r="HH8" i="1"/>
  <c r="HD8" i="1"/>
  <c r="GZ8" i="1"/>
  <c r="GV8" i="1"/>
  <c r="GR8" i="1"/>
  <c r="GN8" i="1"/>
  <c r="GJ8" i="1"/>
  <c r="GF8" i="1"/>
  <c r="GB8" i="1"/>
  <c r="FX8" i="1"/>
  <c r="FT8" i="1"/>
  <c r="FQ8" i="1"/>
  <c r="FR8" i="1" s="1"/>
  <c r="FN8" i="1"/>
  <c r="FJ8" i="1"/>
  <c r="FF8" i="1"/>
  <c r="FB8" i="1"/>
  <c r="EX8" i="1"/>
  <c r="ET8" i="1"/>
  <c r="EP8" i="1"/>
  <c r="EL8" i="1"/>
  <c r="EH8" i="1"/>
  <c r="ED8" i="1"/>
  <c r="DS8" i="1"/>
  <c r="DT8" i="1" s="1"/>
  <c r="DO8" i="1"/>
  <c r="DJ8" i="1"/>
  <c r="DE8" i="1"/>
  <c r="CZ8" i="1"/>
  <c r="CU8" i="1"/>
  <c r="CP8" i="1"/>
  <c r="CK8" i="1"/>
  <c r="CF8" i="1"/>
  <c r="CA8" i="1"/>
  <c r="BV8" i="1"/>
  <c r="BQ8" i="1"/>
  <c r="BL8" i="1"/>
  <c r="BI8" i="1"/>
  <c r="BJ8" i="1" s="1"/>
  <c r="JM7" i="1"/>
  <c r="JN7" i="1" s="1"/>
  <c r="JJ7" i="1"/>
  <c r="JF7" i="1"/>
  <c r="JB7" i="1"/>
  <c r="IX7" i="1"/>
  <c r="IT7" i="1"/>
  <c r="IP7" i="1"/>
  <c r="IL7" i="1"/>
  <c r="IH7" i="1"/>
  <c r="ID7" i="1"/>
  <c r="HZ7" i="1"/>
  <c r="HV7" i="1"/>
  <c r="HR7" i="1"/>
  <c r="HO7" i="1"/>
  <c r="HP7" i="1" s="1"/>
  <c r="HL7" i="1"/>
  <c r="HH7" i="1"/>
  <c r="HD7" i="1"/>
  <c r="GZ7" i="1"/>
  <c r="GV7" i="1"/>
  <c r="GR7" i="1"/>
  <c r="GN7" i="1"/>
  <c r="GJ7" i="1"/>
  <c r="GF7" i="1"/>
  <c r="GB7" i="1"/>
  <c r="FX7" i="1"/>
  <c r="FT7" i="1"/>
  <c r="FQ7" i="1"/>
  <c r="FR7" i="1" s="1"/>
  <c r="FN7" i="1"/>
  <c r="FJ7" i="1"/>
  <c r="FF7" i="1"/>
  <c r="FB7" i="1"/>
  <c r="EX7" i="1"/>
  <c r="ET7" i="1"/>
  <c r="EP7" i="1"/>
  <c r="EL7" i="1"/>
  <c r="EH7" i="1"/>
  <c r="ED7" i="1"/>
  <c r="DS7" i="1"/>
  <c r="DT7" i="1" s="1"/>
  <c r="DO7" i="1"/>
  <c r="DJ7" i="1"/>
  <c r="DE7" i="1"/>
  <c r="CZ7" i="1"/>
  <c r="CU7" i="1"/>
  <c r="CP7" i="1"/>
  <c r="CK7" i="1"/>
  <c r="CF7" i="1"/>
  <c r="CA7" i="1"/>
  <c r="BV7" i="1"/>
  <c r="BQ7" i="1"/>
  <c r="BL7" i="1"/>
  <c r="BI7" i="1"/>
  <c r="BJ7" i="1" s="1"/>
  <c r="JM6" i="1"/>
  <c r="JJ6" i="1"/>
  <c r="JF6" i="1"/>
  <c r="JB6" i="1"/>
  <c r="IX6" i="1"/>
  <c r="IT6" i="1"/>
  <c r="IP6" i="1"/>
  <c r="IL6" i="1"/>
  <c r="IH6" i="1"/>
  <c r="ID6" i="1"/>
  <c r="HZ6" i="1"/>
  <c r="HV6" i="1"/>
  <c r="HR6" i="1"/>
  <c r="HO6" i="1"/>
  <c r="HP6" i="1" s="1"/>
  <c r="HP116" i="1" s="1"/>
  <c r="HL6" i="1"/>
  <c r="HH6" i="1"/>
  <c r="HD6" i="1"/>
  <c r="GZ6" i="1"/>
  <c r="GV6" i="1"/>
  <c r="GR6" i="1"/>
  <c r="GN6" i="1"/>
  <c r="GJ6" i="1"/>
  <c r="GF6" i="1"/>
  <c r="GB6" i="1"/>
  <c r="FX6" i="1"/>
  <c r="FT6" i="1"/>
  <c r="FQ6" i="1"/>
  <c r="FR6" i="1" s="1"/>
  <c r="FN6" i="1"/>
  <c r="FJ6" i="1"/>
  <c r="FF6" i="1"/>
  <c r="FB6" i="1"/>
  <c r="EX6" i="1"/>
  <c r="ET6" i="1"/>
  <c r="EP6" i="1"/>
  <c r="EL6" i="1"/>
  <c r="EH6" i="1"/>
  <c r="ED6" i="1"/>
  <c r="DZ6" i="1"/>
  <c r="DS6" i="1"/>
  <c r="DT6" i="1" s="1"/>
  <c r="DO6" i="1"/>
  <c r="DJ6" i="1"/>
  <c r="DE6" i="1"/>
  <c r="CZ6" i="1"/>
  <c r="CU6" i="1"/>
  <c r="CP6" i="1"/>
  <c r="CK6" i="1"/>
  <c r="CF6" i="1"/>
  <c r="CA6" i="1"/>
  <c r="BV6" i="1"/>
  <c r="BQ6" i="1"/>
  <c r="BL6" i="1"/>
  <c r="BI6" i="1"/>
  <c r="BJ6" i="1" s="1"/>
  <c r="FB126" i="1" l="1"/>
  <c r="FF126" i="1"/>
  <c r="DZ126" i="1"/>
  <c r="ED126" i="1"/>
  <c r="FJ126" i="1"/>
  <c r="EH126" i="1"/>
  <c r="FN126" i="1"/>
  <c r="EL126" i="1"/>
  <c r="DV126" i="1"/>
  <c r="DT116" i="1"/>
  <c r="EP126" i="1"/>
  <c r="ET126" i="1"/>
  <c r="JM116" i="1"/>
  <c r="DS116" i="1"/>
  <c r="EX126" i="1"/>
  <c r="FR116" i="1"/>
  <c r="FQ116" i="1"/>
  <c r="JN6" i="1"/>
  <c r="JN116" i="1" s="1"/>
  <c r="HO116" i="1"/>
</calcChain>
</file>

<file path=xl/sharedStrings.xml><?xml version="1.0" encoding="utf-8"?>
<sst xmlns="http://schemas.openxmlformats.org/spreadsheetml/2006/main" count="474" uniqueCount="174">
  <si>
    <t>Дата</t>
  </si>
  <si>
    <t xml:space="preserve"> - курс юань/рубль</t>
  </si>
  <si>
    <t xml:space="preserve"> - курс евро/юань</t>
  </si>
  <si>
    <t>Продажи 2024</t>
  </si>
  <si>
    <t xml:space="preserve">                                                                                                                                                                         Продажи 2025</t>
  </si>
  <si>
    <t xml:space="preserve">                                                                                                                                                                         Продажи 2026</t>
  </si>
  <si>
    <t xml:space="preserve">                                                                                                                                                                         Продажи 2027</t>
  </si>
  <si>
    <t xml:space="preserve">                                                                                                                                                                         Продажи 2028</t>
  </si>
  <si>
    <t>Клиент</t>
  </si>
  <si>
    <t>Условия оплаты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</si>
  <si>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</si>
  <si>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</si>
  <si>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</si>
  <si>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</si>
  <si>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</si>
  <si>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</si>
  <si>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Цена, 
юань, </t>
    </r>
    <r>
      <rPr>
        <b/>
        <sz val="14"/>
        <color indexed="2"/>
        <rFont val="Calibri"/>
        <family val="2"/>
        <charset val="204"/>
        <scheme val="minor"/>
      </rPr>
      <t>без НДС</t>
    </r>
  </si>
  <si>
    <r>
      <t xml:space="preserve">Цена в валюте из контракта с клиентом,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</si>
  <si>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 из контракта с клиентом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</si>
  <si>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</si>
  <si>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</si>
  <si>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</si>
  <si>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</si>
  <si>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</si>
  <si>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</si>
  <si>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</si>
  <si>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</si>
  <si>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</si>
  <si>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</si>
  <si>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ИТОГО, 2024</t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</si>
  <si>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</si>
  <si>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</si>
  <si>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</si>
  <si>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</si>
  <si>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</si>
  <si>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</si>
  <si>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</si>
  <si>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</si>
  <si>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</si>
  <si>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AOP негатив, шт</t>
  </si>
  <si>
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</si>
  <si>
    <t>ВБК Рус</t>
  </si>
  <si>
    <t>Ушаков Алексей</t>
  </si>
  <si>
    <t>Электронный блок TEBS</t>
  </si>
  <si>
    <t>RUB</t>
  </si>
  <si>
    <t>WA-3601400</t>
  </si>
  <si>
    <t>Диагностический комплект с кабелями (WA-3601200,WA-3601300)</t>
  </si>
  <si>
    <t>Кабель диагностический модифицированный, COM-port</t>
  </si>
  <si>
    <t>Тормозная камера тип 24 для барабанного тормоза. С резиновым чехлом и вилкой.</t>
  </si>
  <si>
    <t>Катридж осушителя (влагоуловитель)</t>
  </si>
  <si>
    <t>Катридж осушителя (влаго-масло уловитель)</t>
  </si>
  <si>
    <t>Датчик АБС угловой 1 м</t>
  </si>
  <si>
    <t>Датчик давления</t>
  </si>
  <si>
    <t>Кабель подъема оси 4 м.</t>
  </si>
  <si>
    <t>Кабель подъема оси 6 м.</t>
  </si>
  <si>
    <t>Удлинитель датчика АБС 3 м</t>
  </si>
  <si>
    <t>Трубка спиральная (красная) 16х1,5</t>
  </si>
  <si>
    <t>Трубка спиральная (желтая) 16х1,5</t>
  </si>
  <si>
    <t>Кран управления подъемной осью</t>
  </si>
  <si>
    <t>Кран уровня пола без ограничения</t>
  </si>
  <si>
    <t>Кран уровня пола с ограничением</t>
  </si>
  <si>
    <t>Клапан (ABS ASR 3/2)</t>
  </si>
  <si>
    <t>Втулка датчика АБС</t>
  </si>
  <si>
    <t>Камера тормозная Т20/24</t>
  </si>
  <si>
    <t>Соединительная головка с фильтром</t>
  </si>
  <si>
    <t xml:space="preserve">ПГУ </t>
  </si>
  <si>
    <t>Датчик АБС угловой 0,4 м</t>
  </si>
  <si>
    <t>Удлинитель датчика АБС 4 м</t>
  </si>
  <si>
    <t>Клапан растормаживания (PREV)</t>
  </si>
  <si>
    <t>Кран управления подвеской</t>
  </si>
  <si>
    <t>Гибкий элемент</t>
  </si>
  <si>
    <t>Кабель электрический 7-пин АБС ISO7638</t>
  </si>
  <si>
    <t>Кабель электрический 15-пин ISO12098</t>
  </si>
  <si>
    <t>Кабель питания 12 м</t>
  </si>
  <si>
    <t>Электромагнитный клапан АБС 24V</t>
  </si>
  <si>
    <t>Энергоаккумулятор 24/30 для барабанного тормоза. С резиновым чехлом и вилкой.</t>
  </si>
  <si>
    <t>Энергоаккумулятор 30/30 для барабанного тормоза. С резиновым чехлом и вилкой.</t>
  </si>
  <si>
    <t>Удлинитель датчика АБС 5 м</t>
  </si>
  <si>
    <t>Тормозная камера тип 30 для барабанного тормоза. С резиновым чехлом и вилкой.</t>
  </si>
  <si>
    <t>Энергоаккумулятор - клиновый тормоз 20/24</t>
  </si>
  <si>
    <t>Электронный блок управления АБС</t>
  </si>
  <si>
    <t>Дисковый тормоз ТСР 19 (лев.)</t>
  </si>
  <si>
    <t>Дисковый тормоз ТСР 19 (прав.)</t>
  </si>
  <si>
    <t>Диск тормозной</t>
  </si>
  <si>
    <t>Тормозная камера - клиновый тормоз 24</t>
  </si>
  <si>
    <t>Разжимной механизм</t>
  </si>
  <si>
    <t>Электромагнитный клапан АБС 12V</t>
  </si>
  <si>
    <t>Датчик АБС 0,4м прямой</t>
  </si>
  <si>
    <t>Комплект колодок PAN22</t>
  </si>
  <si>
    <t xml:space="preserve">12999737VT </t>
  </si>
  <si>
    <t>Комплект колодок PAN19</t>
  </si>
  <si>
    <t>1200 комплектов по старому заказу от СТФК Камаз + 100 дополнительных комплектов в заказе от 20.03.25</t>
  </si>
  <si>
    <t>Комплект колодок MAXX17</t>
  </si>
  <si>
    <t>в карантине/не продается</t>
  </si>
  <si>
    <t>Клапан быстрого растормаживания</t>
  </si>
  <si>
    <t>Перепускной клапан</t>
  </si>
  <si>
    <t>Комплект головок соединительных (кр.22х1.5)</t>
  </si>
  <si>
    <t>Комплект головок соединительных (желт..22х1.5)</t>
  </si>
  <si>
    <t>Комплект головок соединительных (кр.16х1.5)</t>
  </si>
  <si>
    <t>РЕМ (пневматический расширительный модуль)</t>
  </si>
  <si>
    <t>новый артикул</t>
  </si>
  <si>
    <t xml:space="preserve">12999738VT </t>
  </si>
  <si>
    <t>Ремкомплект ADB (PAN19-22)</t>
  </si>
  <si>
    <t>Комплект головок соединительных (желт.16х1.5)</t>
  </si>
  <si>
    <t>T4728800640</t>
  </si>
  <si>
    <t>Соленоидный клапан передней оси
24 V</t>
  </si>
  <si>
    <t>T4728800010</t>
  </si>
  <si>
    <t>Соленоидный клапан задней оси
24 V</t>
  </si>
  <si>
    <t>T4410501200</t>
  </si>
  <si>
    <t>Датчик положения</t>
  </si>
  <si>
    <t>4410328792 </t>
  </si>
  <si>
    <t>Датчик АБС</t>
  </si>
  <si>
    <t>Обратный клапан</t>
  </si>
  <si>
    <t>Кабель для OptiLink/ OptiTire</t>
  </si>
  <si>
    <t>Кран управления пневмоподвеской прицепа</t>
  </si>
  <si>
    <t>4801020630_Прицепной модулятор EBS E / EBS-Trailer Modulator 24V</t>
  </si>
  <si>
    <t>Кабель питания для дышловых прицепов ISO 7638, 7 контактов, 10 метров</t>
  </si>
  <si>
    <t xml:space="preserve">Кран уровня пола </t>
  </si>
  <si>
    <t>Кран уровня пола (ВБК РУС)</t>
  </si>
  <si>
    <t>Кабель для капанов ECAS 4729051140, 4728800300, клапана подъема оси 4630841000, e-TASC 4630905XX0, 5 метров</t>
  </si>
  <si>
    <t>Электронный блок OptiLink</t>
  </si>
  <si>
    <t xml:space="preserve">новый артикул </t>
  </si>
  <si>
    <t>Осушитель воздуха (однокамерный)</t>
  </si>
  <si>
    <t xml:space="preserve">Кран уровня пола без фитингов (WABCO) </t>
  </si>
  <si>
    <t>Ручной тормозной кран</t>
  </si>
  <si>
    <t xml:space="preserve">Кран уровня пола с фитингами </t>
  </si>
  <si>
    <t>Кабель с вилкой</t>
  </si>
  <si>
    <t>ПНЕВМОГИДРАВЛИЧЕСКИЙ УСИЛИТЕЛЬ ТОРМОЗО</t>
  </si>
  <si>
    <t>Внешний колесный модуль</t>
  </si>
  <si>
    <t>Адаптер для кабеля</t>
  </si>
  <si>
    <t>Клапан управления пневматической подвеск</t>
  </si>
  <si>
    <t xml:space="preserve">Кабель питания для п/п 15 м </t>
  </si>
  <si>
    <t>КЛАПАН ПНЕВМАТИЧЕСКИЙ ЭЛЕКТРОМАГНИТНЫЙ ЗАПОРНЫЙ</t>
  </si>
  <si>
    <t xml:space="preserve">Выключатель давления </t>
  </si>
  <si>
    <t xml:space="preserve">Соединение </t>
  </si>
  <si>
    <t>трубка 15x1,5; 25 m</t>
  </si>
  <si>
    <t>Ресивер</t>
  </si>
  <si>
    <t>412352027R</t>
  </si>
  <si>
    <t>Компрессор</t>
  </si>
  <si>
    <t>Ускорительный клапан</t>
  </si>
  <si>
    <t>Выключатель давления</t>
  </si>
  <si>
    <t>Рычаг</t>
  </si>
  <si>
    <t>Гайка DIN80705-M22x1,5</t>
  </si>
  <si>
    <t xml:space="preserve">Кабель питания для полуприцепа ISO 7638, 7 контактов, 14 метров </t>
  </si>
  <si>
    <t>6402250560 AA Тормоз дисковый ( левый )</t>
  </si>
  <si>
    <t>6402250570 AA Тормоз дисковый ( правый )</t>
  </si>
  <si>
    <t>WA-3601400-2</t>
  </si>
  <si>
    <t>Диагностический интерфейс</t>
  </si>
  <si>
    <t>Диагностический кабель</t>
  </si>
  <si>
    <t>Комплект диагностики</t>
  </si>
  <si>
    <t>S</t>
  </si>
  <si>
    <t>тристоп цилиндр Disc G-20/24 HFL3</t>
  </si>
  <si>
    <t>Энергоаккумулятор</t>
  </si>
  <si>
    <t>3/2 Магнитный клапан</t>
  </si>
  <si>
    <t>Соединительный кабель</t>
  </si>
  <si>
    <t>Дисковый тормоз  PAN 22-1</t>
  </si>
  <si>
    <t>Кабель с розеткой</t>
  </si>
  <si>
    <t>Комплект</t>
  </si>
  <si>
    <t>2026 - I полугодие</t>
  </si>
  <si>
    <t>2026 - II полугодие</t>
  </si>
  <si>
    <t>T4410507182</t>
  </si>
  <si>
    <t>T4410507182_РЫЧАГ ДЛЯ КЛАПАНА ПОЛОЖЕНИЯ КУЗОВА</t>
  </si>
  <si>
    <t>T4460560104</t>
  </si>
  <si>
    <t>T4460560104_Кронштейн для пульта / RCU holder (товар)</t>
  </si>
  <si>
    <t>T4410140250</t>
  </si>
  <si>
    <t>T4410140250_ДАТЧИК ВЫКЛЮЧАТЕЛЬ/ПЕРЕКЛЮЧАТЕЛЬ ДАВЛЕНИЯ ЭЛЕКТРИЧЕСКИХ ПРИБОРОВ</t>
  </si>
  <si>
    <t>T4460561250</t>
  </si>
  <si>
    <t>T4460561250_ПУЛЬТ УПРАВЛЕНИЯ</t>
  </si>
  <si>
    <t>T4461702270</t>
  </si>
  <si>
    <t>T4461702270_ЭЛЕКТРОННЫЙ БЛОК УПРАВЛЕНИЯ ПНЕВМОПОДВЕСКОЙ</t>
  </si>
  <si>
    <t>T4728800640_МАГНИТНЫЙ КЛАПАН ПНЕВМОПОДВЕСКИ С ЭЛЕКТРОННЫМ УПРАВЛЕНИЕМ</t>
  </si>
  <si>
    <t>Модуль упр.соленоидами (MSE)</t>
  </si>
  <si>
    <t>Камера тормозная сэнергоаккумулятором</t>
  </si>
  <si>
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</si>
</sst>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9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[$-419]mmmm\ yyyy;@"/>
    <numFmt numFmtId="258" formatCode="#,##0;#,##0;"/>
  </numFmts>
  <fonts count="215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indexed="2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222222"/>
      <name val="Calibri"/>
      <family val="2"/>
      <charset val="204"/>
      <scheme val="minor"/>
    </font>
    <font>
      <sz val="11"/>
      <color rgb="FF1A1A1A"/>
      <name val="Arial"/>
      <family val="2"/>
      <charset val="204"/>
    </font>
    <font>
      <sz val="14"/>
      <name val="Calibri"/>
      <family val="2"/>
      <charset val="204"/>
    </font>
    <font>
      <sz val="14"/>
      <color rgb="FF222222"/>
      <name val="Calibri"/>
      <family val="2"/>
      <charset val="204"/>
      <scheme val="minor"/>
    </font>
    <font>
      <sz val="12"/>
      <color rgb="FF1A1A1A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b/>
      <sz val="12"/>
      <color rgb="FF1A1A1A"/>
      <name val="Arial"/>
      <family val="2"/>
      <charset val="204"/>
    </font>
    <font>
      <b/>
      <sz val="11"/>
      <color rgb="FF1A1A1A"/>
      <name val="Arial"/>
      <family val="2"/>
      <charset val="204"/>
    </font>
    <font>
      <b/>
      <sz val="14"/>
      <name val="Calibri"/>
      <family val="2"/>
      <charset val="204"/>
    </font>
    <font>
      <sz val="12"/>
      <color rgb="FF222222"/>
      <name val="Arial"/>
      <family val="2"/>
      <charset val="204"/>
    </font>
  </fonts>
  <fills count="111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7" tint="0.39997558519241921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79998168889431442"/>
        <bgColor theme="5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rgb="FFFFCCFF"/>
        <bgColor theme="5" tint="0.59999389629810485"/>
      </patternFill>
    </fill>
    <fill>
      <patternFill patternType="solid">
        <fgColor rgb="FFFF99FF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theme="0" tint="-0.249977111117893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8" tint="0.59999389629810485"/>
        <bgColor theme="0" tint="-0.249977111117893"/>
      </patternFill>
    </fill>
    <fill>
      <patternFill patternType="solid">
        <fgColor theme="0"/>
        <bgColor theme="4" tint="0.79998168889431442"/>
      </patternFill>
    </fill>
    <fill>
      <patternFill patternType="solid">
        <fgColor indexed="5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</borders>
  <cellStyleXfs count="51652">
    <xf numFmtId="0" fontId="0" fillId="0" borderId="0"/>
    <xf numFmtId="0" fontId="2" fillId="0" borderId="0"/>
    <xf numFmtId="0" fontId="2" fillId="0" borderId="0"/>
    <xf numFmtId="0" fontId="2" fillId="0" borderId="0"/>
    <xf numFmtId="164" fontId="3" fillId="0" borderId="0" applyFont="0" applyFill="0" applyBorder="0" applyProtection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4" fillId="0" borderId="0"/>
    <xf numFmtId="41" fontId="2" fillId="0" borderId="0" applyFont="0" applyFill="0" applyBorder="0" applyProtection="0">
      <alignment vertical="center"/>
    </xf>
    <xf numFmtId="0" fontId="5" fillId="0" borderId="1" applyNumberFormat="0" applyFill="0" applyProtection="0"/>
    <xf numFmtId="0" fontId="6" fillId="0" borderId="2" applyNumberFormat="0" applyFill="0" applyProtection="0"/>
    <xf numFmtId="0" fontId="5" fillId="0" borderId="1" applyNumberFormat="0" applyFill="0" applyProtection="0"/>
    <xf numFmtId="0" fontId="5" fillId="0" borderId="1" applyNumberFormat="0" applyFill="0" applyProtection="0"/>
    <xf numFmtId="0" fontId="5" fillId="0" borderId="1" applyNumberFormat="0" applyFill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165" fontId="4" fillId="0" borderId="0"/>
    <xf numFmtId="0" fontId="8" fillId="0" borderId="3" applyNumberFormat="0" applyFill="0" applyProtection="0"/>
    <xf numFmtId="0" fontId="9" fillId="0" borderId="4" applyNumberFormat="0" applyFill="0" applyProtection="0"/>
    <xf numFmtId="0" fontId="8" fillId="0" borderId="3" applyNumberFormat="0" applyFill="0" applyProtection="0"/>
    <xf numFmtId="0" fontId="8" fillId="0" borderId="3" applyNumberFormat="0" applyFill="0" applyProtection="0"/>
    <xf numFmtId="0" fontId="8" fillId="0" borderId="3" applyNumberFormat="0" applyFill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165" fontId="4" fillId="0" borderId="0"/>
    <xf numFmtId="0" fontId="10" fillId="0" borderId="5" applyNumberFormat="0" applyFill="0" applyProtection="0"/>
    <xf numFmtId="0" fontId="11" fillId="0" borderId="6" applyNumberFormat="0" applyFill="0" applyProtection="0"/>
    <xf numFmtId="0" fontId="10" fillId="0" borderId="5" applyNumberFormat="0" applyFill="0" applyProtection="0"/>
    <xf numFmtId="0" fontId="10" fillId="0" borderId="5" applyNumberFormat="0" applyFill="0" applyProtection="0"/>
    <xf numFmtId="0" fontId="10" fillId="0" borderId="5" applyNumberFormat="0" applyFill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12" fillId="4" borderId="7" applyNumberFormat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8" applyNumberFormat="0" applyProtection="0"/>
    <xf numFmtId="0" fontId="12" fillId="4" borderId="8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12" fillId="4" borderId="7" applyNumberFormat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4" fillId="5" borderId="8" applyNumberFormat="0" applyProtection="0">
      <alignment vertical="center"/>
    </xf>
    <xf numFmtId="0" fontId="14" fillId="5" borderId="8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4" fillId="5" borderId="8" applyNumberFormat="0" applyProtection="0">
      <alignment vertical="center"/>
    </xf>
    <xf numFmtId="0" fontId="14" fillId="5" borderId="8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4" fillId="5" borderId="8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14" fillId="5" borderId="8" applyNumberFormat="0" applyProtection="0">
      <alignment vertical="center"/>
    </xf>
    <xf numFmtId="0" fontId="13" fillId="5" borderId="7" applyNumberFormat="0" applyProtection="0">
      <alignment vertical="center"/>
    </xf>
    <xf numFmtId="0" fontId="13" fillId="5" borderId="7" applyNumberFormat="0" applyProtection="0">
      <alignment vertical="center"/>
    </xf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15" fillId="0" borderId="0" applyNumberFormat="0" applyFill="0" applyBorder="0" applyProtection="0"/>
    <xf numFmtId="0" fontId="16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7" fillId="6" borderId="0" applyNumberFormat="0" applyBorder="0" applyProtection="0">
      <alignment vertical="center"/>
    </xf>
    <xf numFmtId="0" fontId="17" fillId="7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10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10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8" fillId="0" borderId="9" applyNumberFormat="0" applyFill="0" applyProtection="0">
      <alignment vertical="center"/>
    </xf>
    <xf numFmtId="0" fontId="19" fillId="2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8" borderId="8" applyNumberFormat="0" applyFont="0" applyProtection="0">
      <alignment vertical="center"/>
    </xf>
    <xf numFmtId="0" fontId="23" fillId="8" borderId="0" applyNumberFormat="0" applyBorder="0" applyProtection="0">
      <alignment vertical="center"/>
    </xf>
    <xf numFmtId="0" fontId="24" fillId="9" borderId="0" applyNumberFormat="0" applyBorder="0" applyProtection="0">
      <alignment vertical="center"/>
    </xf>
    <xf numFmtId="0" fontId="23" fillId="8" borderId="0" applyNumberFormat="0" applyBorder="0" applyProtection="0">
      <alignment vertical="center"/>
    </xf>
    <xf numFmtId="0" fontId="23" fillId="8" borderId="0" applyNumberFormat="0" applyBorder="0" applyProtection="0">
      <alignment vertical="center"/>
    </xf>
    <xf numFmtId="0" fontId="23" fillId="8" borderId="0" applyNumberFormat="0" applyBorder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6" fillId="0" borderId="11" applyNumberFormat="0" applyFill="0" applyProtection="0">
      <alignment vertical="center"/>
    </xf>
    <xf numFmtId="0" fontId="25" fillId="0" borderId="11" applyNumberFormat="0" applyFill="0" applyProtection="0"/>
    <xf numFmtId="0" fontId="25" fillId="0" borderId="11" applyNumberFormat="0" applyFill="0" applyProtection="0"/>
    <xf numFmtId="0" fontId="25" fillId="0" borderId="11" applyNumberFormat="0" applyFill="0" applyProtection="0"/>
    <xf numFmtId="0" fontId="25" fillId="0" borderId="11" applyNumberFormat="0" applyFill="0" applyProtection="0"/>
    <xf numFmtId="0" fontId="25" fillId="0" borderId="11" applyNumberFormat="0" applyFill="0" applyProtection="0"/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Protection="0">
      <alignment horizontal="left"/>
    </xf>
    <xf numFmtId="0" fontId="19" fillId="2" borderId="0" applyNumberFormat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30" fillId="10" borderId="12" applyNumberFormat="0" applyProtection="0">
      <alignment vertical="center"/>
    </xf>
    <xf numFmtId="0" fontId="30" fillId="11" borderId="12" applyNumberFormat="0" applyProtection="0">
      <alignment vertical="center"/>
    </xf>
    <xf numFmtId="0" fontId="30" fillId="10" borderId="12" applyNumberFormat="0" applyProtection="0">
      <alignment vertical="center"/>
    </xf>
    <xf numFmtId="0" fontId="30" fillId="10" borderId="12" applyNumberFormat="0" applyProtection="0">
      <alignment vertical="center"/>
    </xf>
    <xf numFmtId="0" fontId="30" fillId="11" borderId="12" applyNumberFormat="0" applyProtection="0">
      <alignment vertical="center"/>
    </xf>
    <xf numFmtId="0" fontId="30" fillId="10" borderId="12" applyNumberFormat="0" applyProtection="0">
      <alignment vertical="center"/>
    </xf>
    <xf numFmtId="0" fontId="31" fillId="12" borderId="0" applyNumberFormat="0" applyBorder="0" applyProtection="0"/>
    <xf numFmtId="0" fontId="31" fillId="13" borderId="0" applyNumberFormat="0" applyBorder="0" applyProtection="0"/>
    <xf numFmtId="0" fontId="31" fillId="12" borderId="0" applyNumberFormat="0" applyBorder="0" applyProtection="0"/>
    <xf numFmtId="0" fontId="31" fillId="12" borderId="0" applyNumberFormat="0" applyBorder="0" applyProtection="0"/>
    <xf numFmtId="0" fontId="31" fillId="12" borderId="0" applyNumberFormat="0" applyBorder="0" applyProtection="0"/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31" fillId="14" borderId="0" applyNumberFormat="0" applyBorder="0" applyProtection="0"/>
    <xf numFmtId="0" fontId="31" fillId="15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31" fillId="16" borderId="0" applyNumberFormat="0" applyBorder="0" applyProtection="0"/>
    <xf numFmtId="0" fontId="31" fillId="17" borderId="0" applyNumberFormat="0" applyBorder="0" applyProtection="0"/>
    <xf numFmtId="0" fontId="31" fillId="16" borderId="0" applyNumberFormat="0" applyBorder="0" applyProtection="0"/>
    <xf numFmtId="0" fontId="31" fillId="16" borderId="0" applyNumberFormat="0" applyBorder="0" applyProtection="0"/>
    <xf numFmtId="0" fontId="31" fillId="16" borderId="0" applyNumberFormat="0" applyBorder="0" applyProtection="0"/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31" fillId="18" borderId="0" applyNumberFormat="0" applyBorder="0" applyProtection="0"/>
    <xf numFmtId="0" fontId="31" fillId="19" borderId="0" applyNumberFormat="0" applyBorder="0" applyProtection="0"/>
    <xf numFmtId="0" fontId="31" fillId="18" borderId="0" applyNumberFormat="0" applyBorder="0" applyProtection="0"/>
    <xf numFmtId="0" fontId="31" fillId="18" borderId="0" applyNumberFormat="0" applyBorder="0" applyProtection="0"/>
    <xf numFmtId="0" fontId="31" fillId="18" borderId="0" applyNumberFormat="0" applyBorder="0" applyProtection="0"/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31" fillId="12" borderId="0" applyNumberFormat="0" applyBorder="0" applyProtection="0"/>
    <xf numFmtId="0" fontId="31" fillId="13" borderId="0" applyNumberFormat="0" applyBorder="0" applyProtection="0"/>
    <xf numFmtId="0" fontId="31" fillId="12" borderId="0" applyNumberFormat="0" applyBorder="0" applyProtection="0"/>
    <xf numFmtId="0" fontId="31" fillId="12" borderId="0" applyNumberFormat="0" applyBorder="0" applyProtection="0"/>
    <xf numFmtId="0" fontId="31" fillId="12" borderId="0" applyNumberFormat="0" applyBorder="0" applyProtection="0"/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31" fillId="14" borderId="0" applyNumberFormat="0" applyBorder="0" applyProtection="0"/>
    <xf numFmtId="0" fontId="31" fillId="15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19" fillId="3" borderId="0" applyNumberFormat="0" applyBorder="0" applyProtection="0">
      <alignment vertical="center"/>
    </xf>
    <xf numFmtId="0" fontId="19" fillId="2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19" fillId="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9" borderId="7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22" fillId="8" borderId="8" applyNumberFormat="0" applyFont="0" applyProtection="0">
      <alignment vertical="center"/>
    </xf>
    <xf numFmtId="0" fontId="32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33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2" fillId="0" borderId="0"/>
    <xf numFmtId="0" fontId="34" fillId="0" borderId="0" applyNumberFormat="0" applyFill="0" applyBorder="0" applyProtection="0">
      <alignment vertical="top"/>
      <protection locked="0"/>
    </xf>
    <xf numFmtId="0" fontId="35" fillId="0" borderId="1" applyNumberFormat="0" applyFill="0" applyProtection="0">
      <alignment vertical="center"/>
    </xf>
    <xf numFmtId="0" fontId="36" fillId="0" borderId="2" applyNumberFormat="0" applyFill="0" applyProtection="0">
      <alignment vertical="center"/>
    </xf>
    <xf numFmtId="0" fontId="35" fillId="0" borderId="1" applyNumberFormat="0" applyFill="0" applyProtection="0">
      <alignment vertical="center"/>
    </xf>
    <xf numFmtId="0" fontId="35" fillId="0" borderId="1" applyNumberFormat="0" applyFill="0" applyProtection="0">
      <alignment vertical="center"/>
    </xf>
    <xf numFmtId="0" fontId="35" fillId="0" borderId="1" applyNumberFormat="0" applyFill="0" applyProtection="0">
      <alignment vertical="center"/>
    </xf>
    <xf numFmtId="0" fontId="37" fillId="0" borderId="3" applyNumberFormat="0" applyFill="0" applyProtection="0">
      <alignment vertical="center"/>
    </xf>
    <xf numFmtId="0" fontId="38" fillId="0" borderId="4" applyNumberFormat="0" applyFill="0" applyProtection="0">
      <alignment vertical="center"/>
    </xf>
    <xf numFmtId="0" fontId="37" fillId="0" borderId="3" applyNumberFormat="0" applyFill="0" applyProtection="0">
      <alignment vertical="center"/>
    </xf>
    <xf numFmtId="0" fontId="37" fillId="0" borderId="3" applyNumberFormat="0" applyFill="0" applyProtection="0">
      <alignment vertical="center"/>
    </xf>
    <xf numFmtId="0" fontId="37" fillId="0" borderId="3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39" fillId="0" borderId="0" applyNumberFormat="0" applyFill="0" applyBorder="0" applyProtection="0">
      <alignment vertical="center"/>
    </xf>
    <xf numFmtId="0" fontId="40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8" applyNumberFormat="0" applyProtection="0">
      <alignment vertical="center"/>
    </xf>
    <xf numFmtId="0" fontId="41" fillId="4" borderId="8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8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7" applyNumberFormat="0" applyProtection="0">
      <alignment vertical="center"/>
    </xf>
    <xf numFmtId="0" fontId="41" fillId="4" borderId="8" applyNumberFormat="0" applyProtection="0">
      <alignment vertical="center"/>
    </xf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8" fontId="4" fillId="0" borderId="0" applyFont="0" applyFill="0" applyBorder="0" applyProtection="0"/>
    <xf numFmtId="0" fontId="2" fillId="0" borderId="0" applyFont="0" applyFill="0" applyBorder="0" applyProtection="0"/>
    <xf numFmtId="0" fontId="2" fillId="0" borderId="0"/>
    <xf numFmtId="0" fontId="2" fillId="0" borderId="0"/>
    <xf numFmtId="0" fontId="2" fillId="0" borderId="0"/>
    <xf numFmtId="0" fontId="33" fillId="0" borderId="0" applyNumberFormat="0" applyFill="0" applyBorder="0" applyProtection="0">
      <alignment vertical="top"/>
      <protection locked="0"/>
    </xf>
    <xf numFmtId="0" fontId="44" fillId="12" borderId="0" applyNumberFormat="0" applyBorder="0" applyProtection="0">
      <alignment vertical="center"/>
    </xf>
    <xf numFmtId="0" fontId="44" fillId="13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5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6" borderId="0" applyNumberFormat="0" applyBorder="0" applyProtection="0">
      <alignment vertical="center"/>
    </xf>
    <xf numFmtId="0" fontId="44" fillId="17" borderId="0" applyNumberFormat="0" applyBorder="0" applyProtection="0">
      <alignment vertical="center"/>
    </xf>
    <xf numFmtId="0" fontId="44" fillId="16" borderId="0" applyNumberFormat="0" applyBorder="0" applyProtection="0">
      <alignment vertical="center"/>
    </xf>
    <xf numFmtId="0" fontId="44" fillId="16" borderId="0" applyNumberFormat="0" applyBorder="0" applyProtection="0">
      <alignment vertical="center"/>
    </xf>
    <xf numFmtId="0" fontId="44" fillId="16" borderId="0" applyNumberFormat="0" applyBorder="0" applyProtection="0">
      <alignment vertical="center"/>
    </xf>
    <xf numFmtId="0" fontId="44" fillId="18" borderId="0" applyNumberFormat="0" applyBorder="0" applyProtection="0">
      <alignment vertical="center"/>
    </xf>
    <xf numFmtId="0" fontId="44" fillId="19" borderId="0" applyNumberFormat="0" applyBorder="0" applyProtection="0">
      <alignment vertical="center"/>
    </xf>
    <xf numFmtId="0" fontId="44" fillId="18" borderId="0" applyNumberFormat="0" applyBorder="0" applyProtection="0">
      <alignment vertical="center"/>
    </xf>
    <xf numFmtId="0" fontId="44" fillId="18" borderId="0" applyNumberFormat="0" applyBorder="0" applyProtection="0">
      <alignment vertical="center"/>
    </xf>
    <xf numFmtId="0" fontId="44" fillId="18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3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2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5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166" fontId="4" fillId="0" borderId="0" applyFont="0" applyFill="0" applyBorder="0" applyProtection="0"/>
    <xf numFmtId="165" fontId="45" fillId="0" borderId="0"/>
    <xf numFmtId="0" fontId="33" fillId="0" borderId="0" applyNumberFormat="0" applyFill="0" applyBorder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Protection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165" fontId="2" fillId="20" borderId="0"/>
    <xf numFmtId="165" fontId="2" fillId="20" borderId="0"/>
    <xf numFmtId="0" fontId="4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0" borderId="0"/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39" fontId="48" fillId="0" borderId="0">
      <alignment vertical="center"/>
      <protection locked="0"/>
    </xf>
    <xf numFmtId="167" fontId="2" fillId="0" borderId="0" applyFont="0" applyFill="0" applyBorder="0" applyProtection="0"/>
    <xf numFmtId="0" fontId="49" fillId="0" borderId="0"/>
    <xf numFmtId="0" fontId="49" fillId="0" borderId="0"/>
    <xf numFmtId="168" fontId="3" fillId="0" borderId="0" applyFont="0" applyFill="0" applyBorder="0" applyProtection="0">
      <protection locked="0"/>
    </xf>
    <xf numFmtId="0" fontId="42" fillId="21" borderId="0" applyNumberFormat="0" applyBorder="0" applyProtection="0"/>
    <xf numFmtId="0" fontId="42" fillId="22" borderId="0" applyNumberFormat="0" applyBorder="0" applyProtection="0"/>
    <xf numFmtId="0" fontId="42" fillId="22" borderId="0" applyNumberFormat="0" applyBorder="0" applyProtection="0"/>
    <xf numFmtId="0" fontId="43" fillId="21" borderId="0" applyNumberFormat="0" applyBorder="0" applyProtection="0"/>
    <xf numFmtId="0" fontId="42" fillId="21" borderId="0" applyNumberFormat="0" applyBorder="0" applyProtection="0"/>
    <xf numFmtId="0" fontId="42" fillId="21" borderId="0" applyNumberFormat="0" applyBorder="0" applyProtection="0"/>
    <xf numFmtId="0" fontId="42" fillId="21" borderId="0" applyNumberFormat="0" applyBorder="0" applyProtection="0"/>
    <xf numFmtId="0" fontId="42" fillId="21" borderId="0" applyNumberFormat="0" applyBorder="0" applyProtection="0"/>
    <xf numFmtId="0" fontId="42" fillId="5" borderId="0" applyNumberFormat="0" applyBorder="0" applyProtection="0"/>
    <xf numFmtId="0" fontId="42" fillId="5" borderId="0" applyNumberFormat="0" applyBorder="0" applyProtection="0"/>
    <xf numFmtId="0" fontId="42" fillId="5" borderId="0" applyNumberFormat="0" applyBorder="0" applyProtection="0"/>
    <xf numFmtId="0" fontId="43" fillId="5" borderId="0" applyNumberFormat="0" applyBorder="0" applyProtection="0"/>
    <xf numFmtId="0" fontId="42" fillId="5" borderId="0" applyNumberFormat="0" applyBorder="0" applyProtection="0"/>
    <xf numFmtId="0" fontId="42" fillId="5" borderId="0" applyNumberFormat="0" applyBorder="0" applyProtection="0"/>
    <xf numFmtId="0" fontId="42" fillId="5" borderId="0" applyNumberFormat="0" applyBorder="0" applyProtection="0"/>
    <xf numFmtId="0" fontId="42" fillId="5" borderId="0" applyNumberFormat="0" applyBorder="0" applyProtection="0"/>
    <xf numFmtId="0" fontId="42" fillId="6" borderId="0" applyNumberFormat="0" applyBorder="0" applyProtection="0"/>
    <xf numFmtId="0" fontId="42" fillId="7" borderId="0" applyNumberFormat="0" applyBorder="0" applyProtection="0"/>
    <xf numFmtId="0" fontId="42" fillId="7" borderId="0" applyNumberFormat="0" applyBorder="0" applyProtection="0"/>
    <xf numFmtId="0" fontId="43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4" borderId="0" applyNumberFormat="0" applyBorder="0" applyProtection="0"/>
    <xf numFmtId="0" fontId="42" fillId="4" borderId="0" applyNumberFormat="0" applyBorder="0" applyProtection="0"/>
    <xf numFmtId="0" fontId="42" fillId="4" borderId="0" applyNumberFormat="0" applyBorder="0" applyProtection="0"/>
    <xf numFmtId="0" fontId="43" fillId="4" borderId="0" applyNumberFormat="0" applyBorder="0" applyProtection="0"/>
    <xf numFmtId="0" fontId="42" fillId="4" borderId="0" applyNumberFormat="0" applyBorder="0" applyProtection="0"/>
    <xf numFmtId="0" fontId="42" fillId="4" borderId="0" applyNumberFormat="0" applyBorder="0" applyProtection="0"/>
    <xf numFmtId="0" fontId="42" fillId="4" borderId="0" applyNumberFormat="0" applyBorder="0" applyProtection="0"/>
    <xf numFmtId="0" fontId="42" fillId="4" borderId="0" applyNumberFormat="0" applyBorder="0" applyProtection="0"/>
    <xf numFmtId="0" fontId="42" fillId="23" borderId="0" applyNumberFormat="0" applyBorder="0" applyProtection="0"/>
    <xf numFmtId="0" fontId="42" fillId="24" borderId="0" applyNumberFormat="0" applyBorder="0" applyProtection="0"/>
    <xf numFmtId="0" fontId="42" fillId="24" borderId="0" applyNumberFormat="0" applyBorder="0" applyProtection="0"/>
    <xf numFmtId="0" fontId="43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5" borderId="0" applyNumberFormat="0" applyBorder="0" applyProtection="0"/>
    <xf numFmtId="0" fontId="42" fillId="26" borderId="0" applyNumberFormat="0" applyBorder="0" applyProtection="0"/>
    <xf numFmtId="0" fontId="42" fillId="26" borderId="0" applyNumberFormat="0" applyBorder="0" applyProtection="0"/>
    <xf numFmtId="0" fontId="43" fillId="25" borderId="0" applyNumberFormat="0" applyBorder="0" applyProtection="0"/>
    <xf numFmtId="0" fontId="42" fillId="25" borderId="0" applyNumberFormat="0" applyBorder="0" applyProtection="0"/>
    <xf numFmtId="0" fontId="42" fillId="25" borderId="0" applyNumberFormat="0" applyBorder="0" applyProtection="0"/>
    <xf numFmtId="0" fontId="42" fillId="25" borderId="0" applyNumberFormat="0" applyBorder="0" applyProtection="0"/>
    <xf numFmtId="0" fontId="42" fillId="25" borderId="0" applyNumberFormat="0" applyBorder="0" applyProtection="0"/>
    <xf numFmtId="0" fontId="50" fillId="21" borderId="0" applyNumberFormat="0" applyBorder="0" applyProtection="0">
      <alignment vertical="center"/>
    </xf>
    <xf numFmtId="0" fontId="50" fillId="22" borderId="0" applyNumberFormat="0" applyBorder="0" applyProtection="0">
      <alignment vertical="center"/>
    </xf>
    <xf numFmtId="0" fontId="50" fillId="21" borderId="0" applyNumberFormat="0" applyBorder="0" applyProtection="0">
      <alignment vertical="center"/>
    </xf>
    <xf numFmtId="0" fontId="50" fillId="21" borderId="0" applyNumberFormat="0" applyBorder="0" applyProtection="0">
      <alignment vertical="center"/>
    </xf>
    <xf numFmtId="0" fontId="50" fillId="21" borderId="0" applyNumberFormat="0" applyBorder="0" applyProtection="0">
      <alignment vertical="center"/>
    </xf>
    <xf numFmtId="0" fontId="50" fillId="21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5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7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4" borderId="0" applyNumberFormat="0" applyBorder="0" applyProtection="0">
      <alignment vertical="center"/>
    </xf>
    <xf numFmtId="0" fontId="50" fillId="4" borderId="0" applyNumberFormat="0" applyBorder="0" applyProtection="0">
      <alignment vertical="center"/>
    </xf>
    <xf numFmtId="0" fontId="50" fillId="4" borderId="0" applyNumberFormat="0" applyBorder="0" applyProtection="0">
      <alignment vertical="center"/>
    </xf>
    <xf numFmtId="0" fontId="50" fillId="4" borderId="0" applyNumberFormat="0" applyBorder="0" applyProtection="0">
      <alignment vertical="center"/>
    </xf>
    <xf numFmtId="0" fontId="50" fillId="4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4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5" borderId="0" applyNumberFormat="0" applyBorder="0" applyProtection="0">
      <alignment vertical="center"/>
    </xf>
    <xf numFmtId="0" fontId="50" fillId="26" borderId="0" applyNumberFormat="0" applyBorder="0" applyProtection="0">
      <alignment vertical="center"/>
    </xf>
    <xf numFmtId="0" fontId="50" fillId="25" borderId="0" applyNumberFormat="0" applyBorder="0" applyProtection="0">
      <alignment vertical="center"/>
    </xf>
    <xf numFmtId="0" fontId="50" fillId="25" borderId="0" applyNumberFormat="0" applyBorder="0" applyProtection="0">
      <alignment vertical="center"/>
    </xf>
    <xf numFmtId="0" fontId="50" fillId="25" borderId="0" applyNumberFormat="0" applyBorder="0" applyProtection="0">
      <alignment vertical="center"/>
    </xf>
    <xf numFmtId="0" fontId="50" fillId="25" borderId="0" applyNumberFormat="0" applyBorder="0" applyProtection="0">
      <alignment vertical="center"/>
    </xf>
    <xf numFmtId="0" fontId="51" fillId="27" borderId="0" applyNumberFormat="0" applyBorder="0" applyProtection="0"/>
    <xf numFmtId="0" fontId="51" fillId="27" borderId="0" applyNumberFormat="0" applyBorder="0" applyProtection="0"/>
    <xf numFmtId="165" fontId="42" fillId="28" borderId="0" applyNumberFormat="0" applyBorder="0" applyProtection="0"/>
    <xf numFmtId="0" fontId="51" fillId="27" borderId="0" applyNumberFormat="0" applyBorder="0" applyProtection="0"/>
    <xf numFmtId="169" fontId="43" fillId="28" borderId="0" applyNumberFormat="0" applyBorder="0" applyProtection="0"/>
    <xf numFmtId="0" fontId="209" fillId="27" borderId="0" applyNumberFormat="0" applyBorder="0" applyProtection="0"/>
    <xf numFmtId="0" fontId="51" fillId="27" borderId="0" applyNumberFormat="0" applyBorder="0" applyProtection="0"/>
    <xf numFmtId="0" fontId="209" fillId="27" borderId="0" applyNumberFormat="0" applyBorder="0" applyProtection="0"/>
    <xf numFmtId="0" fontId="51" fillId="27" borderId="0" applyNumberFormat="0" applyBorder="0" applyProtection="0"/>
    <xf numFmtId="0" fontId="209" fillId="27" borderId="0" applyNumberFormat="0" applyBorder="0" applyProtection="0"/>
    <xf numFmtId="0" fontId="51" fillId="27" borderId="0" applyNumberFormat="0" applyBorder="0" applyProtection="0"/>
    <xf numFmtId="0" fontId="209" fillId="27" borderId="0" applyNumberFormat="0" applyBorder="0" applyProtection="0"/>
    <xf numFmtId="0" fontId="209" fillId="27" borderId="0" applyNumberFormat="0" applyBorder="0" applyProtection="0"/>
    <xf numFmtId="0" fontId="209" fillId="27" borderId="0" applyNumberFormat="0" applyBorder="0" applyProtection="0"/>
    <xf numFmtId="0" fontId="209" fillId="27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165" fontId="42" fillId="30" borderId="0" applyNumberFormat="0" applyBorder="0" applyProtection="0"/>
    <xf numFmtId="0" fontId="51" fillId="29" borderId="0" applyNumberFormat="0" applyBorder="0" applyProtection="0"/>
    <xf numFmtId="169" fontId="43" fillId="30" borderId="0" applyNumberFormat="0" applyBorder="0" applyProtection="0"/>
    <xf numFmtId="0" fontId="209" fillId="29" borderId="0" applyNumberFormat="0" applyBorder="0" applyProtection="0"/>
    <xf numFmtId="0" fontId="51" fillId="29" borderId="0" applyNumberFormat="0" applyBorder="0" applyProtection="0"/>
    <xf numFmtId="0" fontId="209" fillId="29" borderId="0" applyNumberFormat="0" applyBorder="0" applyProtection="0"/>
    <xf numFmtId="0" fontId="51" fillId="29" borderId="0" applyNumberFormat="0" applyBorder="0" applyProtection="0"/>
    <xf numFmtId="0" fontId="209" fillId="29" borderId="0" applyNumberFormat="0" applyBorder="0" applyProtection="0"/>
    <xf numFmtId="0" fontId="51" fillId="29" borderId="0" applyNumberFormat="0" applyBorder="0" applyProtection="0"/>
    <xf numFmtId="0" fontId="209" fillId="29" borderId="0" applyNumberFormat="0" applyBorder="0" applyProtection="0"/>
    <xf numFmtId="0" fontId="209" fillId="29" borderId="0" applyNumberFormat="0" applyBorder="0" applyProtection="0"/>
    <xf numFmtId="0" fontId="209" fillId="29" borderId="0" applyNumberFormat="0" applyBorder="0" applyProtection="0"/>
    <xf numFmtId="0" fontId="209" fillId="29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165" fontId="42" fillId="32" borderId="0" applyNumberFormat="0" applyBorder="0" applyProtection="0"/>
    <xf numFmtId="0" fontId="51" fillId="31" borderId="0" applyNumberFormat="0" applyBorder="0" applyProtection="0"/>
    <xf numFmtId="169" fontId="43" fillId="32" borderId="0" applyNumberFormat="0" applyBorder="0" applyProtection="0"/>
    <xf numFmtId="0" fontId="209" fillId="31" borderId="0" applyNumberFormat="0" applyBorder="0" applyProtection="0"/>
    <xf numFmtId="0" fontId="51" fillId="31" borderId="0" applyNumberFormat="0" applyBorder="0" applyProtection="0"/>
    <xf numFmtId="0" fontId="209" fillId="31" borderId="0" applyNumberFormat="0" applyBorder="0" applyProtection="0"/>
    <xf numFmtId="0" fontId="51" fillId="31" borderId="0" applyNumberFormat="0" applyBorder="0" applyProtection="0"/>
    <xf numFmtId="0" fontId="209" fillId="31" borderId="0" applyNumberFormat="0" applyBorder="0" applyProtection="0"/>
    <xf numFmtId="0" fontId="51" fillId="31" borderId="0" applyNumberFormat="0" applyBorder="0" applyProtection="0"/>
    <xf numFmtId="0" fontId="209" fillId="31" borderId="0" applyNumberFormat="0" applyBorder="0" applyProtection="0"/>
    <xf numFmtId="0" fontId="209" fillId="31" borderId="0" applyNumberFormat="0" applyBorder="0" applyProtection="0"/>
    <xf numFmtId="0" fontId="209" fillId="31" borderId="0" applyNumberFormat="0" applyBorder="0" applyProtection="0"/>
    <xf numFmtId="0" fontId="209" fillId="31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165" fontId="42" fillId="34" borderId="0" applyNumberFormat="0" applyBorder="0" applyProtection="0"/>
    <xf numFmtId="0" fontId="51" fillId="33" borderId="0" applyNumberFormat="0" applyBorder="0" applyProtection="0"/>
    <xf numFmtId="169" fontId="43" fillId="34" borderId="0" applyNumberFormat="0" applyBorder="0" applyProtection="0"/>
    <xf numFmtId="0" fontId="209" fillId="33" borderId="0" applyNumberFormat="0" applyBorder="0" applyProtection="0"/>
    <xf numFmtId="0" fontId="51" fillId="33" borderId="0" applyNumberFormat="0" applyBorder="0" applyProtection="0"/>
    <xf numFmtId="0" fontId="209" fillId="33" borderId="0" applyNumberFormat="0" applyBorder="0" applyProtection="0"/>
    <xf numFmtId="0" fontId="51" fillId="33" borderId="0" applyNumberFormat="0" applyBorder="0" applyProtection="0"/>
    <xf numFmtId="0" fontId="209" fillId="33" borderId="0" applyNumberFormat="0" applyBorder="0" applyProtection="0"/>
    <xf numFmtId="0" fontId="51" fillId="33" borderId="0" applyNumberFormat="0" applyBorder="0" applyProtection="0"/>
    <xf numFmtId="0" fontId="209" fillId="33" borderId="0" applyNumberFormat="0" applyBorder="0" applyProtection="0"/>
    <xf numFmtId="0" fontId="209" fillId="33" borderId="0" applyNumberFormat="0" applyBorder="0" applyProtection="0"/>
    <xf numFmtId="0" fontId="209" fillId="33" borderId="0" applyNumberFormat="0" applyBorder="0" applyProtection="0"/>
    <xf numFmtId="0" fontId="209" fillId="33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165" fontId="42" fillId="23" borderId="0" applyNumberFormat="0" applyBorder="0" applyProtection="0"/>
    <xf numFmtId="0" fontId="51" fillId="35" borderId="0" applyNumberFormat="0" applyBorder="0" applyProtection="0"/>
    <xf numFmtId="169" fontId="43" fillId="23" borderId="0" applyNumberFormat="0" applyBorder="0" applyProtection="0"/>
    <xf numFmtId="0" fontId="209" fillId="35" borderId="0" applyNumberFormat="0" applyBorder="0" applyProtection="0"/>
    <xf numFmtId="0" fontId="51" fillId="35" borderId="0" applyNumberFormat="0" applyBorder="0" applyProtection="0"/>
    <xf numFmtId="0" fontId="209" fillId="35" borderId="0" applyNumberFormat="0" applyBorder="0" applyProtection="0"/>
    <xf numFmtId="0" fontId="51" fillId="35" borderId="0" applyNumberFormat="0" applyBorder="0" applyProtection="0"/>
    <xf numFmtId="0" fontId="209" fillId="35" borderId="0" applyNumberFormat="0" applyBorder="0" applyProtection="0"/>
    <xf numFmtId="0" fontId="51" fillId="35" borderId="0" applyNumberFormat="0" applyBorder="0" applyProtection="0"/>
    <xf numFmtId="0" fontId="209" fillId="35" borderId="0" applyNumberFormat="0" applyBorder="0" applyProtection="0"/>
    <xf numFmtId="0" fontId="209" fillId="35" borderId="0" applyNumberFormat="0" applyBorder="0" applyProtection="0"/>
    <xf numFmtId="0" fontId="209" fillId="35" borderId="0" applyNumberFormat="0" applyBorder="0" applyProtection="0"/>
    <xf numFmtId="0" fontId="209" fillId="35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165" fontId="42" fillId="37" borderId="0" applyNumberFormat="0" applyBorder="0" applyProtection="0"/>
    <xf numFmtId="0" fontId="51" fillId="36" borderId="0" applyNumberFormat="0" applyBorder="0" applyProtection="0"/>
    <xf numFmtId="169" fontId="43" fillId="37" borderId="0" applyNumberFormat="0" applyBorder="0" applyProtection="0"/>
    <xf numFmtId="0" fontId="209" fillId="36" borderId="0" applyNumberFormat="0" applyBorder="0" applyProtection="0"/>
    <xf numFmtId="0" fontId="51" fillId="36" borderId="0" applyNumberFormat="0" applyBorder="0" applyProtection="0"/>
    <xf numFmtId="0" fontId="209" fillId="36" borderId="0" applyNumberFormat="0" applyBorder="0" applyProtection="0"/>
    <xf numFmtId="0" fontId="51" fillId="36" borderId="0" applyNumberFormat="0" applyBorder="0" applyProtection="0"/>
    <xf numFmtId="0" fontId="209" fillId="36" borderId="0" applyNumberFormat="0" applyBorder="0" applyProtection="0"/>
    <xf numFmtId="0" fontId="51" fillId="36" borderId="0" applyNumberFormat="0" applyBorder="0" applyProtection="0"/>
    <xf numFmtId="0" fontId="209" fillId="36" borderId="0" applyNumberFormat="0" applyBorder="0" applyProtection="0"/>
    <xf numFmtId="0" fontId="209" fillId="36" borderId="0" applyNumberFormat="0" applyBorder="0" applyProtection="0"/>
    <xf numFmtId="0" fontId="209" fillId="36" borderId="0" applyNumberFormat="0" applyBorder="0" applyProtection="0"/>
    <xf numFmtId="0" fontId="209" fillId="36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7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29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1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3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5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1" fillId="36" borderId="0" applyNumberFormat="0" applyBorder="0" applyProtection="0"/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28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0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2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23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52" fillId="37" borderId="0" applyNumberFormat="0" applyBorder="0" applyProtection="0">
      <alignment vertical="center"/>
    </xf>
    <xf numFmtId="0" fontId="42" fillId="23" borderId="0" applyNumberFormat="0" applyBorder="0" applyProtection="0"/>
    <xf numFmtId="0" fontId="42" fillId="24" borderId="0" applyNumberFormat="0" applyBorder="0" applyProtection="0"/>
    <xf numFmtId="0" fontId="42" fillId="24" borderId="0" applyNumberFormat="0" applyBorder="0" applyProtection="0"/>
    <xf numFmtId="0" fontId="43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14" borderId="0" applyNumberFormat="0" applyBorder="0" applyProtection="0"/>
    <xf numFmtId="0" fontId="42" fillId="15" borderId="0" applyNumberFormat="0" applyBorder="0" applyProtection="0"/>
    <xf numFmtId="0" fontId="42" fillId="15" borderId="0" applyNumberFormat="0" applyBorder="0" applyProtection="0"/>
    <xf numFmtId="0" fontId="43" fillId="14" borderId="0" applyNumberFormat="0" applyBorder="0" applyProtection="0"/>
    <xf numFmtId="0" fontId="42" fillId="14" borderId="0" applyNumberFormat="0" applyBorder="0" applyProtection="0"/>
    <xf numFmtId="0" fontId="42" fillId="14" borderId="0" applyNumberFormat="0" applyBorder="0" applyProtection="0"/>
    <xf numFmtId="0" fontId="42" fillId="14" borderId="0" applyNumberFormat="0" applyBorder="0" applyProtection="0"/>
    <xf numFmtId="0" fontId="42" fillId="14" borderId="0" applyNumberFormat="0" applyBorder="0" applyProtection="0"/>
    <xf numFmtId="0" fontId="42" fillId="6" borderId="0" applyNumberFormat="0" applyBorder="0" applyProtection="0"/>
    <xf numFmtId="0" fontId="42" fillId="7" borderId="0" applyNumberFormat="0" applyBorder="0" applyProtection="0"/>
    <xf numFmtId="0" fontId="42" fillId="7" borderId="0" applyNumberFormat="0" applyBorder="0" applyProtection="0"/>
    <xf numFmtId="0" fontId="43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6" borderId="0" applyNumberFormat="0" applyBorder="0" applyProtection="0"/>
    <xf numFmtId="0" fontId="42" fillId="38" borderId="0" applyNumberFormat="0" applyBorder="0" applyProtection="0"/>
    <xf numFmtId="0" fontId="42" fillId="20" borderId="0" applyNumberFormat="0" applyBorder="0" applyProtection="0"/>
    <xf numFmtId="0" fontId="42" fillId="20" borderId="0" applyNumberFormat="0" applyBorder="0" applyProtection="0"/>
    <xf numFmtId="0" fontId="43" fillId="38" borderId="0" applyNumberFormat="0" applyBorder="0" applyProtection="0"/>
    <xf numFmtId="0" fontId="42" fillId="38" borderId="0" applyNumberFormat="0" applyBorder="0" applyProtection="0"/>
    <xf numFmtId="0" fontId="42" fillId="38" borderId="0" applyNumberFormat="0" applyBorder="0" applyProtection="0"/>
    <xf numFmtId="0" fontId="42" fillId="38" borderId="0" applyNumberFormat="0" applyBorder="0" applyProtection="0"/>
    <xf numFmtId="0" fontId="42" fillId="38" borderId="0" applyNumberFormat="0" applyBorder="0" applyProtection="0"/>
    <xf numFmtId="0" fontId="42" fillId="23" borderId="0" applyNumberFormat="0" applyBorder="0" applyProtection="0"/>
    <xf numFmtId="0" fontId="42" fillId="24" borderId="0" applyNumberFormat="0" applyBorder="0" applyProtection="0"/>
    <xf numFmtId="0" fontId="42" fillId="24" borderId="0" applyNumberFormat="0" applyBorder="0" applyProtection="0"/>
    <xf numFmtId="0" fontId="43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23" borderId="0" applyNumberFormat="0" applyBorder="0" applyProtection="0"/>
    <xf numFmtId="0" fontId="42" fillId="8" borderId="0" applyNumberFormat="0" applyBorder="0" applyProtection="0"/>
    <xf numFmtId="0" fontId="42" fillId="9" borderId="0" applyNumberFormat="0" applyBorder="0" applyProtection="0"/>
    <xf numFmtId="0" fontId="42" fillId="9" borderId="0" applyNumberFormat="0" applyBorder="0" applyProtection="0"/>
    <xf numFmtId="0" fontId="43" fillId="8" borderId="0" applyNumberFormat="0" applyBorder="0" applyProtection="0"/>
    <xf numFmtId="0" fontId="42" fillId="8" borderId="0" applyNumberFormat="0" applyBorder="0" applyProtection="0"/>
    <xf numFmtId="0" fontId="42" fillId="8" borderId="0" applyNumberFormat="0" applyBorder="0" applyProtection="0"/>
    <xf numFmtId="0" fontId="42" fillId="8" borderId="0" applyNumberFormat="0" applyBorder="0" applyProtection="0"/>
    <xf numFmtId="0" fontId="42" fillId="8" borderId="0" applyNumberFormat="0" applyBorder="0" applyProtection="0"/>
    <xf numFmtId="0" fontId="50" fillId="23" borderId="0" applyNumberFormat="0" applyBorder="0" applyProtection="0">
      <alignment vertical="center"/>
    </xf>
    <xf numFmtId="0" fontId="50" fillId="24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14" borderId="0" applyNumberFormat="0" applyBorder="0" applyProtection="0">
      <alignment vertical="center"/>
    </xf>
    <xf numFmtId="0" fontId="50" fillId="15" borderId="0" applyNumberFormat="0" applyBorder="0" applyProtection="0">
      <alignment vertical="center"/>
    </xf>
    <xf numFmtId="0" fontId="50" fillId="14" borderId="0" applyNumberFormat="0" applyBorder="0" applyProtection="0">
      <alignment vertical="center"/>
    </xf>
    <xf numFmtId="0" fontId="50" fillId="14" borderId="0" applyNumberFormat="0" applyBorder="0" applyProtection="0">
      <alignment vertical="center"/>
    </xf>
    <xf numFmtId="0" fontId="50" fillId="14" borderId="0" applyNumberFormat="0" applyBorder="0" applyProtection="0">
      <alignment vertical="center"/>
    </xf>
    <xf numFmtId="0" fontId="50" fillId="14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7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6" borderId="0" applyNumberFormat="0" applyBorder="0" applyProtection="0">
      <alignment vertical="center"/>
    </xf>
    <xf numFmtId="0" fontId="50" fillId="38" borderId="0" applyNumberFormat="0" applyBorder="0" applyProtection="0">
      <alignment vertical="center"/>
    </xf>
    <xf numFmtId="0" fontId="50" fillId="20" borderId="0" applyNumberFormat="0" applyBorder="0" applyProtection="0">
      <alignment vertical="center"/>
    </xf>
    <xf numFmtId="0" fontId="50" fillId="38" borderId="0" applyNumberFormat="0" applyBorder="0" applyProtection="0">
      <alignment vertical="center"/>
    </xf>
    <xf numFmtId="0" fontId="50" fillId="38" borderId="0" applyNumberFormat="0" applyBorder="0" applyProtection="0">
      <alignment vertical="center"/>
    </xf>
    <xf numFmtId="0" fontId="50" fillId="38" borderId="0" applyNumberFormat="0" applyBorder="0" applyProtection="0">
      <alignment vertical="center"/>
    </xf>
    <xf numFmtId="0" fontId="50" fillId="38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4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23" borderId="0" applyNumberFormat="0" applyBorder="0" applyProtection="0">
      <alignment vertical="center"/>
    </xf>
    <xf numFmtId="0" fontId="50" fillId="8" borderId="0" applyNumberFormat="0" applyBorder="0" applyProtection="0">
      <alignment vertical="center"/>
    </xf>
    <xf numFmtId="0" fontId="50" fillId="9" borderId="0" applyNumberFormat="0" applyBorder="0" applyProtection="0">
      <alignment vertical="center"/>
    </xf>
    <xf numFmtId="0" fontId="50" fillId="8" borderId="0" applyNumberFormat="0" applyBorder="0" applyProtection="0">
      <alignment vertical="center"/>
    </xf>
    <xf numFmtId="0" fontId="50" fillId="8" borderId="0" applyNumberFormat="0" applyBorder="0" applyProtection="0">
      <alignment vertical="center"/>
    </xf>
    <xf numFmtId="0" fontId="50" fillId="8" borderId="0" applyNumberFormat="0" applyBorder="0" applyProtection="0">
      <alignment vertical="center"/>
    </xf>
    <xf numFmtId="0" fontId="50" fillId="8" borderId="0" applyNumberFormat="0" applyBorder="0" applyProtection="0">
      <alignment vertical="center"/>
    </xf>
    <xf numFmtId="0" fontId="51" fillId="39" borderId="0" applyNumberFormat="0" applyBorder="0" applyProtection="0"/>
    <xf numFmtId="0" fontId="51" fillId="39" borderId="0" applyNumberFormat="0" applyBorder="0" applyProtection="0"/>
    <xf numFmtId="165" fontId="42" fillId="40" borderId="0" applyNumberFormat="0" applyBorder="0" applyProtection="0"/>
    <xf numFmtId="0" fontId="51" fillId="39" borderId="0" applyNumberFormat="0" applyBorder="0" applyProtection="0"/>
    <xf numFmtId="169" fontId="43" fillId="40" borderId="0" applyNumberFormat="0" applyBorder="0" applyProtection="0"/>
    <xf numFmtId="0" fontId="209" fillId="39" borderId="0" applyNumberFormat="0" applyBorder="0" applyProtection="0"/>
    <xf numFmtId="0" fontId="51" fillId="39" borderId="0" applyNumberFormat="0" applyBorder="0" applyProtection="0"/>
    <xf numFmtId="0" fontId="209" fillId="39" borderId="0" applyNumberFormat="0" applyBorder="0" applyProtection="0"/>
    <xf numFmtId="0" fontId="51" fillId="39" borderId="0" applyNumberFormat="0" applyBorder="0" applyProtection="0"/>
    <xf numFmtId="0" fontId="209" fillId="39" borderId="0" applyNumberFormat="0" applyBorder="0" applyProtection="0"/>
    <xf numFmtId="0" fontId="51" fillId="39" borderId="0" applyNumberFormat="0" applyBorder="0" applyProtection="0"/>
    <xf numFmtId="0" fontId="209" fillId="39" borderId="0" applyNumberFormat="0" applyBorder="0" applyProtection="0"/>
    <xf numFmtId="0" fontId="209" fillId="39" borderId="0" applyNumberFormat="0" applyBorder="0" applyProtection="0"/>
    <xf numFmtId="0" fontId="209" fillId="39" borderId="0" applyNumberFormat="0" applyBorder="0" applyProtection="0"/>
    <xf numFmtId="0" fontId="209" fillId="39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165" fontId="42" fillId="5" borderId="0" applyNumberFormat="0" applyBorder="0" applyProtection="0"/>
    <xf numFmtId="0" fontId="51" fillId="41" borderId="0" applyNumberFormat="0" applyBorder="0" applyProtection="0"/>
    <xf numFmtId="169" fontId="43" fillId="5" borderId="0" applyNumberFormat="0" applyBorder="0" applyProtection="0"/>
    <xf numFmtId="0" fontId="209" fillId="41" borderId="0" applyNumberFormat="0" applyBorder="0" applyProtection="0"/>
    <xf numFmtId="0" fontId="51" fillId="41" borderId="0" applyNumberFormat="0" applyBorder="0" applyProtection="0"/>
    <xf numFmtId="0" fontId="209" fillId="41" borderId="0" applyNumberFormat="0" applyBorder="0" applyProtection="0"/>
    <xf numFmtId="0" fontId="51" fillId="41" borderId="0" applyNumberFormat="0" applyBorder="0" applyProtection="0"/>
    <xf numFmtId="0" fontId="209" fillId="41" borderId="0" applyNumberFormat="0" applyBorder="0" applyProtection="0"/>
    <xf numFmtId="0" fontId="51" fillId="41" borderId="0" applyNumberFormat="0" applyBorder="0" applyProtection="0"/>
    <xf numFmtId="0" fontId="209" fillId="41" borderId="0" applyNumberFormat="0" applyBorder="0" applyProtection="0"/>
    <xf numFmtId="0" fontId="209" fillId="41" borderId="0" applyNumberFormat="0" applyBorder="0" applyProtection="0"/>
    <xf numFmtId="0" fontId="209" fillId="41" borderId="0" applyNumberFormat="0" applyBorder="0" applyProtection="0"/>
    <xf numFmtId="0" fontId="209" fillId="41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165" fontId="42" fillId="43" borderId="0" applyNumberFormat="0" applyBorder="0" applyProtection="0"/>
    <xf numFmtId="0" fontId="51" fillId="42" borderId="0" applyNumberFormat="0" applyBorder="0" applyProtection="0"/>
    <xf numFmtId="169" fontId="43" fillId="43" borderId="0" applyNumberFormat="0" applyBorder="0" applyProtection="0"/>
    <xf numFmtId="0" fontId="209" fillId="42" borderId="0" applyNumberFormat="0" applyBorder="0" applyProtection="0"/>
    <xf numFmtId="0" fontId="51" fillId="42" borderId="0" applyNumberFormat="0" applyBorder="0" applyProtection="0"/>
    <xf numFmtId="0" fontId="209" fillId="42" borderId="0" applyNumberFormat="0" applyBorder="0" applyProtection="0"/>
    <xf numFmtId="0" fontId="51" fillId="42" borderId="0" applyNumberFormat="0" applyBorder="0" applyProtection="0"/>
    <xf numFmtId="0" fontId="209" fillId="42" borderId="0" applyNumberFormat="0" applyBorder="0" applyProtection="0"/>
    <xf numFmtId="0" fontId="51" fillId="42" borderId="0" applyNumberFormat="0" applyBorder="0" applyProtection="0"/>
    <xf numFmtId="0" fontId="209" fillId="42" borderId="0" applyNumberFormat="0" applyBorder="0" applyProtection="0"/>
    <xf numFmtId="0" fontId="209" fillId="42" borderId="0" applyNumberFormat="0" applyBorder="0" applyProtection="0"/>
    <xf numFmtId="0" fontId="209" fillId="42" borderId="0" applyNumberFormat="0" applyBorder="0" applyProtection="0"/>
    <xf numFmtId="0" fontId="209" fillId="42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165" fontId="42" fillId="34" borderId="0" applyNumberFormat="0" applyBorder="0" applyProtection="0"/>
    <xf numFmtId="0" fontId="51" fillId="44" borderId="0" applyNumberFormat="0" applyBorder="0" applyProtection="0"/>
    <xf numFmtId="169" fontId="43" fillId="34" borderId="0" applyNumberFormat="0" applyBorder="0" applyProtection="0"/>
    <xf numFmtId="0" fontId="209" fillId="44" borderId="0" applyNumberFormat="0" applyBorder="0" applyProtection="0"/>
    <xf numFmtId="0" fontId="51" fillId="44" borderId="0" applyNumberFormat="0" applyBorder="0" applyProtection="0"/>
    <xf numFmtId="0" fontId="209" fillId="44" borderId="0" applyNumberFormat="0" applyBorder="0" applyProtection="0"/>
    <xf numFmtId="0" fontId="51" fillId="44" borderId="0" applyNumberFormat="0" applyBorder="0" applyProtection="0"/>
    <xf numFmtId="0" fontId="209" fillId="44" borderId="0" applyNumberFormat="0" applyBorder="0" applyProtection="0"/>
    <xf numFmtId="0" fontId="51" fillId="44" borderId="0" applyNumberFormat="0" applyBorder="0" applyProtection="0"/>
    <xf numFmtId="0" fontId="209" fillId="44" borderId="0" applyNumberFormat="0" applyBorder="0" applyProtection="0"/>
    <xf numFmtId="0" fontId="209" fillId="44" borderId="0" applyNumberFormat="0" applyBorder="0" applyProtection="0"/>
    <xf numFmtId="0" fontId="209" fillId="44" borderId="0" applyNumberFormat="0" applyBorder="0" applyProtection="0"/>
    <xf numFmtId="0" fontId="209" fillId="44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209" fillId="45" borderId="0" applyNumberFormat="0" applyBorder="0" applyProtection="0"/>
    <xf numFmtId="165" fontId="42" fillId="40" borderId="0" applyNumberFormat="0" applyBorder="0" applyProtection="0"/>
    <xf numFmtId="0" fontId="51" fillId="45" borderId="0" applyNumberFormat="0" applyBorder="0" applyProtection="0"/>
    <xf numFmtId="169" fontId="43" fillId="40" borderId="0" applyNumberFormat="0" applyBorder="0" applyProtection="0"/>
    <xf numFmtId="0" fontId="209" fillId="45" borderId="0" applyNumberFormat="0" applyBorder="0" applyProtection="0"/>
    <xf numFmtId="0" fontId="51" fillId="45" borderId="0" applyNumberFormat="0" applyBorder="0" applyProtection="0"/>
    <xf numFmtId="0" fontId="209" fillId="45" borderId="0" applyNumberFormat="0" applyBorder="0" applyProtection="0"/>
    <xf numFmtId="0" fontId="51" fillId="45" borderId="0" applyNumberFormat="0" applyBorder="0" applyProtection="0"/>
    <xf numFmtId="0" fontId="209" fillId="45" borderId="0" applyNumberFormat="0" applyBorder="0" applyProtection="0"/>
    <xf numFmtId="0" fontId="51" fillId="45" borderId="0" applyNumberFormat="0" applyBorder="0" applyProtection="0"/>
    <xf numFmtId="0" fontId="209" fillId="45" borderId="0" applyNumberFormat="0" applyBorder="0" applyProtection="0"/>
    <xf numFmtId="0" fontId="209" fillId="45" borderId="0" applyNumberFormat="0" applyBorder="0" applyProtection="0"/>
    <xf numFmtId="0" fontId="209" fillId="45" borderId="0" applyNumberFormat="0" applyBorder="0" applyProtection="0"/>
    <xf numFmtId="0" fontId="209" fillId="45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165" fontId="42" fillId="6" borderId="0" applyNumberFormat="0" applyBorder="0" applyProtection="0"/>
    <xf numFmtId="0" fontId="51" fillId="46" borderId="0" applyNumberFormat="0" applyBorder="0" applyProtection="0"/>
    <xf numFmtId="169" fontId="43" fillId="6" borderId="0" applyNumberFormat="0" applyBorder="0" applyProtection="0"/>
    <xf numFmtId="0" fontId="209" fillId="46" borderId="0" applyNumberFormat="0" applyBorder="0" applyProtection="0"/>
    <xf numFmtId="0" fontId="51" fillId="46" borderId="0" applyNumberFormat="0" applyBorder="0" applyProtection="0"/>
    <xf numFmtId="0" fontId="209" fillId="46" borderId="0" applyNumberFormat="0" applyBorder="0" applyProtection="0"/>
    <xf numFmtId="0" fontId="51" fillId="46" borderId="0" applyNumberFormat="0" applyBorder="0" applyProtection="0"/>
    <xf numFmtId="0" fontId="209" fillId="46" borderId="0" applyNumberFormat="0" applyBorder="0" applyProtection="0"/>
    <xf numFmtId="0" fontId="51" fillId="46" borderId="0" applyNumberFormat="0" applyBorder="0" applyProtection="0"/>
    <xf numFmtId="0" fontId="209" fillId="46" borderId="0" applyNumberFormat="0" applyBorder="0" applyProtection="0"/>
    <xf numFmtId="0" fontId="209" fillId="46" borderId="0" applyNumberFormat="0" applyBorder="0" applyProtection="0"/>
    <xf numFmtId="0" fontId="209" fillId="46" borderId="0" applyNumberFormat="0" applyBorder="0" applyProtection="0"/>
    <xf numFmtId="0" fontId="209" fillId="46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39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1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2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4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5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1" fillId="46" borderId="0" applyNumberFormat="0" applyBorder="0" applyProtection="0"/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5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43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34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40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52" fillId="6" borderId="0" applyNumberFormat="0" applyBorder="0" applyProtection="0">
      <alignment vertical="center"/>
    </xf>
    <xf numFmtId="0" fontId="31" fillId="23" borderId="0" applyNumberFormat="0" applyBorder="0" applyProtection="0"/>
    <xf numFmtId="0" fontId="31" fillId="24" borderId="0" applyNumberFormat="0" applyBorder="0" applyProtection="0"/>
    <xf numFmtId="0" fontId="31" fillId="23" borderId="0" applyNumberFormat="0" applyBorder="0" applyProtection="0"/>
    <xf numFmtId="0" fontId="31" fillId="23" borderId="0" applyNumberFormat="0" applyBorder="0" applyProtection="0"/>
    <xf numFmtId="0" fontId="31" fillId="23" borderId="0" applyNumberFormat="0" applyBorder="0" applyProtection="0"/>
    <xf numFmtId="0" fontId="31" fillId="14" borderId="0" applyNumberFormat="0" applyBorder="0" applyProtection="0"/>
    <xf numFmtId="0" fontId="31" fillId="15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31" fillId="14" borderId="0" applyNumberFormat="0" applyBorder="0" applyProtection="0"/>
    <xf numFmtId="0" fontId="31" fillId="6" borderId="0" applyNumberFormat="0" applyBorder="0" applyProtection="0"/>
    <xf numFmtId="0" fontId="31" fillId="7" borderId="0" applyNumberFormat="0" applyBorder="0" applyProtection="0"/>
    <xf numFmtId="0" fontId="31" fillId="6" borderId="0" applyNumberFormat="0" applyBorder="0" applyProtection="0"/>
    <xf numFmtId="0" fontId="31" fillId="6" borderId="0" applyNumberFormat="0" applyBorder="0" applyProtection="0"/>
    <xf numFmtId="0" fontId="31" fillId="6" borderId="0" applyNumberFormat="0" applyBorder="0" applyProtection="0"/>
    <xf numFmtId="0" fontId="31" fillId="10" borderId="0" applyNumberFormat="0" applyBorder="0" applyProtection="0"/>
    <xf numFmtId="0" fontId="31" fillId="11" borderId="0" applyNumberFormat="0" applyBorder="0" applyProtection="0"/>
    <xf numFmtId="0" fontId="31" fillId="10" borderId="0" applyNumberFormat="0" applyBorder="0" applyProtection="0"/>
    <xf numFmtId="0" fontId="31" fillId="10" borderId="0" applyNumberFormat="0" applyBorder="0" applyProtection="0"/>
    <xf numFmtId="0" fontId="31" fillId="10" borderId="0" applyNumberFormat="0" applyBorder="0" applyProtection="0"/>
    <xf numFmtId="0" fontId="31" fillId="23" borderId="0" applyNumberFormat="0" applyBorder="0" applyProtection="0"/>
    <xf numFmtId="0" fontId="31" fillId="24" borderId="0" applyNumberFormat="0" applyBorder="0" applyProtection="0"/>
    <xf numFmtId="0" fontId="31" fillId="23" borderId="0" applyNumberFormat="0" applyBorder="0" applyProtection="0"/>
    <xf numFmtId="0" fontId="31" fillId="23" borderId="0" applyNumberFormat="0" applyBorder="0" applyProtection="0"/>
    <xf numFmtId="0" fontId="31" fillId="23" borderId="0" applyNumberFormat="0" applyBorder="0" applyProtection="0"/>
    <xf numFmtId="0" fontId="31" fillId="5" borderId="0" applyNumberFormat="0" applyBorder="0" applyProtection="0"/>
    <xf numFmtId="0" fontId="31" fillId="5" borderId="0" applyNumberFormat="0" applyBorder="0" applyProtection="0"/>
    <xf numFmtId="0" fontId="31" fillId="5" borderId="0" applyNumberFormat="0" applyBorder="0" applyProtection="0"/>
    <xf numFmtId="0" fontId="31" fillId="5" borderId="0" applyNumberFormat="0" applyBorder="0" applyProtection="0"/>
    <xf numFmtId="0" fontId="31" fillId="5" borderId="0" applyNumberFormat="0" applyBorder="0" applyProtection="0"/>
    <xf numFmtId="0" fontId="44" fillId="23" borderId="0" applyNumberFormat="0" applyBorder="0" applyProtection="0">
      <alignment vertical="center"/>
    </xf>
    <xf numFmtId="0" fontId="44" fillId="24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5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14" borderId="0" applyNumberFormat="0" applyBorder="0" applyProtection="0">
      <alignment vertical="center"/>
    </xf>
    <xf numFmtId="0" fontId="44" fillId="6" borderId="0" applyNumberFormat="0" applyBorder="0" applyProtection="0">
      <alignment vertical="center"/>
    </xf>
    <xf numFmtId="0" fontId="44" fillId="7" borderId="0" applyNumberFormat="0" applyBorder="0" applyProtection="0">
      <alignment vertical="center"/>
    </xf>
    <xf numFmtId="0" fontId="44" fillId="6" borderId="0" applyNumberFormat="0" applyBorder="0" applyProtection="0">
      <alignment vertical="center"/>
    </xf>
    <xf numFmtId="0" fontId="44" fillId="6" borderId="0" applyNumberFormat="0" applyBorder="0" applyProtection="0">
      <alignment vertical="center"/>
    </xf>
    <xf numFmtId="0" fontId="44" fillId="6" borderId="0" applyNumberFormat="0" applyBorder="0" applyProtection="0">
      <alignment vertical="center"/>
    </xf>
    <xf numFmtId="0" fontId="44" fillId="10" borderId="0" applyNumberFormat="0" applyBorder="0" applyProtection="0">
      <alignment vertical="center"/>
    </xf>
    <xf numFmtId="0" fontId="44" fillId="11" borderId="0" applyNumberFormat="0" applyBorder="0" applyProtection="0">
      <alignment vertical="center"/>
    </xf>
    <xf numFmtId="0" fontId="44" fillId="10" borderId="0" applyNumberFormat="0" applyBorder="0" applyProtection="0">
      <alignment vertical="center"/>
    </xf>
    <xf numFmtId="0" fontId="44" fillId="10" borderId="0" applyNumberFormat="0" applyBorder="0" applyProtection="0">
      <alignment vertical="center"/>
    </xf>
    <xf numFmtId="0" fontId="44" fillId="10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24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23" borderId="0" applyNumberFormat="0" applyBorder="0" applyProtection="0">
      <alignment vertical="center"/>
    </xf>
    <xf numFmtId="0" fontId="44" fillId="5" borderId="0" applyNumberFormat="0" applyBorder="0" applyProtection="0">
      <alignment vertical="center"/>
    </xf>
    <xf numFmtId="0" fontId="44" fillId="5" borderId="0" applyNumberFormat="0" applyBorder="0" applyProtection="0">
      <alignment vertical="center"/>
    </xf>
    <xf numFmtId="0" fontId="44" fillId="5" borderId="0" applyNumberFormat="0" applyBorder="0" applyProtection="0">
      <alignment vertical="center"/>
    </xf>
    <xf numFmtId="0" fontId="44" fillId="5" borderId="0" applyNumberFormat="0" applyBorder="0" applyProtection="0">
      <alignment vertical="center"/>
    </xf>
    <xf numFmtId="0" fontId="44" fillId="5" borderId="0" applyNumberFormat="0" applyBorder="0" applyProtection="0">
      <alignment vertical="center"/>
    </xf>
    <xf numFmtId="165" fontId="31" fillId="47" borderId="0" applyNumberFormat="0" applyBorder="0" applyProtection="0"/>
    <xf numFmtId="0" fontId="51" fillId="48" borderId="0" applyNumberFormat="0" applyBorder="0" applyProtection="0"/>
    <xf numFmtId="169" fontId="31" fillId="47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165" fontId="31" fillId="5" borderId="0" applyNumberFormat="0" applyBorder="0" applyProtection="0"/>
    <xf numFmtId="0" fontId="51" fillId="49" borderId="0" applyNumberFormat="0" applyBorder="0" applyProtection="0"/>
    <xf numFmtId="169" fontId="31" fillId="5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165" fontId="31" fillId="43" borderId="0" applyNumberFormat="0" applyBorder="0" applyProtection="0"/>
    <xf numFmtId="0" fontId="51" fillId="50" borderId="0" applyNumberFormat="0" applyBorder="0" applyProtection="0"/>
    <xf numFmtId="169" fontId="31" fillId="43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165" fontId="31" fillId="51" borderId="0" applyNumberFormat="0" applyBorder="0" applyProtection="0"/>
    <xf numFmtId="0" fontId="51" fillId="52" borderId="0" applyNumberFormat="0" applyBorder="0" applyProtection="0"/>
    <xf numFmtId="169" fontId="31" fillId="51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165" fontId="31" fillId="53" borderId="0" applyNumberFormat="0" applyBorder="0" applyProtection="0"/>
    <xf numFmtId="0" fontId="51" fillId="54" borderId="0" applyNumberFormat="0" applyBorder="0" applyProtection="0"/>
    <xf numFmtId="169" fontId="31" fillId="53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165" fontId="31" fillId="21" borderId="0" applyNumberFormat="0" applyBorder="0" applyProtection="0"/>
    <xf numFmtId="0" fontId="51" fillId="55" borderId="0" applyNumberFormat="0" applyBorder="0" applyProtection="0"/>
    <xf numFmtId="169" fontId="31" fillId="21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1" fillId="48" borderId="0" applyNumberFormat="0" applyBorder="0" applyProtection="0"/>
    <xf numFmtId="0" fontId="53" fillId="48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1" fillId="49" borderId="0" applyNumberFormat="0" applyBorder="0" applyProtection="0"/>
    <xf numFmtId="0" fontId="53" fillId="49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1" fillId="50" borderId="0" applyNumberFormat="0" applyBorder="0" applyProtection="0"/>
    <xf numFmtId="0" fontId="53" fillId="50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1" fillId="52" borderId="0" applyNumberFormat="0" applyBorder="0" applyProtection="0"/>
    <xf numFmtId="0" fontId="53" fillId="52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1" fillId="54" borderId="0" applyNumberFormat="0" applyBorder="0" applyProtection="0"/>
    <xf numFmtId="0" fontId="53" fillId="54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1" fillId="55" borderId="0" applyNumberFormat="0" applyBorder="0" applyProtection="0"/>
    <xf numFmtId="0" fontId="53" fillId="55" borderId="0" applyNumberFormat="0" applyBorder="0" applyProtection="0"/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47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5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43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54" fillId="21" borderId="0" applyNumberFormat="0" applyBorder="0" applyProtection="0">
      <alignment vertical="center"/>
    </xf>
    <xf numFmtId="0" fontId="47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5" fillId="0" borderId="13" applyBorder="0"/>
    <xf numFmtId="165" fontId="31" fillId="56" borderId="0" applyNumberFormat="0" applyBorder="0" applyProtection="0"/>
    <xf numFmtId="0" fontId="53" fillId="57" borderId="0" applyNumberFormat="0" applyBorder="0" applyProtection="0"/>
    <xf numFmtId="169" fontId="31" fillId="56" borderId="0" applyNumberFormat="0" applyBorder="0" applyProtection="0"/>
    <xf numFmtId="0" fontId="53" fillId="57" borderId="0" applyNumberFormat="0" applyBorder="0" applyProtection="0"/>
    <xf numFmtId="0" fontId="53" fillId="58" borderId="0" applyNumberFormat="0" applyBorder="0" applyProtection="0"/>
    <xf numFmtId="165" fontId="31" fillId="59" borderId="0" applyNumberFormat="0" applyBorder="0" applyProtection="0"/>
    <xf numFmtId="0" fontId="56" fillId="58" borderId="0" applyNumberFormat="0" applyBorder="0" applyProtection="0"/>
    <xf numFmtId="169" fontId="31" fillId="59" borderId="0" applyNumberFormat="0" applyBorder="0" applyProtection="0"/>
    <xf numFmtId="0" fontId="56" fillId="58" borderId="0" applyNumberFormat="0" applyBorder="0" applyProtection="0"/>
    <xf numFmtId="165" fontId="31" fillId="60" borderId="0" applyNumberFormat="0" applyBorder="0" applyProtection="0"/>
    <xf numFmtId="0" fontId="56" fillId="61" borderId="0" applyNumberFormat="0" applyBorder="0" applyProtection="0"/>
    <xf numFmtId="169" fontId="31" fillId="60" borderId="0" applyNumberFormat="0" applyBorder="0" applyProtection="0"/>
    <xf numFmtId="0" fontId="56" fillId="61" borderId="0" applyNumberFormat="0" applyBorder="0" applyProtection="0"/>
    <xf numFmtId="165" fontId="31" fillId="51" borderId="0" applyNumberFormat="0" applyBorder="0" applyProtection="0"/>
    <xf numFmtId="0" fontId="56" fillId="62" borderId="0" applyNumberFormat="0" applyBorder="0" applyProtection="0"/>
    <xf numFmtId="169" fontId="31" fillId="51" borderId="0" applyNumberFormat="0" applyBorder="0" applyProtection="0"/>
    <xf numFmtId="0" fontId="56" fillId="62" borderId="0" applyNumberFormat="0" applyBorder="0" applyProtection="0"/>
    <xf numFmtId="165" fontId="31" fillId="53" borderId="0" applyNumberFormat="0" applyBorder="0" applyProtection="0"/>
    <xf numFmtId="0" fontId="56" fillId="63" borderId="0" applyNumberFormat="0" applyBorder="0" applyProtection="0"/>
    <xf numFmtId="169" fontId="31" fillId="53" borderId="0" applyNumberFormat="0" applyBorder="0" applyProtection="0"/>
    <xf numFmtId="0" fontId="56" fillId="63" borderId="0" applyNumberFormat="0" applyBorder="0" applyProtection="0"/>
    <xf numFmtId="165" fontId="31" fillId="64" borderId="0" applyNumberFormat="0" applyBorder="0" applyProtection="0"/>
    <xf numFmtId="0" fontId="56" fillId="65" borderId="0" applyNumberFormat="0" applyBorder="0" applyProtection="0"/>
    <xf numFmtId="169" fontId="31" fillId="64" borderId="0" applyNumberFormat="0" applyBorder="0" applyProtection="0"/>
    <xf numFmtId="0" fontId="56" fillId="65" borderId="0" applyNumberFormat="0" applyBorder="0" applyProtection="0"/>
    <xf numFmtId="170" fontId="57" fillId="0" borderId="0" applyFont="0" applyFill="0" applyBorder="0" applyProtection="0"/>
    <xf numFmtId="165" fontId="58" fillId="0" borderId="0" applyFont="0" applyFill="0" applyBorder="0" applyProtection="0"/>
    <xf numFmtId="171" fontId="57" fillId="0" borderId="0" applyFont="0" applyFill="0" applyBorder="0" applyProtection="0"/>
    <xf numFmtId="165" fontId="58" fillId="0" borderId="0" applyFont="0" applyFill="0" applyBorder="0" applyProtection="0"/>
    <xf numFmtId="3" fontId="59" fillId="0" borderId="0" applyNumberFormat="0" applyFill="0" applyBorder="0" applyProtection="0"/>
    <xf numFmtId="3" fontId="60" fillId="0" borderId="0" applyNumberFormat="0" applyFill="0" applyBorder="0" applyProtection="0"/>
    <xf numFmtId="172" fontId="57" fillId="0" borderId="0" applyFont="0" applyFill="0" applyBorder="0" applyProtection="0"/>
    <xf numFmtId="165" fontId="58" fillId="0" borderId="0" applyFont="0" applyFill="0" applyBorder="0" applyProtection="0"/>
    <xf numFmtId="173" fontId="57" fillId="0" borderId="0" applyFont="0" applyFill="0" applyBorder="0" applyProtection="0"/>
    <xf numFmtId="165" fontId="58" fillId="0" borderId="0" applyFont="0" applyFill="0" applyBorder="0" applyProtection="0"/>
    <xf numFmtId="165" fontId="7" fillId="30" borderId="0" applyNumberFormat="0" applyBorder="0" applyProtection="0"/>
    <xf numFmtId="0" fontId="61" fillId="66" borderId="0" applyNumberFormat="0" applyBorder="0" applyProtection="0"/>
    <xf numFmtId="169" fontId="7" fillId="30" borderId="0" applyNumberFormat="0" applyBorder="0" applyProtection="0"/>
    <xf numFmtId="0" fontId="61" fillId="66" borderId="0" applyNumberFormat="0" applyBorder="0" applyProtection="0"/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174" fontId="22" fillId="0" borderId="0" applyNumberFormat="0" applyFont="0"/>
    <xf numFmtId="174" fontId="22" fillId="0" borderId="0" applyNumberFormat="0" applyFont="0"/>
    <xf numFmtId="0" fontId="62" fillId="67" borderId="0"/>
    <xf numFmtId="175" fontId="3" fillId="0" borderId="0" applyNumberFormat="0" applyFill="0" applyBorder="0"/>
    <xf numFmtId="38" fontId="63" fillId="0" borderId="13" applyNumberFormat="0" applyFont="0" applyProtection="0"/>
    <xf numFmtId="176" fontId="64" fillId="0" borderId="0" applyFill="0" applyBorder="0" applyProtection="0">
      <alignment horizontal="right" vertical="top" wrapText="1"/>
    </xf>
    <xf numFmtId="165" fontId="58" fillId="0" borderId="0"/>
    <xf numFmtId="165" fontId="65" fillId="0" borderId="0"/>
    <xf numFmtId="165" fontId="58" fillId="0" borderId="0"/>
    <xf numFmtId="177" fontId="2" fillId="0" borderId="0" applyFill="0" applyBorder="0"/>
    <xf numFmtId="177" fontId="2" fillId="0" borderId="0" applyFill="0" applyBorder="0"/>
    <xf numFmtId="178" fontId="2" fillId="0" borderId="0" applyFill="0" applyBorder="0"/>
    <xf numFmtId="178" fontId="2" fillId="0" borderId="0" applyFill="0" applyBorder="0"/>
    <xf numFmtId="179" fontId="2" fillId="0" borderId="0" applyFill="0" applyBorder="0"/>
    <xf numFmtId="179" fontId="2" fillId="0" borderId="0" applyFill="0" applyBorder="0"/>
    <xf numFmtId="180" fontId="2" fillId="0" borderId="0" applyFill="0" applyBorder="0"/>
    <xf numFmtId="180" fontId="2" fillId="0" borderId="0" applyFill="0" applyBorder="0"/>
    <xf numFmtId="181" fontId="2" fillId="0" borderId="0" applyFill="0" applyBorder="0"/>
    <xf numFmtId="181" fontId="2" fillId="0" borderId="0" applyFill="0" applyBorder="0"/>
    <xf numFmtId="182" fontId="2" fillId="0" borderId="0" applyFill="0" applyBorder="0"/>
    <xf numFmtId="182" fontId="2" fillId="0" borderId="0" applyFill="0" applyBorder="0"/>
    <xf numFmtId="183" fontId="2" fillId="0" borderId="0" applyFill="0" applyBorder="0"/>
    <xf numFmtId="183" fontId="2" fillId="0" borderId="0" applyFill="0" applyBorder="0"/>
    <xf numFmtId="178" fontId="2" fillId="0" borderId="0" applyFill="0" applyBorder="0"/>
    <xf numFmtId="178" fontId="2" fillId="0" borderId="0" applyFill="0" applyBorder="0"/>
    <xf numFmtId="165" fontId="66" fillId="20" borderId="8" applyNumberFormat="0" applyProtection="0"/>
    <xf numFmtId="0" fontId="67" fillId="68" borderId="14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5" fontId="66" fillId="20" borderId="8" applyNumberFormat="0" applyProtection="0"/>
    <xf numFmtId="169" fontId="66" fillId="20" borderId="8" applyNumberFormat="0" applyProtection="0"/>
    <xf numFmtId="0" fontId="67" fillId="68" borderId="14" applyNumberFormat="0" applyProtection="0"/>
    <xf numFmtId="169" fontId="66" fillId="20" borderId="8" applyNumberFormat="0" applyProtection="0"/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0" fontId="45" fillId="20" borderId="15" applyBorder="0">
      <alignment horizontal="centerContinuous"/>
    </xf>
    <xf numFmtId="165" fontId="62" fillId="69" borderId="16" applyNumberFormat="0" applyProtection="0"/>
    <xf numFmtId="0" fontId="68" fillId="70" borderId="17" applyNumberFormat="0" applyProtection="0"/>
    <xf numFmtId="169" fontId="62" fillId="69" borderId="16" applyNumberFormat="0" applyProtection="0"/>
    <xf numFmtId="0" fontId="68" fillId="70" borderId="17" applyNumberFormat="0" applyProtection="0"/>
    <xf numFmtId="0" fontId="34" fillId="0" borderId="0" applyNumberFormat="0" applyFill="0" applyBorder="0" applyProtection="0">
      <alignment vertical="top"/>
      <protection locked="0"/>
    </xf>
    <xf numFmtId="38" fontId="69" fillId="0" borderId="0" applyNumberFormat="0" applyFill="0" applyBorder="0" applyProtection="0">
      <protection locked="0"/>
    </xf>
    <xf numFmtId="38" fontId="70" fillId="0" borderId="0" applyNumberFormat="0" applyFill="0" applyBorder="0" applyProtection="0">
      <protection locked="0"/>
    </xf>
    <xf numFmtId="38" fontId="71" fillId="0" borderId="0" applyNumberFormat="0" applyFill="0" applyBorder="0" applyProtection="0">
      <protection locked="0"/>
    </xf>
    <xf numFmtId="0" fontId="72" fillId="0" borderId="18">
      <alignment horizontal="center"/>
    </xf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5" fontId="73" fillId="0" borderId="0"/>
    <xf numFmtId="175" fontId="3" fillId="0" borderId="0" applyFont="0" applyFill="0" applyBorder="0" applyProtection="0">
      <protection locked="0"/>
    </xf>
    <xf numFmtId="40" fontId="48" fillId="0" borderId="0" applyFont="0" applyFill="0" applyBorder="0" applyProtection="0">
      <protection locked="0"/>
    </xf>
    <xf numFmtId="40" fontId="48" fillId="0" borderId="0" applyFont="0" applyFill="0" applyBorder="0" applyProtection="0">
      <protection locked="0"/>
    </xf>
    <xf numFmtId="182" fontId="2" fillId="0" borderId="0" applyFont="0" applyFill="0" applyBorder="0" applyProtection="0"/>
    <xf numFmtId="182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186" fontId="2" fillId="0" borderId="0" applyFont="0" applyFill="0" applyBorder="0" applyProtection="0"/>
    <xf numFmtId="186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6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187" fontId="209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7" fontId="209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187" fontId="209" fillId="0" borderId="0" applyFont="0" applyFill="0" applyBorder="0" applyProtection="0"/>
    <xf numFmtId="43" fontId="22" fillId="0" borderId="0" applyFont="0" applyFill="0" applyBorder="0" applyProtection="0"/>
    <xf numFmtId="186" fontId="2" fillId="0" borderId="0" applyFont="0" applyFill="0" applyBorder="0" applyProtection="0"/>
    <xf numFmtId="188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8" fontId="2" fillId="0" borderId="0" applyFont="0" applyFill="0" applyBorder="0" applyProtection="0"/>
    <xf numFmtId="43" fontId="22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7" fontId="209" fillId="0" borderId="0" applyFont="0" applyFill="0" applyBorder="0" applyProtection="0"/>
    <xf numFmtId="43" fontId="2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187" fontId="209" fillId="0" borderId="0" applyFont="0" applyFill="0" applyBorder="0" applyProtection="0"/>
    <xf numFmtId="188" fontId="2" fillId="0" borderId="0" applyFont="0" applyFill="0" applyBorder="0" applyProtection="0"/>
    <xf numFmtId="43" fontId="74" fillId="0" borderId="0" applyFont="0" applyFill="0" applyBorder="0" applyProtection="0"/>
    <xf numFmtId="188" fontId="2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74" fillId="0" borderId="0" applyFont="0" applyFill="0" applyBorder="0" applyProtection="0"/>
    <xf numFmtId="43" fontId="74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187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09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9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186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188" fontId="2" fillId="0" borderId="0" applyFont="0" applyFill="0" applyBorder="0" applyProtection="0"/>
    <xf numFmtId="188" fontId="2" fillId="0" borderId="0" applyFont="0" applyFill="0" applyBorder="0" applyProtection="0"/>
    <xf numFmtId="186" fontId="2" fillId="0" borderId="0" applyFont="0" applyFill="0" applyBorder="0" applyProtection="0"/>
    <xf numFmtId="43" fontId="2" fillId="0" borderId="0" applyFont="0" applyFill="0" applyBorder="0" applyProtection="0"/>
    <xf numFmtId="188" fontId="2" fillId="0" borderId="0" applyFont="0" applyFill="0" applyBorder="0" applyProtection="0"/>
    <xf numFmtId="188" fontId="2" fillId="0" borderId="0" applyFont="0" applyFill="0" applyBorder="0" applyProtection="0"/>
    <xf numFmtId="188" fontId="2" fillId="0" borderId="0" applyFont="0" applyFill="0" applyBorder="0" applyProtection="0"/>
    <xf numFmtId="188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43" fontId="2" fillId="0" borderId="0" applyFont="0" applyFill="0" applyBorder="0" applyProtection="0"/>
    <xf numFmtId="3" fontId="48" fillId="0" borderId="0" applyFont="0" applyFill="0" applyBorder="0" applyProtection="0"/>
    <xf numFmtId="3" fontId="2" fillId="0" borderId="0" applyFont="0" applyFill="0" applyBorder="0" applyProtection="0"/>
    <xf numFmtId="3" fontId="2" fillId="0" borderId="0" applyFont="0" applyFill="0" applyBorder="0" applyProtection="0"/>
    <xf numFmtId="0" fontId="2" fillId="0" borderId="0" applyFont="0" applyFill="0" applyBorder="0" applyProtection="0"/>
    <xf numFmtId="0" fontId="2" fillId="0" borderId="0" applyFont="0" applyFill="0" applyBorder="0" applyProtection="0"/>
    <xf numFmtId="165" fontId="75" fillId="0" borderId="0" applyNumberFormat="0" applyFill="0" applyBorder="0" applyProtection="0">
      <alignment horizontal="left" vertical="top" wrapText="1"/>
    </xf>
    <xf numFmtId="0" fontId="76" fillId="0" borderId="0" applyNumberFormat="0">
      <alignment horizontal="left"/>
    </xf>
    <xf numFmtId="190" fontId="48" fillId="0" borderId="0" applyFont="0" applyFill="0" applyBorder="0" applyProtection="0">
      <protection locked="0"/>
    </xf>
    <xf numFmtId="190" fontId="48" fillId="0" borderId="0" applyFont="0" applyFill="0" applyBorder="0" applyProtection="0">
      <protection locked="0"/>
    </xf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1" fontId="77" fillId="0" borderId="19"/>
    <xf numFmtId="192" fontId="48" fillId="0" borderId="0" applyFont="0" applyFill="0" applyBorder="0" applyProtection="0">
      <protection locked="0"/>
    </xf>
    <xf numFmtId="192" fontId="48" fillId="0" borderId="0" applyFont="0" applyFill="0" applyBorder="0" applyProtection="0">
      <protection locked="0"/>
    </xf>
    <xf numFmtId="178" fontId="2" fillId="0" borderId="0" applyFont="0" applyFill="0" applyBorder="0" applyProtection="0"/>
    <xf numFmtId="178" fontId="2" fillId="0" borderId="0" applyFont="0" applyFill="0" applyBorder="0" applyProtection="0"/>
    <xf numFmtId="193" fontId="2" fillId="0" borderId="0" applyFont="0" applyFill="0" applyBorder="0" applyProtection="0"/>
    <xf numFmtId="193" fontId="2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167" fontId="2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167" fontId="2" fillId="0" borderId="0" applyFont="0" applyFill="0" applyBorder="0" applyProtection="0"/>
    <xf numFmtId="167" fontId="2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194" fontId="48" fillId="0" borderId="0" applyFont="0" applyFill="0" applyBorder="0" applyProtection="0"/>
    <xf numFmtId="195" fontId="78" fillId="0" borderId="0" applyFont="0" applyFill="0" applyBorder="0" applyProtection="0"/>
    <xf numFmtId="196" fontId="3" fillId="0" borderId="0" applyFont="0" applyFill="0" applyBorder="0" applyProtection="0"/>
    <xf numFmtId="165" fontId="79" fillId="20" borderId="0" applyNumberFormat="0" applyFont="0" applyFill="0" applyBorder="0" applyProtection="0">
      <alignment horizontal="left"/>
    </xf>
    <xf numFmtId="0" fontId="80" fillId="71" borderId="0">
      <alignment horizontal="centerContinuous"/>
    </xf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0" fontId="45" fillId="4" borderId="15" applyBorder="0"/>
    <xf numFmtId="165" fontId="48" fillId="0" borderId="0" applyFont="0" applyFill="0" applyBorder="0" applyProtection="0"/>
    <xf numFmtId="14" fontId="64" fillId="0" borderId="0" applyFill="0" applyBorder="0" applyProtection="0">
      <alignment horizontal="right" vertical="top" wrapText="1"/>
    </xf>
    <xf numFmtId="14" fontId="2" fillId="0" borderId="0" applyFill="0" applyBorder="0"/>
    <xf numFmtId="0" fontId="81" fillId="0" borderId="0" applyFill="0" applyBorder="0" applyProtection="0"/>
    <xf numFmtId="197" fontId="3" fillId="0" borderId="0" applyFont="0" applyFill="0" applyBorder="0" applyProtection="0">
      <alignment horizontal="left"/>
    </xf>
    <xf numFmtId="198" fontId="82" fillId="0" borderId="0" applyFont="0" applyFill="0" applyBorder="0" applyProtection="0">
      <protection locked="0"/>
    </xf>
    <xf numFmtId="39" fontId="47" fillId="0" borderId="0" applyFont="0" applyFill="0" applyBorder="0" applyProtection="0"/>
    <xf numFmtId="199" fontId="83" fillId="0" borderId="0" applyFont="0" applyFill="0" applyBorder="0"/>
    <xf numFmtId="38" fontId="4" fillId="0" borderId="20">
      <alignment vertical="center"/>
    </xf>
    <xf numFmtId="38" fontId="4" fillId="0" borderId="20">
      <alignment vertical="center"/>
    </xf>
    <xf numFmtId="38" fontId="2" fillId="0" borderId="0" applyFont="0" applyFill="0" applyBorder="0" applyProtection="0"/>
    <xf numFmtId="40" fontId="2" fillId="0" borderId="0" applyFont="0" applyFill="0" applyBorder="0" applyProtection="0"/>
    <xf numFmtId="200" fontId="84" fillId="0" borderId="0"/>
    <xf numFmtId="201" fontId="55" fillId="0" borderId="0" applyFont="0" applyFill="0" applyBorder="0" applyProtection="0"/>
    <xf numFmtId="202" fontId="2" fillId="0" borderId="0" applyFont="0" applyFill="0" applyBorder="0" applyProtection="0"/>
    <xf numFmtId="203" fontId="2" fillId="0" borderId="0" applyFont="0" applyFill="0" applyBorder="0" applyProtection="0"/>
    <xf numFmtId="202" fontId="2" fillId="0" borderId="0" applyFont="0" applyFill="0" applyBorder="0" applyProtection="0"/>
    <xf numFmtId="203" fontId="2" fillId="0" borderId="0" applyFont="0" applyFill="0" applyBorder="0" applyProtection="0"/>
    <xf numFmtId="202" fontId="2" fillId="0" borderId="0" applyFont="0" applyFill="0" applyBorder="0" applyProtection="0"/>
    <xf numFmtId="203" fontId="2" fillId="0" borderId="0" applyFont="0" applyFill="0" applyBorder="0" applyProtection="0"/>
    <xf numFmtId="202" fontId="2" fillId="0" borderId="0" applyFont="0" applyFill="0" applyBorder="0" applyProtection="0"/>
    <xf numFmtId="203" fontId="2" fillId="0" borderId="0" applyFont="0" applyFill="0" applyBorder="0" applyProtection="0"/>
    <xf numFmtId="202" fontId="2" fillId="0" borderId="0" applyFont="0" applyFill="0" applyBorder="0" applyProtection="0"/>
    <xf numFmtId="203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6" fontId="59" fillId="0" borderId="0" applyFont="0" applyFill="0" applyBorder="0" applyProtection="0"/>
    <xf numFmtId="207" fontId="59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4" fontId="2" fillId="0" borderId="0" applyFont="0" applyFill="0" applyBorder="0" applyProtection="0"/>
    <xf numFmtId="205" fontId="2" fillId="0" borderId="0" applyFont="0" applyFill="0" applyBorder="0" applyProtection="0"/>
    <xf numFmtId="208" fontId="55" fillId="0" borderId="0" applyFont="0" applyFill="0" applyBorder="0" applyProtection="0"/>
    <xf numFmtId="209" fontId="2" fillId="0" borderId="0" applyFont="0" applyFill="0" applyBorder="0" applyProtection="0"/>
    <xf numFmtId="205" fontId="2" fillId="0" borderId="0" applyFont="0" applyFill="0" applyBorder="0" applyProtection="0"/>
    <xf numFmtId="209" fontId="2" fillId="0" borderId="0" applyFont="0" applyFill="0" applyBorder="0" applyProtection="0"/>
    <xf numFmtId="205" fontId="2" fillId="0" borderId="0" applyFont="0" applyFill="0" applyBorder="0" applyProtection="0"/>
    <xf numFmtId="209" fontId="2" fillId="0" borderId="0" applyFont="0" applyFill="0" applyBorder="0" applyProtection="0"/>
    <xf numFmtId="205" fontId="2" fillId="0" borderId="0" applyFont="0" applyFill="0" applyBorder="0" applyProtection="0"/>
    <xf numFmtId="209" fontId="2" fillId="0" borderId="0" applyFont="0" applyFill="0" applyBorder="0" applyProtection="0"/>
    <xf numFmtId="205" fontId="2" fillId="0" borderId="0" applyFont="0" applyFill="0" applyBorder="0" applyProtection="0"/>
    <xf numFmtId="209" fontId="2" fillId="0" borderId="0" applyFont="0" applyFill="0" applyBorder="0" applyProtection="0"/>
    <xf numFmtId="205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11" fontId="59" fillId="0" borderId="0" applyFont="0" applyFill="0" applyBorder="0" applyProtection="0"/>
    <xf numFmtId="212" fontId="59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200" fontId="2" fillId="0" borderId="0" applyFont="0" applyFill="0" applyBorder="0" applyProtection="0"/>
    <xf numFmtId="210" fontId="2" fillId="0" borderId="0" applyFont="0" applyFill="0" applyBorder="0" applyProtection="0"/>
    <xf numFmtId="182" fontId="2" fillId="0" borderId="0" applyFill="0" applyBorder="0"/>
    <xf numFmtId="182" fontId="2" fillId="0" borderId="0" applyFill="0" applyBorder="0"/>
    <xf numFmtId="178" fontId="2" fillId="0" borderId="0" applyFill="0" applyBorder="0"/>
    <xf numFmtId="178" fontId="2" fillId="0" borderId="0" applyFill="0" applyBorder="0"/>
    <xf numFmtId="182" fontId="2" fillId="0" borderId="0" applyFill="0" applyBorder="0"/>
    <xf numFmtId="182" fontId="2" fillId="0" borderId="0" applyFill="0" applyBorder="0"/>
    <xf numFmtId="183" fontId="2" fillId="0" borderId="0" applyFill="0" applyBorder="0"/>
    <xf numFmtId="183" fontId="2" fillId="0" borderId="0" applyFill="0" applyBorder="0"/>
    <xf numFmtId="178" fontId="2" fillId="0" borderId="0" applyFill="0" applyBorder="0"/>
    <xf numFmtId="178" fontId="2" fillId="0" borderId="0" applyFill="0" applyBorder="0"/>
    <xf numFmtId="0" fontId="85" fillId="0" borderId="0" applyNumberFormat="0">
      <alignment horizontal="left"/>
    </xf>
    <xf numFmtId="3" fontId="86" fillId="0" borderId="0" applyFill="0" applyBorder="0">
      <alignment horizontal="left"/>
      <protection locked="0"/>
    </xf>
    <xf numFmtId="165" fontId="22" fillId="0" borderId="0" applyFont="0" applyFill="0" applyBorder="0" applyProtection="0"/>
    <xf numFmtId="165" fontId="79" fillId="0" borderId="0" applyFont="0" applyFill="0" applyBorder="0" applyProtection="0"/>
    <xf numFmtId="165" fontId="22" fillId="0" borderId="0" applyFont="0" applyFill="0" applyBorder="0" applyProtection="0"/>
    <xf numFmtId="213" fontId="2" fillId="0" borderId="0" applyFont="0" applyFill="0" applyBorder="0" applyProtection="0"/>
    <xf numFmtId="0" fontId="43" fillId="0" borderId="0"/>
    <xf numFmtId="165" fontId="87" fillId="0" borderId="0" applyNumberFormat="0" applyFill="0" applyBorder="0" applyProtection="0"/>
    <xf numFmtId="0" fontId="88" fillId="0" borderId="0" applyNumberFormat="0" applyFill="0" applyBorder="0" applyProtection="0"/>
    <xf numFmtId="169" fontId="87" fillId="0" borderId="0" applyNumberFormat="0" applyFill="0" applyBorder="0" applyProtection="0"/>
    <xf numFmtId="0" fontId="88" fillId="0" borderId="0" applyNumberFormat="0" applyFill="0" applyBorder="0" applyProtection="0"/>
    <xf numFmtId="165" fontId="45" fillId="69" borderId="0" applyNumberFormat="0" applyFont="0" applyBorder="0" applyProtection="0"/>
    <xf numFmtId="165" fontId="89" fillId="0" borderId="0" applyNumberFormat="0" applyFill="0" applyBorder="0" applyProtection="0"/>
    <xf numFmtId="214" fontId="90" fillId="0" borderId="0" applyFill="0" applyBorder="0">
      <alignment horizontal="right"/>
    </xf>
    <xf numFmtId="15" fontId="45" fillId="0" borderId="0" applyFont="0" applyFill="0" applyBorder="0" applyProtection="0">
      <alignment horizontal="center"/>
    </xf>
    <xf numFmtId="165" fontId="45" fillId="30" borderId="0" applyNumberFormat="0" applyFont="0" applyBorder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20" borderId="21" applyNumberFormat="0" applyProtection="0"/>
    <xf numFmtId="215" fontId="79" fillId="0" borderId="0" applyNumberFormat="0" applyFill="0" applyBorder="0" applyProtection="0"/>
    <xf numFmtId="215" fontId="91" fillId="0" borderId="0" applyNumberFormat="0" applyFill="0" applyBorder="0" applyProtection="0"/>
    <xf numFmtId="15" fontId="45" fillId="0" borderId="0" applyFont="0" applyFill="0" applyBorder="0" applyProtection="0">
      <alignment horizontal="center"/>
    </xf>
    <xf numFmtId="216" fontId="92" fillId="18" borderId="22">
      <protection locked="0"/>
    </xf>
    <xf numFmtId="215" fontId="93" fillId="18" borderId="22">
      <protection locked="0"/>
    </xf>
    <xf numFmtId="215" fontId="45" fillId="0" borderId="0" applyFont="0" applyFill="0" applyBorder="0" applyProtection="0"/>
    <xf numFmtId="216" fontId="45" fillId="0" borderId="0" applyFont="0" applyFill="0" applyBorder="0" applyProtection="0"/>
    <xf numFmtId="217" fontId="45" fillId="0" borderId="0" applyFont="0" applyFill="0" applyBorder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1" applyNumberFormat="0" applyFont="0" applyProtection="0"/>
    <xf numFmtId="165" fontId="45" fillId="0" borderId="23" applyNumberFormat="0" applyFont="0" applyProtection="0"/>
    <xf numFmtId="165" fontId="45" fillId="43" borderId="0" applyNumberFormat="0" applyFont="0" applyBorder="0" applyProtection="0"/>
    <xf numFmtId="218" fontId="94" fillId="0" borderId="0" applyFont="0" applyFill="0" applyBorder="0" applyProtection="0"/>
    <xf numFmtId="219" fontId="94" fillId="0" borderId="0" applyFont="0" applyFill="0" applyBorder="0" applyProtection="0"/>
    <xf numFmtId="2" fontId="48" fillId="0" borderId="0" applyFont="0" applyFill="0" applyBorder="0" applyProtection="0"/>
    <xf numFmtId="2" fontId="2" fillId="0" borderId="0" applyFont="0" applyFill="0" applyBorder="0" applyProtection="0"/>
    <xf numFmtId="2" fontId="2" fillId="0" borderId="0" applyFont="0" applyFill="0" applyBorder="0" applyProtection="0"/>
    <xf numFmtId="2" fontId="81" fillId="0" borderId="0" applyFill="0" applyBorder="0" applyProtection="0"/>
    <xf numFmtId="165" fontId="2" fillId="0" borderId="0"/>
    <xf numFmtId="165" fontId="2" fillId="0" borderId="0"/>
    <xf numFmtId="0" fontId="46" fillId="32" borderId="0">
      <alignment horizontal="right"/>
    </xf>
    <xf numFmtId="165" fontId="45" fillId="0" borderId="0" applyFont="0" applyFill="0" applyBorder="0" applyProtection="0"/>
    <xf numFmtId="165" fontId="95" fillId="32" borderId="0" applyNumberFormat="0" applyBorder="0" applyProtection="0"/>
    <xf numFmtId="0" fontId="96" fillId="72" borderId="0" applyNumberFormat="0" applyBorder="0" applyProtection="0"/>
    <xf numFmtId="169" fontId="95" fillId="32" borderId="0" applyNumberFormat="0" applyBorder="0" applyProtection="0"/>
    <xf numFmtId="0" fontId="96" fillId="72" borderId="0" applyNumberFormat="0" applyBorder="0" applyProtection="0"/>
    <xf numFmtId="38" fontId="22" fillId="20" borderId="0" applyNumberFormat="0" applyBorder="0" applyProtection="0"/>
    <xf numFmtId="38" fontId="22" fillId="20" borderId="0" applyNumberFormat="0" applyBorder="0" applyProtection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220" fontId="72" fillId="8" borderId="19" applyNumberFormat="0" applyFont="0"/>
    <xf numFmtId="165" fontId="97" fillId="0" borderId="0" applyNumberFormat="0" applyProtection="0">
      <alignment horizontal="center"/>
    </xf>
    <xf numFmtId="165" fontId="98" fillId="0" borderId="24" applyNumberFormat="0" applyProtection="0">
      <alignment horizontal="left"/>
    </xf>
    <xf numFmtId="165" fontId="98" fillId="0" borderId="24" applyNumberFormat="0" applyProtection="0">
      <alignment horizontal="left" vertical="center"/>
    </xf>
    <xf numFmtId="165" fontId="98" fillId="0" borderId="21">
      <alignment horizontal="left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 vertical="center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165" fontId="98" fillId="0" borderId="21">
      <alignment horizontal="left"/>
    </xf>
    <xf numFmtId="0" fontId="98" fillId="0" borderId="21">
      <alignment horizontal="left" vertical="center"/>
    </xf>
    <xf numFmtId="221" fontId="99" fillId="8" borderId="0">
      <alignment horizontal="left" vertical="top"/>
    </xf>
    <xf numFmtId="165" fontId="100" fillId="0" borderId="0" applyNumberFormat="0" applyFill="0" applyBorder="0" applyProtection="0"/>
    <xf numFmtId="0" fontId="101" fillId="0" borderId="25" applyNumberFormat="0" applyFill="0" applyProtection="0"/>
    <xf numFmtId="169" fontId="102" fillId="0" borderId="26" applyNumberFormat="0" applyFill="0" applyProtection="0"/>
    <xf numFmtId="0" fontId="101" fillId="0" borderId="25" applyNumberFormat="0" applyFill="0" applyProtection="0"/>
    <xf numFmtId="165" fontId="98" fillId="0" borderId="0" applyNumberFormat="0" applyFill="0" applyBorder="0" applyProtection="0"/>
    <xf numFmtId="0" fontId="103" fillId="0" borderId="27" applyNumberFormat="0" applyFill="0" applyProtection="0"/>
    <xf numFmtId="169" fontId="104" fillId="0" borderId="28" applyNumberFormat="0" applyFill="0" applyProtection="0"/>
    <xf numFmtId="0" fontId="103" fillId="0" borderId="27" applyNumberFormat="0" applyFill="0" applyProtection="0"/>
    <xf numFmtId="165" fontId="105" fillId="0" borderId="29" applyNumberFormat="0" applyFill="0" applyProtection="0"/>
    <xf numFmtId="0" fontId="106" fillId="0" borderId="30" applyNumberFormat="0" applyFill="0" applyProtection="0"/>
    <xf numFmtId="169" fontId="105" fillId="0" borderId="29" applyNumberFormat="0" applyFill="0" applyProtection="0"/>
    <xf numFmtId="0" fontId="106" fillId="0" borderId="30" applyNumberFormat="0" applyFill="0" applyProtection="0"/>
    <xf numFmtId="165" fontId="105" fillId="0" borderId="0" applyNumberFormat="0" applyFill="0" applyBorder="0" applyProtection="0"/>
    <xf numFmtId="0" fontId="106" fillId="0" borderId="0" applyNumberFormat="0" applyFill="0" applyBorder="0" applyProtection="0"/>
    <xf numFmtId="169" fontId="105" fillId="0" borderId="0" applyNumberFormat="0" applyFill="0" applyBorder="0" applyProtection="0"/>
    <xf numFmtId="0" fontId="106" fillId="0" borderId="0" applyNumberFormat="0" applyFill="0" applyBorder="0" applyProtection="0"/>
    <xf numFmtId="165" fontId="107" fillId="0" borderId="0"/>
    <xf numFmtId="165" fontId="98" fillId="0" borderId="0"/>
    <xf numFmtId="165" fontId="108" fillId="0" borderId="0"/>
    <xf numFmtId="165" fontId="59" fillId="0" borderId="0"/>
    <xf numFmtId="165" fontId="79" fillId="0" borderId="0"/>
    <xf numFmtId="165" fontId="109" fillId="0" borderId="0"/>
    <xf numFmtId="165" fontId="2" fillId="0" borderId="0">
      <alignment horizontal="center"/>
    </xf>
    <xf numFmtId="165" fontId="2" fillId="0" borderId="0">
      <alignment horizontal="center"/>
    </xf>
    <xf numFmtId="0" fontId="110" fillId="0" borderId="0" applyNumberFormat="0" applyFill="0" applyBorder="0" applyProtection="0"/>
    <xf numFmtId="0" fontId="111" fillId="0" borderId="0" applyNumberFormat="0" applyFill="0" applyBorder="0" applyProtection="0">
      <alignment vertical="top"/>
      <protection locked="0"/>
    </xf>
    <xf numFmtId="0" fontId="111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/>
    <xf numFmtId="0" fontId="110" fillId="0" borderId="0" applyNumberFormat="0" applyFill="0" applyBorder="0" applyProtection="0"/>
    <xf numFmtId="0" fontId="110" fillId="0" borderId="0" applyNumberFormat="0" applyFill="0" applyBorder="0" applyProtection="0"/>
    <xf numFmtId="0" fontId="34" fillId="0" borderId="0" applyNumberFormat="0" applyFill="0" applyBorder="0" applyProtection="0">
      <alignment vertical="top"/>
      <protection locked="0"/>
    </xf>
    <xf numFmtId="0" fontId="34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/>
    <xf numFmtId="165" fontId="112" fillId="0" borderId="0"/>
    <xf numFmtId="165" fontId="113" fillId="8" borderId="0">
      <alignment horizontal="left" wrapText="1" indent="2"/>
    </xf>
    <xf numFmtId="175" fontId="114" fillId="0" borderId="31" applyFill="0" applyBorder="0">
      <alignment horizontal="center"/>
      <protection locked="0"/>
    </xf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0" fontId="22" fillId="8" borderId="19" applyNumberFormat="0" applyBorder="0" applyProtection="0"/>
    <xf numFmtId="198" fontId="114" fillId="0" borderId="0" applyFill="0" applyBorder="0">
      <protection locked="0"/>
    </xf>
    <xf numFmtId="165" fontId="115" fillId="37" borderId="8" applyNumberFormat="0" applyProtection="0"/>
    <xf numFmtId="0" fontId="116" fillId="37" borderId="14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9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9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165" fontId="115" fillId="37" borderId="8" applyNumberFormat="0" applyProtection="0"/>
    <xf numFmtId="0" fontId="116" fillId="37" borderId="14" applyNumberFormat="0" applyProtection="0"/>
    <xf numFmtId="219" fontId="2" fillId="0" borderId="0" applyFont="0" applyFill="0" applyBorder="0" applyProtection="0"/>
    <xf numFmtId="219" fontId="2" fillId="0" borderId="0" applyFont="0" applyFill="0" applyBorder="0" applyProtection="0"/>
    <xf numFmtId="219" fontId="2" fillId="0" borderId="0" applyFont="0" applyFill="0" applyBorder="0" applyProtection="0"/>
    <xf numFmtId="43" fontId="2" fillId="0" borderId="0" applyFont="0" applyFill="0" applyBorder="0" applyProtection="0"/>
    <xf numFmtId="38" fontId="117" fillId="0" borderId="0"/>
    <xf numFmtId="38" fontId="118" fillId="0" borderId="0"/>
    <xf numFmtId="38" fontId="119" fillId="0" borderId="0"/>
    <xf numFmtId="38" fontId="120" fillId="0" borderId="0"/>
    <xf numFmtId="165" fontId="121" fillId="0" borderId="0"/>
    <xf numFmtId="165" fontId="121" fillId="0" borderId="0"/>
    <xf numFmtId="165" fontId="121" fillId="0" borderId="0"/>
    <xf numFmtId="0" fontId="122" fillId="0" borderId="0" applyNumberFormat="0" applyFill="0" applyBorder="0" applyProtection="0">
      <alignment vertical="top"/>
      <protection locked="0"/>
    </xf>
    <xf numFmtId="182" fontId="2" fillId="0" borderId="0" applyFill="0" applyBorder="0"/>
    <xf numFmtId="182" fontId="2" fillId="0" borderId="0" applyFill="0" applyBorder="0"/>
    <xf numFmtId="178" fontId="2" fillId="0" borderId="0" applyFill="0" applyBorder="0"/>
    <xf numFmtId="178" fontId="2" fillId="0" borderId="0" applyFill="0" applyBorder="0"/>
    <xf numFmtId="182" fontId="2" fillId="0" borderId="0" applyFill="0" applyBorder="0"/>
    <xf numFmtId="182" fontId="2" fillId="0" borderId="0" applyFill="0" applyBorder="0"/>
    <xf numFmtId="183" fontId="2" fillId="0" borderId="0" applyFill="0" applyBorder="0"/>
    <xf numFmtId="183" fontId="2" fillId="0" borderId="0" applyFill="0" applyBorder="0"/>
    <xf numFmtId="178" fontId="2" fillId="0" borderId="0" applyFill="0" applyBorder="0"/>
    <xf numFmtId="178" fontId="2" fillId="0" borderId="0" applyFill="0" applyBorder="0"/>
    <xf numFmtId="165" fontId="123" fillId="0" borderId="32" applyNumberFormat="0" applyFill="0" applyProtection="0"/>
    <xf numFmtId="0" fontId="124" fillId="0" borderId="33" applyNumberFormat="0" applyFill="0" applyProtection="0"/>
    <xf numFmtId="169" fontId="123" fillId="0" borderId="32" applyNumberFormat="0" applyFill="0" applyProtection="0"/>
    <xf numFmtId="0" fontId="124" fillId="0" borderId="33" applyNumberFormat="0" applyFill="0" applyProtection="0"/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222" fontId="98" fillId="20" borderId="34">
      <alignment horizontal="left"/>
    </xf>
    <xf numFmtId="165" fontId="2" fillId="0" borderId="0">
      <alignment horizontal="center"/>
    </xf>
    <xf numFmtId="165" fontId="2" fillId="0" borderId="0">
      <alignment horizontal="center"/>
    </xf>
    <xf numFmtId="0" fontId="45" fillId="38" borderId="0"/>
    <xf numFmtId="41" fontId="2" fillId="0" borderId="0" applyFont="0" applyFill="0" applyBorder="0" applyProtection="0"/>
    <xf numFmtId="43" fontId="2" fillId="0" borderId="0" applyFont="0" applyFill="0" applyBorder="0" applyProtection="0"/>
    <xf numFmtId="223" fontId="2" fillId="0" borderId="0" applyFont="0" applyFill="0" applyBorder="0" applyProtection="0"/>
    <xf numFmtId="224" fontId="2" fillId="0" borderId="0" applyFont="0" applyFill="0" applyBorder="0" applyProtection="0"/>
    <xf numFmtId="225" fontId="2" fillId="0" borderId="0" applyFont="0" applyFill="0" applyBorder="0" applyProtection="0"/>
    <xf numFmtId="167" fontId="2" fillId="0" borderId="0" applyFont="0" applyFill="0" applyBorder="0" applyProtection="0"/>
    <xf numFmtId="226" fontId="2" fillId="0" borderId="0" applyFont="0" applyFill="0" applyBorder="0" applyProtection="0"/>
    <xf numFmtId="165" fontId="4" fillId="0" borderId="0" applyNumberFormat="0">
      <alignment horizontal="right"/>
    </xf>
    <xf numFmtId="165" fontId="59" fillId="0" borderId="0" applyNumberFormat="0" applyFont="0" applyFill="0"/>
    <xf numFmtId="165" fontId="125" fillId="18" borderId="0" applyNumberFormat="0" applyBorder="0" applyProtection="0"/>
    <xf numFmtId="0" fontId="126" fillId="73" borderId="0" applyNumberFormat="0" applyBorder="0" applyProtection="0"/>
    <xf numFmtId="0" fontId="127" fillId="73" borderId="0" applyNumberFormat="0" applyBorder="0" applyProtection="0"/>
    <xf numFmtId="169" fontId="125" fillId="18" borderId="0" applyNumberFormat="0" applyBorder="0" applyProtection="0"/>
    <xf numFmtId="0" fontId="126" fillId="73" borderId="0" applyNumberFormat="0" applyBorder="0" applyProtection="0"/>
    <xf numFmtId="37" fontId="128" fillId="0" borderId="0"/>
    <xf numFmtId="0" fontId="129" fillId="0" borderId="0"/>
    <xf numFmtId="165" fontId="112" fillId="0" borderId="0"/>
    <xf numFmtId="165" fontId="112" fillId="0" borderId="0"/>
    <xf numFmtId="165" fontId="112" fillId="0" borderId="0"/>
    <xf numFmtId="165" fontId="112" fillId="0" borderId="0"/>
    <xf numFmtId="165" fontId="112" fillId="0" borderId="0"/>
    <xf numFmtId="165" fontId="112" fillId="0" borderId="0"/>
    <xf numFmtId="165" fontId="112" fillId="0" borderId="0"/>
    <xf numFmtId="165" fontId="112" fillId="0" borderId="0"/>
    <xf numFmtId="227" fontId="2" fillId="0" borderId="0"/>
    <xf numFmtId="165" fontId="2" fillId="0" borderId="0"/>
    <xf numFmtId="165" fontId="2" fillId="0" borderId="0"/>
    <xf numFmtId="0" fontId="2" fillId="0" borderId="0"/>
    <xf numFmtId="227" fontId="2" fillId="0" borderId="0"/>
    <xf numFmtId="0" fontId="130" fillId="0" borderId="0"/>
    <xf numFmtId="38" fontId="2" fillId="0" borderId="0"/>
    <xf numFmtId="38" fontId="2" fillId="0" borderId="0"/>
    <xf numFmtId="228" fontId="2" fillId="0" borderId="0" applyFont="0" applyFill="0" applyBorder="0" applyProtection="0"/>
    <xf numFmtId="228" fontId="2" fillId="0" borderId="0" applyFont="0" applyFill="0" applyBorder="0" applyProtection="0"/>
    <xf numFmtId="0" fontId="2" fillId="0" borderId="0"/>
    <xf numFmtId="0" fontId="2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0" fontId="209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0" fontId="43" fillId="0" borderId="0"/>
    <xf numFmtId="0" fontId="209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0" fontId="43" fillId="0" borderId="0"/>
    <xf numFmtId="0" fontId="22" fillId="0" borderId="0">
      <alignment horizontal="left"/>
    </xf>
    <xf numFmtId="0" fontId="22" fillId="0" borderId="0">
      <alignment horizontal="left"/>
    </xf>
    <xf numFmtId="0" fontId="22" fillId="0" borderId="0">
      <alignment horizontal="left"/>
    </xf>
    <xf numFmtId="0" fontId="22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165" fontId="209" fillId="0" borderId="0"/>
    <xf numFmtId="165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165" fontId="209" fillId="0" borderId="0"/>
    <xf numFmtId="165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09" fillId="0" borderId="0"/>
    <xf numFmtId="0" fontId="209" fillId="0" borderId="0">
      <alignment vertical="center"/>
    </xf>
    <xf numFmtId="0" fontId="209" fillId="0" borderId="0">
      <alignment vertical="center"/>
    </xf>
    <xf numFmtId="0" fontId="22" fillId="0" borderId="0"/>
    <xf numFmtId="0" fontId="209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169" fontId="209" fillId="0" borderId="0"/>
    <xf numFmtId="169" fontId="209" fillId="0" borderId="0"/>
    <xf numFmtId="165" fontId="209" fillId="0" borderId="0"/>
    <xf numFmtId="169" fontId="209" fillId="0" borderId="0"/>
    <xf numFmtId="165" fontId="209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0" fontId="43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0" fontId="209" fillId="0" borderId="0"/>
    <xf numFmtId="169" fontId="2" fillId="0" borderId="0">
      <alignment vertical="center"/>
    </xf>
    <xf numFmtId="0" fontId="209" fillId="0" borderId="0"/>
    <xf numFmtId="0" fontId="209" fillId="0" borderId="0"/>
    <xf numFmtId="165" fontId="2" fillId="0" borderId="0"/>
    <xf numFmtId="0" fontId="209" fillId="0" borderId="0"/>
    <xf numFmtId="169" fontId="2" fillId="0" borderId="0">
      <alignment vertical="center"/>
    </xf>
    <xf numFmtId="0" fontId="209" fillId="0" borderId="0"/>
    <xf numFmtId="169" fontId="2" fillId="0" borderId="0">
      <alignment vertical="center"/>
    </xf>
    <xf numFmtId="0" fontId="22" fillId="0" borderId="0"/>
    <xf numFmtId="0" fontId="209" fillId="0" borderId="0"/>
    <xf numFmtId="169" fontId="2" fillId="0" borderId="0">
      <alignment vertical="center"/>
    </xf>
    <xf numFmtId="0" fontId="209" fillId="0" borderId="0"/>
    <xf numFmtId="0" fontId="209" fillId="0" borderId="0"/>
    <xf numFmtId="0" fontId="2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43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165" fontId="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169" fontId="43" fillId="0" borderId="0">
      <alignment vertical="center"/>
    </xf>
    <xf numFmtId="0" fontId="209" fillId="0" borderId="0"/>
    <xf numFmtId="0" fontId="51" fillId="0" borderId="0"/>
    <xf numFmtId="169" fontId="43" fillId="0" borderId="0">
      <alignment vertical="center"/>
    </xf>
    <xf numFmtId="0" fontId="22" fillId="0" borderId="0">
      <alignment horizontal="left"/>
    </xf>
    <xf numFmtId="0" fontId="22" fillId="0" borderId="0">
      <alignment horizontal="left"/>
    </xf>
    <xf numFmtId="0" fontId="2" fillId="0" borderId="0"/>
    <xf numFmtId="169" fontId="43" fillId="0" borderId="0">
      <alignment vertical="center"/>
    </xf>
    <xf numFmtId="0" fontId="113" fillId="0" borderId="0"/>
    <xf numFmtId="0" fontId="113" fillId="0" borderId="0"/>
    <xf numFmtId="0" fontId="74" fillId="0" borderId="0"/>
    <xf numFmtId="0" fontId="2" fillId="0" borderId="0"/>
    <xf numFmtId="0" fontId="2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169" fontId="43" fillId="0" borderId="0">
      <alignment vertical="center"/>
    </xf>
    <xf numFmtId="0" fontId="209" fillId="0" borderId="0"/>
    <xf numFmtId="0" fontId="2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5" fontId="2" fillId="0" borderId="0"/>
    <xf numFmtId="0" fontId="2" fillId="0" borderId="0"/>
    <xf numFmtId="0" fontId="131" fillId="0" borderId="0"/>
    <xf numFmtId="0" fontId="2" fillId="0" borderId="0"/>
    <xf numFmtId="169" fontId="43" fillId="0" borderId="0">
      <alignment vertical="center"/>
    </xf>
    <xf numFmtId="0" fontId="131" fillId="0" borderId="0"/>
    <xf numFmtId="169" fontId="43" fillId="0" borderId="0">
      <alignment vertical="center"/>
    </xf>
    <xf numFmtId="0" fontId="22" fillId="0" borderId="0"/>
    <xf numFmtId="0" fontId="2" fillId="0" borderId="0"/>
    <xf numFmtId="169" fontId="43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" fillId="0" borderId="0"/>
    <xf numFmtId="0" fontId="42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51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51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51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0" fontId="2" fillId="0" borderId="0"/>
    <xf numFmtId="169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09" fillId="0" borderId="0"/>
    <xf numFmtId="0" fontId="2" fillId="0" borderId="0"/>
    <xf numFmtId="0" fontId="2" fillId="0" borderId="0"/>
    <xf numFmtId="165" fontId="2" fillId="0" borderId="0"/>
    <xf numFmtId="169" fontId="209" fillId="0" borderId="0"/>
    <xf numFmtId="169" fontId="209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169" fontId="209" fillId="0" borderId="0"/>
    <xf numFmtId="0" fontId="2" fillId="0" borderId="0"/>
    <xf numFmtId="0" fontId="43" fillId="0" borderId="0"/>
    <xf numFmtId="0" fontId="42" fillId="0" borderId="0"/>
    <xf numFmtId="0" fontId="2" fillId="0" borderId="0"/>
    <xf numFmtId="169" fontId="209" fillId="0" borderId="0"/>
    <xf numFmtId="0" fontId="2" fillId="0" borderId="0"/>
    <xf numFmtId="165" fontId="2" fillId="0" borderId="0"/>
    <xf numFmtId="0" fontId="42" fillId="0" borderId="0"/>
    <xf numFmtId="169" fontId="209" fillId="0" borderId="0"/>
    <xf numFmtId="0" fontId="209" fillId="0" borderId="0"/>
    <xf numFmtId="169" fontId="209" fillId="0" borderId="0"/>
    <xf numFmtId="0" fontId="22" fillId="0" borderId="0"/>
    <xf numFmtId="0" fontId="209" fillId="0" borderId="0"/>
    <xf numFmtId="0" fontId="2" fillId="0" borderId="0"/>
    <xf numFmtId="0" fontId="43" fillId="0" borderId="0"/>
    <xf numFmtId="0" fontId="2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209" fillId="0" borderId="0"/>
    <xf numFmtId="0" fontId="2" fillId="0" borderId="0"/>
    <xf numFmtId="0" fontId="2" fillId="0" borderId="0"/>
    <xf numFmtId="0" fontId="209" fillId="0" borderId="0"/>
    <xf numFmtId="0" fontId="2" fillId="0" borderId="0"/>
    <xf numFmtId="165" fontId="2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0" fontId="42" fillId="0" borderId="0"/>
    <xf numFmtId="0" fontId="2" fillId="0" borderId="0"/>
    <xf numFmtId="169" fontId="209" fillId="0" borderId="0"/>
    <xf numFmtId="0" fontId="2" fillId="0" borderId="0"/>
    <xf numFmtId="165" fontId="2" fillId="0" borderId="0"/>
    <xf numFmtId="0" fontId="43" fillId="0" borderId="0"/>
    <xf numFmtId="169" fontId="209" fillId="0" borderId="0"/>
    <xf numFmtId="0" fontId="209" fillId="0" borderId="0"/>
    <xf numFmtId="169" fontId="209" fillId="0" borderId="0"/>
    <xf numFmtId="0" fontId="22" fillId="0" borderId="0"/>
    <xf numFmtId="169" fontId="209" fillId="0" borderId="0"/>
    <xf numFmtId="0" fontId="2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42" fillId="0" borderId="0"/>
    <xf numFmtId="0" fontId="42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2" fillId="0" borderId="0"/>
    <xf numFmtId="165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165" fontId="2" fillId="0" borderId="0"/>
    <xf numFmtId="0" fontId="43" fillId="0" borderId="0"/>
    <xf numFmtId="169" fontId="209" fillId="0" borderId="0"/>
    <xf numFmtId="0" fontId="22" fillId="0" borderId="0"/>
    <xf numFmtId="169" fontId="209" fillId="0" borderId="0"/>
    <xf numFmtId="169" fontId="209" fillId="0" borderId="0"/>
    <xf numFmtId="169" fontId="209" fillId="0" borderId="0"/>
    <xf numFmtId="0" fontId="74" fillId="0" borderId="0"/>
    <xf numFmtId="0" fontId="4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09" fillId="0" borderId="0"/>
    <xf numFmtId="0" fontId="209" fillId="0" borderId="0"/>
    <xf numFmtId="0" fontId="42" fillId="0" borderId="0"/>
    <xf numFmtId="165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5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0" fontId="209" fillId="0" borderId="0"/>
    <xf numFmtId="0" fontId="132" fillId="0" borderId="0"/>
    <xf numFmtId="0" fontId="132" fillId="0" borderId="0"/>
    <xf numFmtId="0" fontId="209" fillId="0" borderId="0"/>
    <xf numFmtId="0" fontId="1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165" fontId="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165" fontId="2" fillId="0" borderId="0"/>
    <xf numFmtId="169" fontId="209" fillId="0" borderId="0"/>
    <xf numFmtId="0" fontId="74" fillId="0" borderId="0"/>
    <xf numFmtId="169" fontId="209" fillId="0" borderId="0"/>
    <xf numFmtId="169" fontId="209" fillId="0" borderId="0"/>
    <xf numFmtId="169" fontId="209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165" fontId="2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165" fontId="2" fillId="0" borderId="0"/>
    <xf numFmtId="169" fontId="209" fillId="0" borderId="0"/>
    <xf numFmtId="0" fontId="42" fillId="0" borderId="0"/>
    <xf numFmtId="169" fontId="209" fillId="0" borderId="0"/>
    <xf numFmtId="169" fontId="209" fillId="0" borderId="0"/>
    <xf numFmtId="169" fontId="209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47" fillId="0" borderId="0"/>
    <xf numFmtId="0" fontId="2" fillId="0" borderId="0"/>
    <xf numFmtId="165" fontId="2" fillId="0" borderId="0"/>
    <xf numFmtId="165" fontId="48" fillId="0" borderId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0" fontId="209" fillId="8" borderId="35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9" fontId="74" fillId="8" borderId="7" applyNumberFormat="0" applyFont="0" applyProtection="0"/>
    <xf numFmtId="165" fontId="2" fillId="0" borderId="0"/>
    <xf numFmtId="165" fontId="2" fillId="0" borderId="0"/>
    <xf numFmtId="0" fontId="209" fillId="8" borderId="35" applyNumberFormat="0" applyFont="0" applyProtection="0"/>
    <xf numFmtId="2" fontId="73" fillId="0" borderId="0"/>
    <xf numFmtId="0" fontId="2" fillId="0" borderId="0"/>
    <xf numFmtId="165" fontId="2" fillId="0" borderId="0"/>
    <xf numFmtId="165" fontId="2" fillId="0" borderId="0"/>
    <xf numFmtId="165" fontId="134" fillId="0" borderId="0"/>
    <xf numFmtId="165" fontId="135" fillId="20" borderId="36" applyNumberFormat="0" applyProtection="0"/>
    <xf numFmtId="0" fontId="136" fillId="68" borderId="37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5" fontId="135" fillId="20" borderId="36" applyNumberFormat="0" applyProtection="0"/>
    <xf numFmtId="169" fontId="135" fillId="20" borderId="36" applyNumberFormat="0" applyProtection="0"/>
    <xf numFmtId="0" fontId="136" fillId="68" borderId="37" applyNumberFormat="0" applyProtection="0"/>
    <xf numFmtId="169" fontId="135" fillId="20" borderId="36" applyNumberFormat="0" applyProtection="0"/>
    <xf numFmtId="229" fontId="2" fillId="0" borderId="0" applyFill="0" applyBorder="0"/>
    <xf numFmtId="229" fontId="2" fillId="0" borderId="0" applyFill="0" applyBorder="0"/>
    <xf numFmtId="230" fontId="94" fillId="0" borderId="0" applyFont="0" applyFill="0" applyBorder="0" applyProtection="0"/>
    <xf numFmtId="231" fontId="94" fillId="0" borderId="0" applyFont="0" applyFill="0" applyBorder="0" applyProtection="0"/>
    <xf numFmtId="174" fontId="83" fillId="0" borderId="38" applyFont="0" applyFill="0" applyBorder="0" applyProtection="0">
      <alignment horizontal="right"/>
    </xf>
    <xf numFmtId="232" fontId="3" fillId="0" borderId="0" applyFont="0" applyFill="0" applyBorder="0" applyProtection="0"/>
    <xf numFmtId="175" fontId="48" fillId="0" borderId="0" applyFont="0" applyFill="0" applyBorder="0" applyProtection="0">
      <protection locked="0"/>
    </xf>
    <xf numFmtId="175" fontId="48" fillId="0" borderId="0" applyFont="0" applyFill="0" applyBorder="0" applyProtection="0">
      <protection locked="0"/>
    </xf>
    <xf numFmtId="10" fontId="48" fillId="0" borderId="0" applyFont="0" applyFill="0" applyBorder="0" applyProtection="0">
      <protection locked="0"/>
    </xf>
    <xf numFmtId="10" fontId="48" fillId="0" borderId="0" applyFont="0" applyFill="0" applyBorder="0" applyProtection="0">
      <protection locked="0"/>
    </xf>
    <xf numFmtId="181" fontId="2" fillId="0" borderId="0" applyFont="0" applyFill="0" applyBorder="0" applyProtection="0"/>
    <xf numFmtId="181" fontId="2" fillId="0" borderId="0" applyFont="0" applyFill="0" applyBorder="0" applyProtection="0"/>
    <xf numFmtId="233" fontId="2" fillId="0" borderId="0" applyFont="0" applyFill="0" applyBorder="0" applyProtection="0"/>
    <xf numFmtId="10" fontId="2" fillId="0" borderId="0" applyFont="0" applyFill="0" applyBorder="0" applyProtection="0"/>
    <xf numFmtId="10" fontId="2" fillId="0" borderId="0" applyFont="0" applyFill="0" applyBorder="0" applyProtection="0"/>
    <xf numFmtId="10" fontId="2" fillId="0" borderId="0" applyFont="0" applyFill="0" applyBorder="0" applyProtection="0"/>
    <xf numFmtId="234" fontId="2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132" fillId="0" borderId="0" applyFont="0" applyFill="0" applyBorder="0" applyProtection="0"/>
    <xf numFmtId="9" fontId="132" fillId="0" borderId="0" applyFont="0" applyFill="0" applyBorder="0" applyProtection="0"/>
    <xf numFmtId="9" fontId="132" fillId="0" borderId="0" applyFont="0" applyFill="0" applyBorder="0" applyProtection="0"/>
    <xf numFmtId="9" fontId="4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09" fillId="0" borderId="0" applyFont="0" applyFill="0" applyBorder="0" applyProtection="0"/>
    <xf numFmtId="9" fontId="42" fillId="0" borderId="0" applyFont="0" applyFill="0" applyBorder="0" applyProtection="0"/>
    <xf numFmtId="9" fontId="43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4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42" fillId="0" borderId="0" applyFont="0" applyFill="0" applyBorder="0" applyProtection="0"/>
    <xf numFmtId="9" fontId="43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42" fillId="0" borderId="0" applyFont="0" applyFill="0" applyBorder="0" applyProtection="0"/>
    <xf numFmtId="9" fontId="43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10" fontId="63" fillId="4" borderId="0"/>
    <xf numFmtId="182" fontId="2" fillId="0" borderId="0" applyFill="0" applyBorder="0"/>
    <xf numFmtId="182" fontId="2" fillId="0" borderId="0" applyFill="0" applyBorder="0"/>
    <xf numFmtId="178" fontId="2" fillId="0" borderId="0" applyFill="0" applyBorder="0"/>
    <xf numFmtId="178" fontId="2" fillId="0" borderId="0" applyFill="0" applyBorder="0"/>
    <xf numFmtId="182" fontId="2" fillId="0" borderId="0" applyFill="0" applyBorder="0"/>
    <xf numFmtId="182" fontId="2" fillId="0" borderId="0" applyFill="0" applyBorder="0"/>
    <xf numFmtId="183" fontId="2" fillId="0" borderId="0" applyFill="0" applyBorder="0"/>
    <xf numFmtId="183" fontId="2" fillId="0" borderId="0" applyFill="0" applyBorder="0"/>
    <xf numFmtId="178" fontId="2" fillId="0" borderId="0" applyFill="0" applyBorder="0"/>
    <xf numFmtId="178" fontId="2" fillId="0" borderId="0" applyFill="0" applyBorder="0"/>
    <xf numFmtId="165" fontId="2" fillId="0" borderId="0"/>
    <xf numFmtId="165" fontId="2" fillId="0" borderId="0"/>
    <xf numFmtId="4" fontId="137" fillId="0" borderId="0" applyFont="0" applyFill="0" applyBorder="0" applyProtection="0">
      <alignment horizontal="right" vertical="top" wrapText="1"/>
    </xf>
    <xf numFmtId="9" fontId="4" fillId="0" borderId="0" applyFont="0" applyFill="0" applyBorder="0" applyProtection="0"/>
    <xf numFmtId="0" fontId="4" fillId="0" borderId="0" applyNumberFormat="0" applyFont="0" applyFill="0" applyBorder="0" applyProtection="0">
      <alignment horizontal="left"/>
    </xf>
    <xf numFmtId="15" fontId="4" fillId="0" borderId="0" applyFont="0" applyFill="0" applyBorder="0" applyProtection="0"/>
    <xf numFmtId="4" fontId="4" fillId="0" borderId="0" applyFont="0" applyFill="0" applyBorder="0" applyProtection="0"/>
    <xf numFmtId="0" fontId="138" fillId="0" borderId="39">
      <alignment horizontal="center"/>
    </xf>
    <xf numFmtId="3" fontId="4" fillId="0" borderId="0" applyFont="0" applyFill="0" applyBorder="0" applyProtection="0"/>
    <xf numFmtId="0" fontId="4" fillId="74" borderId="0" applyNumberFormat="0" applyFont="0" applyBorder="0" applyProtection="0"/>
    <xf numFmtId="1" fontId="137" fillId="0" borderId="0">
      <alignment horizontal="center" vertical="top" wrapText="1"/>
    </xf>
    <xf numFmtId="3" fontId="139" fillId="0" borderId="0" applyFill="0" applyBorder="0" applyProtection="0"/>
    <xf numFmtId="3" fontId="59" fillId="0" borderId="0" applyFill="0" applyBorder="0" applyProtection="0"/>
    <xf numFmtId="3" fontId="59" fillId="0" borderId="0" applyFill="0" applyBorder="0" applyProtection="0"/>
    <xf numFmtId="3" fontId="139" fillId="0" borderId="0" applyFill="0" applyBorder="0" applyProtection="0"/>
    <xf numFmtId="235" fontId="3" fillId="0" borderId="0" applyNumberFormat="0" applyFill="0" applyBorder="0" applyProtection="0">
      <alignment horizontal="left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2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140" fillId="18" borderId="36" applyNumberFormat="0" applyProtection="0">
      <alignment vertical="center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4" fontId="2" fillId="1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30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59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6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21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4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60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75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2" fillId="43" borderId="36" applyNumberFormat="0" applyProtection="0">
      <alignment horizontal="right" vertical="center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79" fillId="76" borderId="36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2" fillId="2" borderId="40" applyNumberFormat="0" applyProtection="0">
      <alignment horizontal="left" vertical="center" indent="1"/>
    </xf>
    <xf numFmtId="4" fontId="98" fillId="77" borderId="0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2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4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38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69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0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2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140" fillId="8" borderId="36" applyNumberFormat="0" applyProtection="0">
      <alignment vertical="center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8" borderId="36" applyNumberFormat="0" applyProtection="0">
      <alignment horizontal="left" vertical="center" indent="1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2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4" fontId="140" fillId="2" borderId="36" applyNumberFormat="0" applyProtection="0">
      <alignment horizontal="right" vertical="center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2" fillId="28" borderId="36" applyNumberFormat="0" applyProtection="0">
      <alignment horizontal="left" vertical="center" indent="1"/>
    </xf>
    <xf numFmtId="0" fontId="141" fillId="0" borderId="0"/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4" fontId="142" fillId="2" borderId="36" applyNumberFormat="0" applyProtection="0">
      <alignment horizontal="right" vertical="center"/>
    </xf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65" fontId="143" fillId="0" borderId="41"/>
    <xf numFmtId="176" fontId="144" fillId="0" borderId="0"/>
    <xf numFmtId="0" fontId="145" fillId="78" borderId="0"/>
    <xf numFmtId="0" fontId="146" fillId="78" borderId="0"/>
    <xf numFmtId="0" fontId="147" fillId="78" borderId="42"/>
    <xf numFmtId="0" fontId="147" fillId="78" borderId="0"/>
    <xf numFmtId="0" fontId="145" fillId="4" borderId="42">
      <protection locked="0"/>
    </xf>
    <xf numFmtId="0" fontId="145" fillId="78" borderId="0"/>
    <xf numFmtId="0" fontId="148" fillId="79" borderId="0"/>
    <xf numFmtId="0" fontId="148" fillId="43" borderId="0"/>
    <xf numFmtId="0" fontId="148" fillId="6" borderId="0"/>
    <xf numFmtId="236" fontId="2" fillId="0" borderId="0" applyFont="0" applyFill="0" applyBorder="0" applyProtection="0"/>
    <xf numFmtId="223" fontId="2" fillId="0" borderId="0" applyFont="0" applyFill="0" applyBorder="0" applyProtection="0"/>
    <xf numFmtId="38" fontId="4" fillId="80" borderId="0" applyNumberFormat="0" applyFont="0" applyBorder="0" applyProtection="0"/>
    <xf numFmtId="38" fontId="4" fillId="80" borderId="0" applyNumberFormat="0" applyFont="0" applyBorder="0" applyProtection="0"/>
    <xf numFmtId="0" fontId="209" fillId="0" borderId="0"/>
    <xf numFmtId="0" fontId="2" fillId="0" borderId="0"/>
    <xf numFmtId="0" fontId="2" fillId="0" borderId="0"/>
    <xf numFmtId="165" fontId="46" fillId="0" borderId="0"/>
    <xf numFmtId="0" fontId="2" fillId="0" borderId="0"/>
    <xf numFmtId="165" fontId="4" fillId="0" borderId="0"/>
    <xf numFmtId="165" fontId="4" fillId="0" borderId="0"/>
    <xf numFmtId="0" fontId="47" fillId="0" borderId="0"/>
    <xf numFmtId="0" fontId="2" fillId="0" borderId="0"/>
    <xf numFmtId="169" fontId="72" fillId="0" borderId="0" applyNumberFormat="0" applyFill="0" applyBorder="0" applyProtection="0">
      <alignment horizontal="center"/>
    </xf>
    <xf numFmtId="165" fontId="149" fillId="8" borderId="0">
      <alignment wrapText="1"/>
    </xf>
    <xf numFmtId="165" fontId="150" fillId="0" borderId="43"/>
    <xf numFmtId="165" fontId="151" fillId="0" borderId="0" applyNumberFormat="0"/>
    <xf numFmtId="40" fontId="152" fillId="0" borderId="0" applyBorder="0">
      <alignment horizontal="right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0" fontId="153" fillId="1" borderId="21">
      <alignment horizontal="left" vertical="center" wrapText="1"/>
    </xf>
    <xf numFmtId="38" fontId="154" fillId="0" borderId="0" applyFill="0" applyBorder="0" applyProtection="0"/>
    <xf numFmtId="234" fontId="2" fillId="0" borderId="0" applyFill="0" applyBorder="0" applyProtection="0"/>
    <xf numFmtId="38" fontId="155" fillId="0" borderId="31" applyBorder="0">
      <alignment horizontal="right"/>
      <protection locked="0"/>
    </xf>
    <xf numFmtId="165" fontId="75" fillId="80" borderId="0" applyNumberFormat="0" applyProtection="0">
      <alignment horizontal="center"/>
    </xf>
    <xf numFmtId="49" fontId="45" fillId="0" borderId="0" applyFont="0" applyFill="0" applyBorder="0" applyProtection="0"/>
    <xf numFmtId="49" fontId="2" fillId="0" borderId="0" applyFill="0" applyBorder="0"/>
    <xf numFmtId="237" fontId="2" fillId="0" borderId="0" applyFill="0" applyBorder="0"/>
    <xf numFmtId="237" fontId="2" fillId="0" borderId="0" applyFill="0" applyBorder="0"/>
    <xf numFmtId="238" fontId="2" fillId="0" borderId="0" applyFill="0" applyBorder="0"/>
    <xf numFmtId="238" fontId="2" fillId="0" borderId="0" applyFill="0" applyBorder="0"/>
    <xf numFmtId="0" fontId="2" fillId="0" borderId="0">
      <alignment horizontal="right"/>
    </xf>
    <xf numFmtId="239" fontId="3" fillId="0" borderId="0" applyFont="0" applyFill="0" applyBorder="0" applyProtection="0"/>
    <xf numFmtId="240" fontId="3" fillId="0" borderId="0" applyFont="0" applyFill="0" applyBorder="0" applyProtection="0"/>
    <xf numFmtId="0" fontId="2" fillId="0" borderId="0">
      <alignment horizontal="right"/>
    </xf>
    <xf numFmtId="0" fontId="2" fillId="0" borderId="0">
      <alignment horizontal="right"/>
    </xf>
    <xf numFmtId="0" fontId="2" fillId="0" borderId="0">
      <alignment horizontal="right"/>
    </xf>
    <xf numFmtId="18" fontId="82" fillId="0" borderId="0" applyFont="0" applyFill="0" applyBorder="0" applyProtection="0">
      <alignment horizontal="left"/>
    </xf>
    <xf numFmtId="165" fontId="156" fillId="0" borderId="0" applyFill="0" applyBorder="0">
      <alignment horizontal="right"/>
    </xf>
    <xf numFmtId="165" fontId="157" fillId="0" borderId="0" applyNumberFormat="0" applyFill="0" applyBorder="0" applyProtection="0"/>
    <xf numFmtId="0" fontId="158" fillId="0" borderId="0" applyNumberFormat="0" applyFill="0" applyBorder="0" applyProtection="0"/>
    <xf numFmtId="169" fontId="157" fillId="0" borderId="0" applyNumberFormat="0" applyFill="0" applyBorder="0" applyProtection="0"/>
    <xf numFmtId="0" fontId="158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0" fontId="159" fillId="0" borderId="0" applyNumberFormat="0" applyFill="0" applyBorder="0" applyProtection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37" fontId="140" fillId="0" borderId="34" applyNumberFormat="0" applyFont="0" applyFill="0"/>
    <xf numFmtId="165" fontId="2" fillId="0" borderId="44" applyNumberFormat="0" applyFont="0" applyFill="0" applyProtection="0"/>
    <xf numFmtId="165" fontId="2" fillId="0" borderId="44" applyNumberFormat="0" applyFont="0" applyFill="0" applyProtection="0"/>
    <xf numFmtId="0" fontId="160" fillId="0" borderId="45" applyNumberFormat="0" applyFill="0" applyProtection="0"/>
    <xf numFmtId="169" fontId="161" fillId="0" borderId="46" applyNumberFormat="0" applyFill="0" applyProtection="0"/>
    <xf numFmtId="0" fontId="160" fillId="0" borderId="45" applyNumberFormat="0" applyFill="0" applyProtection="0"/>
    <xf numFmtId="169" fontId="161" fillId="0" borderId="46" applyNumberFormat="0" applyFill="0" applyProtection="0"/>
    <xf numFmtId="10" fontId="162" fillId="0" borderId="47" applyNumberFormat="0" applyFont="0" applyFill="0" applyProtection="0"/>
    <xf numFmtId="165" fontId="2" fillId="0" borderId="0"/>
    <xf numFmtId="165" fontId="2" fillId="0" borderId="0"/>
    <xf numFmtId="43" fontId="2" fillId="0" borderId="0" applyFont="0" applyFill="0" applyBorder="0" applyProtection="0"/>
    <xf numFmtId="165" fontId="2" fillId="0" borderId="0">
      <alignment horizontal="center" textRotation="180"/>
    </xf>
    <xf numFmtId="165" fontId="2" fillId="0" borderId="0">
      <alignment horizontal="center" textRotation="180"/>
    </xf>
    <xf numFmtId="241" fontId="2" fillId="0" borderId="0" applyFont="0" applyFill="0" applyBorder="0" applyProtection="0"/>
    <xf numFmtId="242" fontId="2" fillId="0" borderId="0" applyFont="0" applyFill="0" applyBorder="0" applyProtection="0"/>
    <xf numFmtId="241" fontId="2" fillId="0" borderId="0" applyFont="0" applyFill="0" applyBorder="0" applyProtection="0"/>
    <xf numFmtId="242" fontId="2" fillId="0" borderId="0" applyFont="0" applyFill="0" applyBorder="0" applyProtection="0"/>
    <xf numFmtId="243" fontId="2" fillId="0" borderId="0" applyFont="0" applyFill="0" applyBorder="0" applyProtection="0"/>
    <xf numFmtId="244" fontId="2" fillId="0" borderId="0" applyFont="0" applyFill="0" applyBorder="0" applyProtection="0"/>
    <xf numFmtId="165" fontId="25" fillId="0" borderId="0" applyNumberFormat="0" applyFill="0" applyBorder="0" applyProtection="0"/>
    <xf numFmtId="0" fontId="163" fillId="0" borderId="0" applyNumberFormat="0" applyFill="0" applyBorder="0" applyProtection="0"/>
    <xf numFmtId="169" fontId="25" fillId="0" borderId="0" applyNumberFormat="0" applyFill="0" applyBorder="0" applyProtection="0"/>
    <xf numFmtId="0" fontId="163" fillId="0" borderId="0" applyNumberFormat="0" applyFill="0" applyBorder="0" applyProtection="0"/>
    <xf numFmtId="0" fontId="2" fillId="0" borderId="0">
      <alignment horizontal="left" wrapText="1"/>
    </xf>
    <xf numFmtId="245" fontId="112" fillId="0" borderId="0" applyFont="0" applyFill="0" applyBorder="0" applyProtection="0"/>
    <xf numFmtId="246" fontId="112" fillId="0" borderId="0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30" fontId="2" fillId="0" borderId="21" applyFont="0" applyFill="0" applyBorder="0" applyProtection="0"/>
    <xf numFmtId="247" fontId="164" fillId="0" borderId="0" applyFont="0" applyFill="0" applyBorder="0" applyProtection="0">
      <protection locked="0"/>
    </xf>
    <xf numFmtId="0" fontId="56" fillId="57" borderId="0" applyNumberFormat="0" applyBorder="0" applyProtection="0"/>
    <xf numFmtId="0" fontId="56" fillId="58" borderId="0" applyNumberFormat="0" applyBorder="0" applyProtection="0"/>
    <xf numFmtId="0" fontId="56" fillId="61" borderId="0" applyNumberFormat="0" applyBorder="0" applyProtection="0"/>
    <xf numFmtId="0" fontId="56" fillId="62" borderId="0" applyNumberFormat="0" applyBorder="0" applyProtection="0"/>
    <xf numFmtId="0" fontId="56" fillId="63" borderId="0" applyNumberFormat="0" applyBorder="0" applyProtection="0"/>
    <xf numFmtId="0" fontId="56" fillId="65" borderId="0" applyNumberFormat="0" applyBorder="0" applyProtection="0"/>
    <xf numFmtId="0" fontId="116" fillId="37" borderId="14" applyNumberFormat="0" applyProtection="0"/>
    <xf numFmtId="0" fontId="136" fillId="68" borderId="37" applyNumberFormat="0" applyProtection="0"/>
    <xf numFmtId="0" fontId="67" fillId="68" borderId="14" applyNumberFormat="0" applyProtection="0"/>
    <xf numFmtId="0" fontId="34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/>
    <xf numFmtId="0" fontId="34" fillId="0" borderId="0" applyNumberFormat="0" applyFill="0" applyBorder="0" applyProtection="0">
      <alignment vertical="top"/>
      <protection locked="0"/>
    </xf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44" fontId="209" fillId="0" borderId="0" applyFont="0" applyFill="0" applyBorder="0" applyProtection="0"/>
    <xf numFmtId="0" fontId="101" fillId="0" borderId="25" applyNumberFormat="0" applyFill="0" applyProtection="0"/>
    <xf numFmtId="0" fontId="103" fillId="0" borderId="27" applyNumberFormat="0" applyFill="0" applyProtection="0"/>
    <xf numFmtId="0" fontId="165" fillId="0" borderId="0">
      <alignment horizontal="left" vertical="top" wrapText="1"/>
    </xf>
    <xf numFmtId="0" fontId="106" fillId="0" borderId="30" applyNumberFormat="0" applyFill="0" applyProtection="0"/>
    <xf numFmtId="0" fontId="106" fillId="0" borderId="0" applyNumberFormat="0" applyFill="0" applyBorder="0" applyProtection="0"/>
    <xf numFmtId="0" fontId="160" fillId="0" borderId="45" applyNumberFormat="0" applyFill="0" applyProtection="0"/>
    <xf numFmtId="0" fontId="68" fillId="70" borderId="17" applyNumberFormat="0" applyProtection="0"/>
    <xf numFmtId="0" fontId="158" fillId="0" borderId="0" applyNumberFormat="0" applyFill="0" applyBorder="0" applyProtection="0"/>
    <xf numFmtId="0" fontId="159" fillId="0" borderId="0" applyNumberFormat="0" applyFill="0" applyBorder="0" applyProtection="0"/>
    <xf numFmtId="0" fontId="126" fillId="73" borderId="0" applyNumberFormat="0" applyBorder="0" applyProtection="0"/>
    <xf numFmtId="0" fontId="127" fillId="73" borderId="0" applyNumberFormat="0" applyBorder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2" fillId="0" borderId="0"/>
    <xf numFmtId="0" fontId="166" fillId="0" borderId="0">
      <alignment vertical="center"/>
    </xf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133" fillId="0" borderId="0"/>
    <xf numFmtId="0" fontId="22" fillId="0" borderId="0">
      <alignment horizontal="left"/>
    </xf>
    <xf numFmtId="0" fontId="22" fillId="0" borderId="0">
      <alignment horizontal="left"/>
    </xf>
    <xf numFmtId="0" fontId="22" fillId="0" borderId="0">
      <alignment horizontal="left"/>
    </xf>
    <xf numFmtId="0" fontId="22" fillId="0" borderId="0">
      <alignment horizontal="left"/>
    </xf>
    <xf numFmtId="0" fontId="22" fillId="0" borderId="0">
      <alignment horizontal="left"/>
    </xf>
    <xf numFmtId="0" fontId="112" fillId="0" borderId="0"/>
    <xf numFmtId="0" fontId="209" fillId="0" borderId="0"/>
    <xf numFmtId="0" fontId="209" fillId="0" borderId="0"/>
    <xf numFmtId="0" fontId="209" fillId="0" borderId="0"/>
    <xf numFmtId="0" fontId="112" fillId="0" borderId="0"/>
    <xf numFmtId="0" fontId="112" fillId="0" borderId="0"/>
    <xf numFmtId="0" fontId="112" fillId="0" borderId="0"/>
    <xf numFmtId="0" fontId="74" fillId="0" borderId="0"/>
    <xf numFmtId="0" fontId="22" fillId="0" borderId="0">
      <alignment horizontal="left"/>
    </xf>
    <xf numFmtId="0" fontId="133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" fillId="0" borderId="0"/>
    <xf numFmtId="0" fontId="209" fillId="0" borderId="0"/>
    <xf numFmtId="0" fontId="209" fillId="0" borderId="0">
      <alignment vertical="center"/>
    </xf>
    <xf numFmtId="0" fontId="167" fillId="0" borderId="0">
      <alignment horizontal="left"/>
    </xf>
    <xf numFmtId="0" fontId="22" fillId="0" borderId="0">
      <alignment horizontal="left"/>
    </xf>
    <xf numFmtId="0" fontId="2" fillId="0" borderId="0"/>
    <xf numFmtId="0" fontId="167" fillId="0" borderId="0">
      <alignment horizontal="left"/>
    </xf>
    <xf numFmtId="0" fontId="133" fillId="0" borderId="0"/>
    <xf numFmtId="0" fontId="209" fillId="0" borderId="0"/>
    <xf numFmtId="0" fontId="2" fillId="0" borderId="0"/>
    <xf numFmtId="0" fontId="209" fillId="0" borderId="0"/>
    <xf numFmtId="0" fontId="209" fillId="0" borderId="0"/>
    <xf numFmtId="0" fontId="209" fillId="0" borderId="0"/>
    <xf numFmtId="0" fontId="2" fillId="0" borderId="0"/>
    <xf numFmtId="0" fontId="133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43" fillId="0" borderId="0"/>
    <xf numFmtId="0" fontId="209" fillId="0" borderId="0">
      <alignment vertical="center"/>
    </xf>
    <xf numFmtId="0" fontId="209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/>
    <xf numFmtId="0" fontId="209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1" fillId="66" borderId="0" applyNumberFormat="0" applyBorder="0" applyProtection="0"/>
    <xf numFmtId="0" fontId="88" fillId="0" borderId="0" applyNumberFormat="0" applyFill="0" applyBorder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51" fillId="8" borderId="35" applyNumberFormat="0" applyFont="0" applyProtection="0"/>
    <xf numFmtId="0" fontId="209" fillId="8" borderId="35" applyNumberFormat="0" applyFont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209" fillId="0" borderId="0" applyFont="0" applyFill="0" applyBorder="0" applyProtection="0"/>
    <xf numFmtId="9" fontId="74" fillId="0" borderId="0" applyFont="0" applyFill="0" applyBorder="0" applyProtection="0"/>
    <xf numFmtId="9" fontId="133" fillId="0" borderId="0" applyFont="0" applyFill="0" applyBorder="0" applyProtection="0"/>
    <xf numFmtId="9" fontId="43" fillId="0" borderId="0" applyFont="0" applyFill="0" applyBorder="0" applyProtection="0"/>
    <xf numFmtId="9" fontId="209" fillId="0" borderId="0" applyFont="0" applyFill="0" applyBorder="0" applyProtection="0"/>
    <xf numFmtId="0" fontId="124" fillId="0" borderId="33" applyNumberFormat="0" applyFill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163" fillId="0" borderId="0" applyNumberFormat="0" applyFill="0" applyBorder="0" applyProtection="0"/>
    <xf numFmtId="248" fontId="112" fillId="0" borderId="0" applyFont="0" applyFill="0" applyBorder="0" applyProtection="0"/>
    <xf numFmtId="249" fontId="11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7" fontId="209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7" fontId="209" fillId="0" borderId="0" applyFont="0" applyFill="0" applyBorder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189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6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186" fontId="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43" fontId="22" fillId="0" borderId="0" applyFont="0" applyFill="0" applyBorder="0" applyProtection="0"/>
    <xf numFmtId="0" fontId="96" fillId="72" borderId="0" applyNumberFormat="0" applyBorder="0" applyProtection="0"/>
    <xf numFmtId="165" fontId="168" fillId="0" borderId="0" applyFont="0" applyFill="0" applyBorder="0" applyProtection="0"/>
    <xf numFmtId="165" fontId="168" fillId="0" borderId="0" applyFont="0" applyFill="0" applyBorder="0" applyProtection="0"/>
    <xf numFmtId="165" fontId="45" fillId="0" borderId="0">
      <alignment vertical="center"/>
    </xf>
    <xf numFmtId="40" fontId="169" fillId="0" borderId="0" applyFont="0" applyFill="0" applyBorder="0" applyProtection="0"/>
    <xf numFmtId="38" fontId="169" fillId="0" borderId="0" applyFont="0" applyFill="0" applyBorder="0" applyProtection="0"/>
    <xf numFmtId="165" fontId="169" fillId="0" borderId="0" applyFont="0" applyFill="0" applyBorder="0" applyProtection="0"/>
    <xf numFmtId="165" fontId="169" fillId="0" borderId="0" applyFont="0" applyFill="0" applyBorder="0" applyProtection="0"/>
    <xf numFmtId="9" fontId="170" fillId="0" borderId="0" applyFont="0" applyFill="0" applyBorder="0" applyProtection="0"/>
    <xf numFmtId="165" fontId="171" fillId="0" borderId="0"/>
    <xf numFmtId="41" fontId="2" fillId="0" borderId="0" applyFont="0" applyFill="0" applyBorder="0" applyProtection="0">
      <alignment vertical="center"/>
    </xf>
    <xf numFmtId="250" fontId="172" fillId="0" borderId="0" applyFont="0" applyFill="0" applyBorder="0" applyProtection="0"/>
    <xf numFmtId="251" fontId="173" fillId="0" borderId="0" applyFont="0" applyFill="0" applyBorder="0" applyProtection="0"/>
    <xf numFmtId="252" fontId="170" fillId="0" borderId="0" applyFont="0" applyFill="0" applyBorder="0" applyProtection="0"/>
    <xf numFmtId="253" fontId="170" fillId="0" borderId="0" applyFont="0" applyFill="0" applyBorder="0" applyProtection="0"/>
    <xf numFmtId="165" fontId="174" fillId="0" borderId="0"/>
    <xf numFmtId="0" fontId="49" fillId="0" borderId="0">
      <alignment vertical="center"/>
    </xf>
    <xf numFmtId="165" fontId="175" fillId="0" borderId="31">
      <alignment horizontal="center"/>
    </xf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173" fontId="52" fillId="0" borderId="0" applyFont="0" applyFill="0" applyBorder="0" applyProtection="0"/>
    <xf numFmtId="173" fontId="209" fillId="0" borderId="0" applyFont="0" applyFill="0" applyBorder="0" applyProtection="0"/>
    <xf numFmtId="173" fontId="52" fillId="0" borderId="0" applyFont="0" applyFill="0" applyBorder="0" applyProtection="0"/>
    <xf numFmtId="173" fontId="209" fillId="0" borderId="0" applyFont="0" applyFill="0" applyBorder="0" applyProtection="0"/>
    <xf numFmtId="173" fontId="209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169" fontId="74" fillId="0" borderId="0"/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173" fontId="52" fillId="0" borderId="0" applyFont="0" applyFill="0" applyBorder="0" applyProtection="0"/>
    <xf numFmtId="173" fontId="52" fillId="0" borderId="0" applyFont="0" applyFill="0" applyBorder="0" applyProtection="0"/>
    <xf numFmtId="43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43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43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169" fontId="74" fillId="0" borderId="0"/>
    <xf numFmtId="43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43" fontId="74" fillId="0" borderId="0" applyFont="0" applyFill="0" applyBorder="0" applyProtection="0">
      <alignment vertical="center"/>
    </xf>
    <xf numFmtId="43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209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173" fontId="52" fillId="0" borderId="0" applyFont="0" applyFill="0" applyBorder="0" applyProtection="0"/>
    <xf numFmtId="173" fontId="52" fillId="0" borderId="0" applyFont="0" applyFill="0" applyBorder="0" applyProtection="0"/>
    <xf numFmtId="169" fontId="74" fillId="0" borderId="0"/>
    <xf numFmtId="173" fontId="52" fillId="0" borderId="0" applyFont="0" applyFill="0" applyBorder="0" applyProtection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254" fontId="74" fillId="0" borderId="0" applyFont="0" applyFill="0" applyBorder="0" applyProtection="0">
      <alignment vertical="center"/>
    </xf>
    <xf numFmtId="169" fontId="74" fillId="0" borderId="0"/>
    <xf numFmtId="41" fontId="2" fillId="0" borderId="0" applyFont="0" applyFill="0" applyBorder="0" applyProtection="0"/>
    <xf numFmtId="43" fontId="2" fillId="0" borderId="0" applyFont="0" applyFill="0" applyBorder="0" applyProtection="0"/>
    <xf numFmtId="41" fontId="121" fillId="0" borderId="0" applyFont="0" applyFill="0" applyBorder="0" applyProtection="0"/>
    <xf numFmtId="0" fontId="2" fillId="0" borderId="0" applyFont="0" applyFill="0" applyBorder="0" applyProtection="0"/>
    <xf numFmtId="165" fontId="176" fillId="0" borderId="0" applyNumberFormat="0" applyFill="0" applyBorder="0" applyProtection="0">
      <alignment vertical="top"/>
      <protection locked="0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74" fillId="0" borderId="0"/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169" fontId="180" fillId="66" borderId="0" applyNumberFormat="0" applyBorder="0" applyProtection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209" fillId="0" borderId="0">
      <alignment vertical="center"/>
    </xf>
    <xf numFmtId="169" fontId="74" fillId="0" borderId="0"/>
    <xf numFmtId="0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>
      <alignment vertical="center"/>
    </xf>
    <xf numFmtId="0" fontId="74" fillId="0" borderId="0"/>
    <xf numFmtId="0" fontId="209" fillId="0" borderId="0">
      <alignment vertical="center"/>
    </xf>
    <xf numFmtId="169" fontId="74" fillId="0" borderId="0"/>
    <xf numFmtId="0" fontId="209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209" fillId="0" borderId="0">
      <alignment vertical="center"/>
    </xf>
    <xf numFmtId="169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74" fillId="0" borderId="0"/>
    <xf numFmtId="0" fontId="209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181" fillId="0" borderId="0"/>
    <xf numFmtId="0" fontId="74" fillId="0" borderId="0"/>
    <xf numFmtId="0" fontId="181" fillId="0" borderId="0"/>
    <xf numFmtId="0" fontId="181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74" fillId="0" borderId="0"/>
    <xf numFmtId="0" fontId="74" fillId="0" borderId="0"/>
    <xf numFmtId="0" fontId="209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74" fillId="0" borderId="0"/>
    <xf numFmtId="0" fontId="209" fillId="0" borderId="0"/>
    <xf numFmtId="0" fontId="209" fillId="0" borderId="0"/>
    <xf numFmtId="0" fontId="74" fillId="0" borderId="0"/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0" fontId="181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181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181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1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181" fillId="0" borderId="0"/>
    <xf numFmtId="169" fontId="209" fillId="0" borderId="0">
      <alignment vertical="center"/>
    </xf>
    <xf numFmtId="0" fontId="181" fillId="0" borderId="0"/>
    <xf numFmtId="0" fontId="181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209" fillId="0" borderId="0">
      <alignment vertical="center"/>
    </xf>
    <xf numFmtId="0" fontId="74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2" fillId="0" borderId="0"/>
    <xf numFmtId="0" fontId="209" fillId="0" borderId="0"/>
    <xf numFmtId="0" fontId="181" fillId="0" borderId="0"/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209" fillId="0" borderId="0">
      <alignment vertical="center"/>
    </xf>
    <xf numFmtId="169" fontId="5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1" fillId="0" borderId="0"/>
    <xf numFmtId="169" fontId="131" fillId="0" borderId="0"/>
    <xf numFmtId="0" fontId="51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74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74" fillId="0" borderId="0"/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169" fontId="51" fillId="0" borderId="0"/>
    <xf numFmtId="0" fontId="166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" fillId="0" borderId="0">
      <alignment vertical="top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0" fontId="209" fillId="0" borderId="0"/>
    <xf numFmtId="0" fontId="209" fillId="0" borderId="0"/>
    <xf numFmtId="169" fontId="74" fillId="0" borderId="0">
      <alignment vertical="center"/>
    </xf>
    <xf numFmtId="0" fontId="209" fillId="0" borderId="0"/>
    <xf numFmtId="169" fontId="74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74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>
      <alignment vertical="center"/>
    </xf>
    <xf numFmtId="169" fontId="74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69" fontId="20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2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2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169" fontId="52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169" fontId="209" fillId="0" borderId="0">
      <alignment vertical="center"/>
    </xf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169" fontId="209" fillId="0" borderId="0">
      <alignment vertical="center"/>
    </xf>
    <xf numFmtId="0" fontId="209" fillId="0" borderId="0"/>
    <xf numFmtId="0" fontId="20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169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0" fontId="74" fillId="0" borderId="0"/>
    <xf numFmtId="169" fontId="209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169" fontId="74" fillId="0" borderId="0">
      <alignment vertical="center"/>
    </xf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169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9" fontId="74" fillId="0" borderId="0">
      <alignment vertical="center"/>
    </xf>
    <xf numFmtId="0" fontId="74" fillId="0" borderId="0"/>
    <xf numFmtId="169" fontId="74" fillId="0" borderId="0">
      <alignment vertical="center"/>
    </xf>
    <xf numFmtId="0" fontId="74" fillId="0" borderId="0"/>
    <xf numFmtId="0" fontId="74" fillId="0" borderId="0"/>
    <xf numFmtId="165" fontId="2" fillId="0" borderId="0"/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6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59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60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1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53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0" fontId="54" fillId="64" borderId="0" applyNumberFormat="0" applyBorder="0" applyProtection="0">
      <alignment vertical="center"/>
    </xf>
    <xf numFmtId="165" fontId="182" fillId="0" borderId="48" applyNumberFormat="0" applyFill="0" applyBorder="0">
      <alignment horizontal="center" vertical="center"/>
    </xf>
    <xf numFmtId="165" fontId="175" fillId="0" borderId="0"/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43" fontId="2" fillId="0" borderId="0" applyFont="0" applyFill="0" applyBorder="0" applyProtection="0"/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209" fillId="0" borderId="0"/>
    <xf numFmtId="0" fontId="50" fillId="0" borderId="0"/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74" fillId="8" borderId="7" applyNumberFormat="0" applyFont="0" applyProtection="0">
      <alignment vertical="center"/>
    </xf>
    <xf numFmtId="0" fontId="2" fillId="0" borderId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0" fontId="2" fillId="0" borderId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0" fontId="2" fillId="0" borderId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>
      <alignment vertical="center"/>
    </xf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9" fontId="74" fillId="0" borderId="0" applyFont="0" applyFill="0" applyBorder="0" applyProtection="0"/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225" fontId="121" fillId="0" borderId="0" applyFont="0" applyFill="0" applyBorder="0" applyProtection="0"/>
    <xf numFmtId="166" fontId="175" fillId="0" borderId="0" applyFont="0" applyFill="0" applyBorder="0" applyProtection="0"/>
    <xf numFmtId="167" fontId="121" fillId="0" borderId="0" applyFont="0" applyFill="0" applyBorder="0" applyProtection="0"/>
    <xf numFmtId="167" fontId="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55" fontId="74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169" fontId="74" fillId="0" borderId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209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13" fontId="52" fillId="0" borderId="0" applyFont="0" applyFill="0" applyBorder="0" applyProtection="0"/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6" fontId="74" fillId="0" borderId="0" applyFont="0" applyFill="0" applyBorder="0" applyProtection="0">
      <alignment vertical="center"/>
    </xf>
    <xf numFmtId="255" fontId="74" fillId="0" borderId="0" applyFont="0" applyFill="0" applyBorder="0" applyProtection="0"/>
    <xf numFmtId="167" fontId="2" fillId="0" borderId="0" applyFont="0" applyFill="0" applyBorder="0" applyProtection="0"/>
    <xf numFmtId="225" fontId="2" fillId="0" borderId="0" applyFont="0" applyFill="0" applyBorder="0" applyProtection="0"/>
    <xf numFmtId="167" fontId="2" fillId="0" borderId="0" applyFont="0" applyFill="0" applyBorder="0" applyProtection="0"/>
    <xf numFmtId="165" fontId="192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4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4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4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4" fillId="0" borderId="0"/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</cellStyleXfs>
  <cellXfs count="289">
    <xf numFmtId="0" fontId="0" fillId="0" borderId="0" xfId="0"/>
    <xf numFmtId="0" fontId="198" fillId="0" borderId="0" xfId="0" applyFont="1" applyProtection="1">
      <protection locked="0"/>
    </xf>
    <xf numFmtId="0" fontId="198" fillId="0" borderId="0" xfId="0" applyFont="1" applyAlignment="1" applyProtection="1">
      <alignment horizontal="center"/>
      <protection locked="0"/>
    </xf>
    <xf numFmtId="0" fontId="198" fillId="0" borderId="0" xfId="0" applyFont="1" applyAlignment="1" applyProtection="1">
      <alignment horizontal="center" vertical="center"/>
      <protection locked="0"/>
    </xf>
    <xf numFmtId="0" fontId="199" fillId="0" borderId="0" xfId="0" applyFont="1" applyAlignment="1" applyProtection="1">
      <alignment horizontal="right"/>
      <protection locked="0"/>
    </xf>
    <xf numFmtId="14" fontId="200" fillId="0" borderId="0" xfId="0" applyNumberFormat="1" applyFont="1" applyAlignment="1" applyProtection="1">
      <alignment horizontal="center" vertical="center"/>
      <protection locked="0"/>
    </xf>
    <xf numFmtId="2" fontId="199" fillId="81" borderId="0" xfId="0" applyNumberFormat="1" applyFont="1" applyFill="1" applyAlignment="1" applyProtection="1">
      <alignment horizontal="right"/>
      <protection locked="0"/>
    </xf>
    <xf numFmtId="0" fontId="201" fillId="0" borderId="0" xfId="0" applyFont="1" applyAlignment="1" applyProtection="1">
      <alignment horizontal="left" vertical="center"/>
      <protection locked="0"/>
    </xf>
    <xf numFmtId="0" fontId="198" fillId="81" borderId="0" xfId="0" applyFont="1" applyFill="1" applyProtection="1">
      <protection locked="0"/>
    </xf>
    <xf numFmtId="0" fontId="202" fillId="82" borderId="19" xfId="0" applyFont="1" applyFill="1" applyBorder="1" applyAlignment="1">
      <alignment horizontal="center" vertical="center" wrapText="1"/>
    </xf>
    <xf numFmtId="49" fontId="199" fillId="87" borderId="21" xfId="0" applyNumberFormat="1" applyFont="1" applyFill="1" applyBorder="1" applyAlignment="1" applyProtection="1">
      <alignment horizontal="center" vertical="center"/>
      <protection locked="0"/>
    </xf>
    <xf numFmtId="257" fontId="199" fillId="87" borderId="21" xfId="0" applyNumberFormat="1" applyFont="1" applyFill="1" applyBorder="1" applyAlignment="1" applyProtection="1">
      <alignment horizontal="center" vertical="center"/>
      <protection locked="0"/>
    </xf>
    <xf numFmtId="257" fontId="202" fillId="87" borderId="49" xfId="0" applyNumberFormat="1" applyFont="1" applyFill="1" applyBorder="1" applyAlignment="1" applyProtection="1">
      <alignment horizontal="center" vertical="center"/>
      <protection locked="0"/>
    </xf>
    <xf numFmtId="257" fontId="202" fillId="89" borderId="49" xfId="0" applyNumberFormat="1" applyFont="1" applyFill="1" applyBorder="1" applyAlignment="1" applyProtection="1">
      <alignment horizontal="center" vertical="center"/>
      <protection locked="0"/>
    </xf>
    <xf numFmtId="257" fontId="202" fillId="91" borderId="49" xfId="0" applyNumberFormat="1" applyFont="1" applyFill="1" applyBorder="1" applyAlignment="1" applyProtection="1">
      <alignment horizontal="center" vertical="center"/>
      <protection locked="0"/>
    </xf>
    <xf numFmtId="257" fontId="202" fillId="93" borderId="49" xfId="0" applyNumberFormat="1" applyFont="1" applyFill="1" applyBorder="1" applyAlignment="1" applyProtection="1">
      <alignment horizontal="center" vertical="center"/>
      <protection locked="0"/>
    </xf>
    <xf numFmtId="14" fontId="199" fillId="95" borderId="19" xfId="0" applyNumberFormat="1" applyFont="1" applyFill="1" applyBorder="1" applyAlignment="1" applyProtection="1">
      <alignment horizontal="center" vertical="center" wrapText="1"/>
      <protection locked="0"/>
    </xf>
    <xf numFmtId="14" fontId="199" fillId="0" borderId="19" xfId="0" applyNumberFormat="1" applyFont="1" applyBorder="1" applyAlignment="1" applyProtection="1">
      <alignment horizontal="center" vertical="center" wrapText="1"/>
      <protection locked="0"/>
    </xf>
    <xf numFmtId="14" fontId="199" fillId="96" borderId="19" xfId="0" applyNumberFormat="1" applyFont="1" applyFill="1" applyBorder="1" applyAlignment="1" applyProtection="1">
      <alignment horizontal="center" vertical="center" wrapText="1"/>
      <protection locked="0"/>
    </xf>
    <xf numFmtId="14" fontId="199" fillId="62" borderId="19" xfId="0" applyNumberFormat="1" applyFont="1" applyFill="1" applyBorder="1" applyAlignment="1">
      <alignment horizontal="center" vertical="center" wrapText="1"/>
    </xf>
    <xf numFmtId="14" fontId="199" fillId="95" borderId="19" xfId="0" applyNumberFormat="1" applyFont="1" applyFill="1" applyBorder="1" applyAlignment="1">
      <alignment horizontal="center" vertical="center" wrapText="1"/>
    </xf>
    <xf numFmtId="14" fontId="202" fillId="95" borderId="19" xfId="0" applyNumberFormat="1" applyFont="1" applyFill="1" applyBorder="1" applyAlignment="1" applyProtection="1">
      <alignment horizontal="center" vertical="center" wrapText="1"/>
      <protection locked="0"/>
    </xf>
    <xf numFmtId="14" fontId="202" fillId="97" borderId="19" xfId="0" applyNumberFormat="1" applyFont="1" applyFill="1" applyBorder="1" applyAlignment="1" applyProtection="1">
      <alignment horizontal="center" vertical="center" wrapText="1"/>
      <protection locked="0"/>
    </xf>
    <xf numFmtId="14" fontId="202" fillId="0" borderId="19" xfId="0" applyNumberFormat="1" applyFont="1" applyBorder="1" applyAlignment="1" applyProtection="1">
      <alignment horizontal="center" vertical="center" wrapText="1"/>
      <protection locked="0"/>
    </xf>
    <xf numFmtId="14" fontId="202" fillId="96" borderId="19" xfId="0" applyNumberFormat="1" applyFont="1" applyFill="1" applyBorder="1" applyAlignment="1" applyProtection="1">
      <alignment horizontal="center" vertical="center" wrapText="1"/>
      <protection locked="0"/>
    </xf>
    <xf numFmtId="14" fontId="202" fillId="62" borderId="19" xfId="0" applyNumberFormat="1" applyFont="1" applyFill="1" applyBorder="1" applyAlignment="1">
      <alignment horizontal="center" vertical="center" wrapText="1"/>
    </xf>
    <xf numFmtId="14" fontId="202" fillId="95" borderId="19" xfId="0" applyNumberFormat="1" applyFont="1" applyFill="1" applyBorder="1" applyAlignment="1">
      <alignment horizontal="center" vertical="center" wrapText="1"/>
    </xf>
    <xf numFmtId="0" fontId="199" fillId="81" borderId="0" xfId="0" applyFont="1" applyFill="1" applyProtection="1">
      <protection locked="0"/>
    </xf>
    <xf numFmtId="0" fontId="199" fillId="98" borderId="19" xfId="0" applyFont="1" applyFill="1" applyBorder="1" applyAlignment="1" applyProtection="1">
      <alignment horizontal="center" vertical="center"/>
      <protection locked="0"/>
    </xf>
    <xf numFmtId="0" fontId="199" fillId="98" borderId="19" xfId="0" applyFont="1" applyFill="1" applyBorder="1" applyAlignment="1" applyProtection="1">
      <alignment horizontal="center" vertical="center" wrapText="1"/>
      <protection locked="0"/>
    </xf>
    <xf numFmtId="0" fontId="199" fillId="98" borderId="19" xfId="0" applyFont="1" applyFill="1" applyBorder="1" applyAlignment="1" applyProtection="1">
      <alignment horizontal="center"/>
      <protection locked="0"/>
    </xf>
    <xf numFmtId="0" fontId="203" fillId="98" borderId="15" xfId="0" applyFont="1" applyFill="1" applyBorder="1" applyAlignment="1" applyProtection="1">
      <alignment horizontal="center" vertical="center"/>
      <protection locked="0"/>
    </xf>
    <xf numFmtId="0" fontId="198" fillId="99" borderId="19" xfId="0" applyFont="1" applyFill="1" applyBorder="1" applyAlignment="1" applyProtection="1">
      <alignment horizontal="center" vertical="center"/>
      <protection locked="0"/>
    </xf>
    <xf numFmtId="0" fontId="199" fillId="99" borderId="19" xfId="0" applyFont="1" applyFill="1" applyBorder="1" applyAlignment="1" applyProtection="1">
      <alignment horizontal="center" vertical="center"/>
      <protection locked="0"/>
    </xf>
    <xf numFmtId="0" fontId="203" fillId="99" borderId="15" xfId="30496" applyFont="1" applyFill="1" applyBorder="1" applyAlignment="1" applyProtection="1">
      <alignment wrapText="1"/>
      <protection locked="0"/>
    </xf>
    <xf numFmtId="258" fontId="204" fillId="99" borderId="19" xfId="25429" applyNumberFormat="1" applyFont="1" applyFill="1" applyBorder="1" applyAlignment="1" applyProtection="1">
      <alignment horizontal="center" vertical="center"/>
      <protection locked="0"/>
    </xf>
    <xf numFmtId="0" fontId="198" fillId="0" borderId="19" xfId="0" applyFont="1" applyBorder="1" applyAlignment="1" applyProtection="1">
      <alignment horizontal="center"/>
      <protection locked="0"/>
    </xf>
    <xf numFmtId="0" fontId="198" fillId="0" borderId="19" xfId="0" applyFont="1" applyBorder="1" applyProtection="1">
      <protection locked="0"/>
    </xf>
    <xf numFmtId="0" fontId="205" fillId="0" borderId="19" xfId="0" applyFont="1" applyBorder="1" applyAlignment="1">
      <alignment horizontal="center"/>
    </xf>
    <xf numFmtId="0" fontId="205" fillId="81" borderId="19" xfId="0" applyFont="1" applyFill="1" applyBorder="1"/>
    <xf numFmtId="3" fontId="206" fillId="79" borderId="19" xfId="0" applyNumberFormat="1" applyFont="1" applyFill="1" applyBorder="1" applyAlignment="1" applyProtection="1">
      <alignment horizontal="center" vertical="center"/>
      <protection locked="0"/>
    </xf>
    <xf numFmtId="0" fontId="198" fillId="100" borderId="19" xfId="0" applyFont="1" applyFill="1" applyBorder="1" applyAlignment="1" applyProtection="1">
      <alignment horizontal="center" vertical="center"/>
      <protection locked="0"/>
    </xf>
    <xf numFmtId="0" fontId="198" fillId="0" borderId="19" xfId="0" applyFont="1" applyBorder="1" applyAlignment="1" applyProtection="1">
      <alignment horizontal="center" vertical="center"/>
      <protection locked="0"/>
    </xf>
    <xf numFmtId="0" fontId="198" fillId="96" borderId="19" xfId="0" applyFont="1" applyFill="1" applyBorder="1" applyAlignment="1" applyProtection="1">
      <alignment horizontal="center" vertical="center"/>
      <protection locked="0"/>
    </xf>
    <xf numFmtId="3" fontId="207" fillId="96" borderId="19" xfId="25429" applyNumberFormat="1" applyFont="1" applyFill="1" applyBorder="1" applyAlignment="1" applyProtection="1">
      <alignment horizontal="center" vertical="center"/>
      <protection locked="0"/>
    </xf>
    <xf numFmtId="0" fontId="198" fillId="100" borderId="50" xfId="0" applyFont="1" applyFill="1" applyBorder="1" applyAlignment="1" applyProtection="1">
      <alignment horizontal="center" vertical="center"/>
      <protection locked="0"/>
    </xf>
    <xf numFmtId="1" fontId="60" fillId="0" borderId="19" xfId="0" applyNumberFormat="1" applyFont="1" applyBorder="1" applyAlignment="1">
      <alignment horizontal="center" vertical="center"/>
    </xf>
    <xf numFmtId="3" fontId="207" fillId="96" borderId="50" xfId="25429" applyNumberFormat="1" applyFont="1" applyFill="1" applyBorder="1" applyAlignment="1" applyProtection="1">
      <alignment horizontal="center" vertical="center"/>
      <protection locked="0"/>
    </xf>
    <xf numFmtId="0" fontId="198" fillId="101" borderId="18" xfId="0" applyFont="1" applyFill="1" applyBorder="1" applyAlignment="1" applyProtection="1">
      <alignment horizontal="center" vertical="center"/>
      <protection locked="0"/>
    </xf>
    <xf numFmtId="0" fontId="198" fillId="0" borderId="50" xfId="0" applyFont="1" applyBorder="1" applyAlignment="1" applyProtection="1">
      <alignment horizontal="center" vertical="center"/>
      <protection locked="0"/>
    </xf>
    <xf numFmtId="0" fontId="198" fillId="101" borderId="50" xfId="0" applyFont="1" applyFill="1" applyBorder="1" applyAlignment="1" applyProtection="1">
      <alignment horizontal="center" vertical="center"/>
      <protection locked="0"/>
    </xf>
    <xf numFmtId="0" fontId="198" fillId="101" borderId="38" xfId="0" applyFont="1" applyFill="1" applyBorder="1" applyAlignment="1" applyProtection="1">
      <alignment horizontal="center" vertical="center"/>
      <protection locked="0"/>
    </xf>
    <xf numFmtId="0" fontId="198" fillId="102" borderId="51" xfId="0" applyFont="1" applyFill="1" applyBorder="1" applyAlignment="1" applyProtection="1">
      <alignment horizontal="center" vertical="center"/>
      <protection locked="0"/>
    </xf>
    <xf numFmtId="258" fontId="207" fillId="96" borderId="50" xfId="25429" applyNumberFormat="1" applyFont="1" applyFill="1" applyBorder="1" applyAlignment="1" applyProtection="1">
      <alignment horizontal="center" vertical="center"/>
      <protection locked="0"/>
    </xf>
    <xf numFmtId="258" fontId="207" fillId="100" borderId="19" xfId="25429" applyNumberFormat="1" applyFont="1" applyFill="1" applyBorder="1" applyAlignment="1">
      <alignment horizontal="center" vertical="center"/>
    </xf>
    <xf numFmtId="1" fontId="198" fillId="103" borderId="19" xfId="0" applyNumberFormat="1" applyFont="1" applyFill="1" applyBorder="1" applyAlignment="1" applyProtection="1">
      <alignment horizontal="center" vertical="center"/>
      <protection locked="0"/>
    </xf>
    <xf numFmtId="1" fontId="198" fillId="0" borderId="19" xfId="0" applyNumberFormat="1" applyFont="1" applyBorder="1" applyAlignment="1" applyProtection="1">
      <alignment horizontal="center" vertical="center"/>
      <protection locked="0"/>
    </xf>
    <xf numFmtId="0" fontId="198" fillId="101" borderId="19" xfId="0" applyFont="1" applyFill="1" applyBorder="1" applyAlignment="1" applyProtection="1">
      <alignment vertical="center"/>
      <protection locked="0"/>
    </xf>
    <xf numFmtId="1" fontId="0" fillId="0" borderId="0" xfId="0" applyNumberFormat="1"/>
    <xf numFmtId="1" fontId="198" fillId="100" borderId="19" xfId="0" applyNumberFormat="1" applyFont="1" applyFill="1" applyBorder="1" applyAlignment="1" applyProtection="1">
      <alignment horizontal="center" vertical="center"/>
      <protection locked="0"/>
    </xf>
    <xf numFmtId="0" fontId="199" fillId="0" borderId="52" xfId="0" applyFont="1" applyBorder="1" applyAlignment="1" applyProtection="1">
      <alignment horizontal="center" vertical="center" wrapText="1"/>
      <protection locked="0"/>
    </xf>
    <xf numFmtId="0" fontId="198" fillId="104" borderId="19" xfId="0" applyFont="1" applyFill="1" applyBorder="1"/>
    <xf numFmtId="0" fontId="198" fillId="101" borderId="52" xfId="0" applyFont="1" applyFill="1" applyBorder="1" applyAlignment="1" applyProtection="1">
      <alignment horizontal="center" vertical="center"/>
      <protection locked="0"/>
    </xf>
    <xf numFmtId="0" fontId="198" fillId="101" borderId="19" xfId="0" applyFont="1" applyFill="1" applyBorder="1" applyAlignment="1" applyProtection="1">
      <alignment horizontal="center" vertical="center"/>
      <protection locked="0"/>
    </xf>
    <xf numFmtId="0" fontId="198" fillId="101" borderId="49" xfId="0" applyFont="1" applyFill="1" applyBorder="1" applyAlignment="1" applyProtection="1">
      <alignment horizontal="center" vertical="center"/>
      <protection locked="0"/>
    </xf>
    <xf numFmtId="0" fontId="198" fillId="102" borderId="15" xfId="0" applyFont="1" applyFill="1" applyBorder="1" applyAlignment="1" applyProtection="1">
      <alignment horizontal="center" vertical="center"/>
      <protection locked="0"/>
    </xf>
    <xf numFmtId="258" fontId="207" fillId="96" borderId="19" xfId="25429" applyNumberFormat="1" applyFont="1" applyFill="1" applyBorder="1" applyAlignment="1" applyProtection="1">
      <alignment horizontal="center" vertical="center"/>
      <protection locked="0"/>
    </xf>
    <xf numFmtId="3" fontId="201" fillId="105" borderId="19" xfId="0" applyNumberFormat="1" applyFont="1" applyFill="1" applyBorder="1" applyAlignment="1" applyProtection="1">
      <alignment horizontal="center" vertical="center"/>
      <protection locked="0"/>
    </xf>
    <xf numFmtId="3" fontId="201" fillId="81" borderId="53" xfId="0" applyNumberFormat="1" applyFont="1" applyFill="1" applyBorder="1" applyAlignment="1" applyProtection="1">
      <alignment horizontal="center" vertical="center"/>
      <protection locked="0"/>
    </xf>
    <xf numFmtId="3" fontId="201" fillId="81" borderId="19" xfId="0" applyNumberFormat="1" applyFont="1" applyFill="1" applyBorder="1" applyAlignment="1" applyProtection="1">
      <alignment horizontal="center" vertical="center"/>
      <protection locked="0"/>
    </xf>
    <xf numFmtId="3" fontId="133" fillId="81" borderId="19" xfId="0" applyNumberFormat="1" applyFont="1" applyFill="1" applyBorder="1" applyAlignment="1">
      <alignment horizontal="center"/>
    </xf>
    <xf numFmtId="3" fontId="201" fillId="81" borderId="15" xfId="0" applyNumberFormat="1" applyFont="1" applyFill="1" applyBorder="1" applyAlignment="1" applyProtection="1">
      <alignment horizontal="center" vertical="center"/>
      <protection locked="0"/>
    </xf>
    <xf numFmtId="3" fontId="207" fillId="96" borderId="0" xfId="25429" applyNumberFormat="1" applyFont="1" applyFill="1" applyAlignment="1" applyProtection="1">
      <alignment horizontal="center" vertical="center"/>
      <protection locked="0"/>
    </xf>
    <xf numFmtId="0" fontId="198" fillId="0" borderId="18" xfId="0" applyFont="1" applyBorder="1" applyAlignment="1" applyProtection="1">
      <alignment horizontal="center"/>
      <protection locked="0"/>
    </xf>
    <xf numFmtId="0" fontId="198" fillId="100" borderId="18" xfId="0" applyFont="1" applyFill="1" applyBorder="1" applyAlignment="1" applyProtection="1">
      <alignment horizontal="center" vertical="center"/>
      <protection locked="0"/>
    </xf>
    <xf numFmtId="0" fontId="198" fillId="0" borderId="18" xfId="0" applyFont="1" applyBorder="1" applyAlignment="1" applyProtection="1">
      <alignment horizontal="center" vertical="center"/>
      <protection locked="0"/>
    </xf>
    <xf numFmtId="0" fontId="198" fillId="96" borderId="18" xfId="0" applyFont="1" applyFill="1" applyBorder="1" applyAlignment="1" applyProtection="1">
      <alignment horizontal="center" vertical="center"/>
      <protection locked="0"/>
    </xf>
    <xf numFmtId="3" fontId="207" fillId="96" borderId="18" xfId="25429" applyNumberFormat="1" applyFont="1" applyFill="1" applyBorder="1" applyAlignment="1" applyProtection="1">
      <alignment horizontal="center" vertical="center"/>
      <protection locked="0"/>
    </xf>
    <xf numFmtId="1" fontId="60" fillId="0" borderId="18" xfId="0" applyNumberFormat="1" applyFont="1" applyBorder="1" applyAlignment="1">
      <alignment horizontal="center" vertical="center"/>
    </xf>
    <xf numFmtId="0" fontId="198" fillId="101" borderId="54" xfId="0" applyFont="1" applyFill="1" applyBorder="1" applyAlignment="1" applyProtection="1">
      <alignment horizontal="center" vertical="center"/>
      <protection locked="0"/>
    </xf>
    <xf numFmtId="0" fontId="198" fillId="102" borderId="55" xfId="0" applyFont="1" applyFill="1" applyBorder="1" applyAlignment="1" applyProtection="1">
      <alignment horizontal="center" vertical="center"/>
      <protection locked="0"/>
    </xf>
    <xf numFmtId="258" fontId="207" fillId="96" borderId="18" xfId="25429" applyNumberFormat="1" applyFont="1" applyFill="1" applyBorder="1" applyAlignment="1" applyProtection="1">
      <alignment horizontal="center" vertical="center"/>
      <protection locked="0"/>
    </xf>
    <xf numFmtId="1" fontId="198" fillId="100" borderId="18" xfId="0" applyNumberFormat="1" applyFont="1" applyFill="1" applyBorder="1" applyAlignment="1" applyProtection="1">
      <alignment horizontal="center" vertical="center"/>
      <protection locked="0"/>
    </xf>
    <xf numFmtId="0" fontId="198" fillId="81" borderId="19" xfId="0" applyFont="1" applyFill="1" applyBorder="1" applyProtection="1">
      <protection locked="0"/>
    </xf>
    <xf numFmtId="258" fontId="207" fillId="100" borderId="55" xfId="25429" applyNumberFormat="1" applyFont="1" applyFill="1" applyBorder="1" applyAlignment="1">
      <alignment horizontal="center" vertical="center"/>
    </xf>
    <xf numFmtId="3" fontId="201" fillId="106" borderId="0" xfId="0" applyNumberFormat="1" applyFont="1" applyFill="1" applyAlignment="1" applyProtection="1">
      <alignment horizontal="center" vertical="center" wrapText="1"/>
      <protection locked="0"/>
    </xf>
    <xf numFmtId="0" fontId="201" fillId="106" borderId="19" xfId="0" applyFont="1" applyFill="1" applyBorder="1" applyAlignment="1" applyProtection="1">
      <alignment horizontal="left" vertical="center" wrapText="1"/>
      <protection locked="0"/>
    </xf>
    <xf numFmtId="0" fontId="199" fillId="81" borderId="19" xfId="0" applyFont="1" applyFill="1" applyBorder="1" applyAlignment="1" applyProtection="1">
      <alignment horizontal="center"/>
      <protection locked="0"/>
    </xf>
    <xf numFmtId="0" fontId="199" fillId="96" borderId="18" xfId="0" applyFont="1" applyFill="1" applyBorder="1" applyAlignment="1" applyProtection="1">
      <alignment horizontal="center" vertical="center"/>
      <protection locked="0"/>
    </xf>
    <xf numFmtId="0" fontId="199" fillId="101" borderId="18" xfId="0" applyFont="1" applyFill="1" applyBorder="1" applyAlignment="1" applyProtection="1">
      <alignment horizontal="center" vertical="center"/>
      <protection locked="0"/>
    </xf>
    <xf numFmtId="0" fontId="198" fillId="0" borderId="18" xfId="0" applyFont="1" applyBorder="1" applyAlignment="1" applyProtection="1">
      <alignment horizontal="center" vertical="center" wrapText="1"/>
      <protection locked="0"/>
    </xf>
    <xf numFmtId="0" fontId="201" fillId="81" borderId="19" xfId="0" applyFont="1" applyFill="1" applyBorder="1" applyAlignment="1" applyProtection="1">
      <alignment horizontal="left" vertical="center" wrapText="1"/>
      <protection locked="0"/>
    </xf>
    <xf numFmtId="3" fontId="198" fillId="105" borderId="0" xfId="0" applyNumberFormat="1" applyFont="1" applyFill="1" applyAlignment="1" applyProtection="1">
      <alignment horizontal="center"/>
      <protection locked="0"/>
    </xf>
    <xf numFmtId="0" fontId="205" fillId="0" borderId="19" xfId="0" applyFont="1" applyBorder="1"/>
    <xf numFmtId="3" fontId="206" fillId="106" borderId="55" xfId="0" applyNumberFormat="1" applyFont="1" applyFill="1" applyBorder="1" applyAlignment="1" applyProtection="1">
      <alignment horizontal="center" vertical="center"/>
      <protection locked="0"/>
    </xf>
    <xf numFmtId="3" fontId="206" fillId="106" borderId="18" xfId="0" applyNumberFormat="1" applyFont="1" applyFill="1" applyBorder="1" applyAlignment="1" applyProtection="1">
      <alignment horizontal="center" vertical="center"/>
      <protection locked="0"/>
    </xf>
    <xf numFmtId="0" fontId="198" fillId="0" borderId="55" xfId="0" applyFont="1" applyBorder="1" applyAlignment="1" applyProtection="1">
      <alignment horizontal="center"/>
      <protection locked="0"/>
    </xf>
    <xf numFmtId="0" fontId="50" fillId="81" borderId="19" xfId="30397" applyFont="1" applyFill="1" applyBorder="1" applyAlignment="1">
      <alignment horizontal="center"/>
    </xf>
    <xf numFmtId="0" fontId="205" fillId="81" borderId="19" xfId="0" applyFont="1" applyFill="1" applyBorder="1" applyAlignment="1">
      <alignment horizontal="center"/>
    </xf>
    <xf numFmtId="3" fontId="206" fillId="79" borderId="18" xfId="0" applyNumberFormat="1" applyFont="1" applyFill="1" applyBorder="1" applyAlignment="1" applyProtection="1">
      <alignment horizontal="center" vertical="center"/>
      <protection locked="0"/>
    </xf>
    <xf numFmtId="0" fontId="198" fillId="0" borderId="18" xfId="0" applyFont="1" applyBorder="1" applyProtection="1">
      <protection locked="0"/>
    </xf>
    <xf numFmtId="0" fontId="205" fillId="0" borderId="18" xfId="0" applyFont="1" applyBorder="1" applyAlignment="1">
      <alignment horizontal="center"/>
    </xf>
    <xf numFmtId="0" fontId="205" fillId="0" borderId="18" xfId="0" applyFont="1" applyBorder="1"/>
    <xf numFmtId="0" fontId="198" fillId="0" borderId="56" xfId="0" applyFont="1" applyBorder="1" applyProtection="1">
      <protection locked="0"/>
    </xf>
    <xf numFmtId="0" fontId="205" fillId="0" borderId="56" xfId="0" applyFont="1" applyBorder="1" applyAlignment="1">
      <alignment horizontal="center"/>
    </xf>
    <xf numFmtId="0" fontId="205" fillId="0" borderId="56" xfId="0" applyFont="1" applyBorder="1"/>
    <xf numFmtId="3" fontId="206" fillId="106" borderId="56" xfId="0" applyNumberFormat="1" applyFont="1" applyFill="1" applyBorder="1" applyAlignment="1" applyProtection="1">
      <alignment horizontal="center" vertical="center"/>
      <protection locked="0"/>
    </xf>
    <xf numFmtId="1" fontId="198" fillId="103" borderId="18" xfId="0" applyNumberFormat="1" applyFont="1" applyFill="1" applyBorder="1" applyAlignment="1" applyProtection="1">
      <alignment horizontal="center" vertical="center"/>
      <protection locked="0"/>
    </xf>
    <xf numFmtId="1" fontId="198" fillId="0" borderId="18" xfId="0" applyNumberFormat="1" applyFont="1" applyBorder="1" applyAlignment="1" applyProtection="1">
      <alignment horizontal="center" vertical="center"/>
      <protection locked="0"/>
    </xf>
    <xf numFmtId="0" fontId="208" fillId="0" borderId="0" xfId="0" applyFont="1" applyAlignment="1">
      <alignment horizontal="center"/>
    </xf>
    <xf numFmtId="0" fontId="22" fillId="0" borderId="21" xfId="0" applyFont="1" applyBorder="1" applyAlignment="1">
      <alignment vertical="top" wrapText="1"/>
    </xf>
    <xf numFmtId="0" fontId="22" fillId="0" borderId="49" xfId="0" applyFont="1" applyBorder="1" applyAlignment="1">
      <alignment vertical="top" wrapText="1"/>
    </xf>
    <xf numFmtId="0" fontId="205" fillId="0" borderId="56" xfId="0" applyFont="1" applyBorder="1" applyAlignment="1">
      <alignment horizontal="left"/>
    </xf>
    <xf numFmtId="0" fontId="198" fillId="106" borderId="0" xfId="0" applyFont="1" applyFill="1" applyProtection="1">
      <protection locked="0"/>
    </xf>
    <xf numFmtId="0" fontId="199" fillId="106" borderId="52" xfId="0" applyFont="1" applyFill="1" applyBorder="1" applyAlignment="1" applyProtection="1">
      <alignment horizontal="center" vertical="center" wrapText="1"/>
      <protection locked="0"/>
    </xf>
    <xf numFmtId="0" fontId="198" fillId="106" borderId="19" xfId="0" applyFont="1" applyFill="1" applyBorder="1" applyProtection="1">
      <protection locked="0"/>
    </xf>
    <xf numFmtId="0" fontId="205" fillId="106" borderId="19" xfId="0" applyFont="1" applyFill="1" applyBorder="1" applyAlignment="1">
      <alignment horizontal="center"/>
    </xf>
    <xf numFmtId="0" fontId="205" fillId="106" borderId="19" xfId="0" applyFont="1" applyFill="1" applyBorder="1" applyAlignment="1">
      <alignment horizontal="left"/>
    </xf>
    <xf numFmtId="3" fontId="206" fillId="106" borderId="19" xfId="0" applyNumberFormat="1" applyFont="1" applyFill="1" applyBorder="1" applyAlignment="1" applyProtection="1">
      <alignment horizontal="center" vertical="center"/>
      <protection locked="0"/>
    </xf>
    <xf numFmtId="0" fontId="22" fillId="106" borderId="19" xfId="0" applyFont="1" applyFill="1" applyBorder="1" applyAlignment="1">
      <alignment vertical="top" wrapText="1"/>
    </xf>
    <xf numFmtId="0" fontId="199" fillId="106" borderId="19" xfId="0" applyFont="1" applyFill="1" applyBorder="1" applyAlignment="1" applyProtection="1">
      <alignment horizontal="center" vertical="center"/>
      <protection locked="0"/>
    </xf>
    <xf numFmtId="0" fontId="198" fillId="106" borderId="19" xfId="0" applyFont="1" applyFill="1" applyBorder="1" applyAlignment="1" applyProtection="1">
      <alignment horizontal="center" vertical="center"/>
      <protection locked="0"/>
    </xf>
    <xf numFmtId="3" fontId="207" fillId="106" borderId="19" xfId="25429" applyNumberFormat="1" applyFont="1" applyFill="1" applyBorder="1" applyAlignment="1" applyProtection="1">
      <alignment horizontal="center" vertical="center"/>
      <protection locked="0"/>
    </xf>
    <xf numFmtId="258" fontId="207" fillId="106" borderId="19" xfId="25429" applyNumberFormat="1" applyFont="1" applyFill="1" applyBorder="1" applyAlignment="1" applyProtection="1">
      <alignment horizontal="center" vertical="center"/>
      <protection locked="0"/>
    </xf>
    <xf numFmtId="258" fontId="207" fillId="106" borderId="19" xfId="25429" applyNumberFormat="1" applyFont="1" applyFill="1" applyBorder="1" applyAlignment="1">
      <alignment horizontal="center" vertical="center"/>
    </xf>
    <xf numFmtId="1" fontId="198" fillId="106" borderId="19" xfId="0" applyNumberFormat="1" applyFont="1" applyFill="1" applyBorder="1" applyAlignment="1" applyProtection="1">
      <alignment horizontal="center" vertical="center"/>
      <protection locked="0"/>
    </xf>
    <xf numFmtId="0" fontId="205" fillId="106" borderId="18" xfId="0" applyFont="1" applyFill="1" applyBorder="1" applyAlignment="1">
      <alignment horizontal="center"/>
    </xf>
    <xf numFmtId="0" fontId="205" fillId="106" borderId="18" xfId="0" applyFont="1" applyFill="1" applyBorder="1" applyAlignment="1">
      <alignment horizontal="left"/>
    </xf>
    <xf numFmtId="0" fontId="198" fillId="106" borderId="18" xfId="0" applyFont="1" applyFill="1" applyBorder="1" applyAlignment="1" applyProtection="1">
      <alignment horizontal="center" vertical="center"/>
      <protection locked="0"/>
    </xf>
    <xf numFmtId="1" fontId="198" fillId="106" borderId="18" xfId="0" applyNumberFormat="1" applyFont="1" applyFill="1" applyBorder="1" applyAlignment="1" applyProtection="1">
      <alignment horizontal="center" vertical="center"/>
      <protection locked="0"/>
    </xf>
    <xf numFmtId="0" fontId="198" fillId="106" borderId="52" xfId="0" applyFont="1" applyFill="1" applyBorder="1" applyAlignment="1" applyProtection="1">
      <alignment horizontal="center" vertical="center"/>
      <protection locked="0"/>
    </xf>
    <xf numFmtId="0" fontId="198" fillId="106" borderId="15" xfId="0" applyFont="1" applyFill="1" applyBorder="1" applyProtection="1">
      <protection locked="0"/>
    </xf>
    <xf numFmtId="0" fontId="205" fillId="106" borderId="56" xfId="0" applyFont="1" applyFill="1" applyBorder="1" applyAlignment="1">
      <alignment horizontal="center"/>
    </xf>
    <xf numFmtId="0" fontId="205" fillId="106" borderId="56" xfId="0" applyFont="1" applyFill="1" applyBorder="1" applyAlignment="1">
      <alignment horizontal="left"/>
    </xf>
    <xf numFmtId="0" fontId="22" fillId="106" borderId="52" xfId="0" applyFont="1" applyFill="1" applyBorder="1" applyAlignment="1">
      <alignment vertical="top" wrapText="1"/>
    </xf>
    <xf numFmtId="0" fontId="199" fillId="106" borderId="52" xfId="0" applyFont="1" applyFill="1" applyBorder="1" applyAlignment="1" applyProtection="1">
      <alignment horizontal="center" vertical="center"/>
      <protection locked="0"/>
    </xf>
    <xf numFmtId="0" fontId="198" fillId="106" borderId="50" xfId="0" applyFont="1" applyFill="1" applyBorder="1" applyAlignment="1" applyProtection="1">
      <alignment horizontal="center" vertical="center"/>
      <protection locked="0"/>
    </xf>
    <xf numFmtId="3" fontId="207" fillId="106" borderId="52" xfId="25429" applyNumberFormat="1" applyFont="1" applyFill="1" applyBorder="1" applyAlignment="1" applyProtection="1">
      <alignment horizontal="center" vertical="center"/>
      <protection locked="0"/>
    </xf>
    <xf numFmtId="0" fontId="198" fillId="106" borderId="53" xfId="0" applyFont="1" applyFill="1" applyBorder="1" applyAlignment="1" applyProtection="1">
      <alignment horizontal="center" vertical="center"/>
      <protection locked="0"/>
    </xf>
    <xf numFmtId="0" fontId="198" fillId="106" borderId="31" xfId="0" applyFont="1" applyFill="1" applyBorder="1" applyAlignment="1" applyProtection="1">
      <alignment horizontal="center" vertical="center"/>
      <protection locked="0"/>
    </xf>
    <xf numFmtId="258" fontId="207" fillId="106" borderId="52" xfId="25429" applyNumberFormat="1" applyFont="1" applyFill="1" applyBorder="1" applyAlignment="1" applyProtection="1">
      <alignment horizontal="center" vertical="center"/>
      <protection locked="0"/>
    </xf>
    <xf numFmtId="258" fontId="207" fillId="106" borderId="31" xfId="25429" applyNumberFormat="1" applyFont="1" applyFill="1" applyBorder="1" applyAlignment="1">
      <alignment horizontal="center" vertical="center"/>
    </xf>
    <xf numFmtId="258" fontId="207" fillId="106" borderId="50" xfId="25429" applyNumberFormat="1" applyFont="1" applyFill="1" applyBorder="1" applyAlignment="1">
      <alignment horizontal="center" vertical="center"/>
    </xf>
    <xf numFmtId="1" fontId="198" fillId="106" borderId="52" xfId="0" applyNumberFormat="1" applyFont="1" applyFill="1" applyBorder="1" applyAlignment="1" applyProtection="1">
      <alignment horizontal="center" vertical="center"/>
      <protection locked="0"/>
    </xf>
    <xf numFmtId="0" fontId="198" fillId="106" borderId="55" xfId="0" applyFont="1" applyFill="1" applyBorder="1" applyProtection="1">
      <protection locked="0"/>
    </xf>
    <xf numFmtId="0" fontId="198" fillId="106" borderId="56" xfId="0" applyFont="1" applyFill="1" applyBorder="1" applyProtection="1">
      <protection locked="0"/>
    </xf>
    <xf numFmtId="0" fontId="199" fillId="81" borderId="52" xfId="0" applyFont="1" applyFill="1" applyBorder="1" applyAlignment="1" applyProtection="1">
      <alignment horizontal="center" vertical="center"/>
      <protection locked="0"/>
    </xf>
    <xf numFmtId="0" fontId="198" fillId="100" borderId="52" xfId="0" applyFont="1" applyFill="1" applyBorder="1" applyAlignment="1" applyProtection="1">
      <alignment horizontal="center" vertical="center"/>
      <protection locked="0"/>
    </xf>
    <xf numFmtId="0" fontId="199" fillId="101" borderId="52" xfId="0" applyFont="1" applyFill="1" applyBorder="1" applyAlignment="1" applyProtection="1">
      <alignment horizontal="center" vertical="center"/>
      <protection locked="0"/>
    </xf>
    <xf numFmtId="0" fontId="198" fillId="96" borderId="52" xfId="0" applyFont="1" applyFill="1" applyBorder="1" applyAlignment="1" applyProtection="1">
      <alignment horizontal="center" vertical="center"/>
      <protection locked="0"/>
    </xf>
    <xf numFmtId="3" fontId="207" fillId="96" borderId="52" xfId="25429" applyNumberFormat="1" applyFont="1" applyFill="1" applyBorder="1" applyAlignment="1" applyProtection="1">
      <alignment horizontal="center" vertical="center"/>
      <protection locked="0"/>
    </xf>
    <xf numFmtId="0" fontId="198" fillId="0" borderId="52" xfId="0" applyFont="1" applyBorder="1" applyAlignment="1" applyProtection="1">
      <alignment horizontal="center" vertical="center"/>
      <protection locked="0"/>
    </xf>
    <xf numFmtId="0" fontId="198" fillId="102" borderId="31" xfId="0" applyFont="1" applyFill="1" applyBorder="1" applyAlignment="1" applyProtection="1">
      <alignment horizontal="center" vertical="center"/>
      <protection locked="0"/>
    </xf>
    <xf numFmtId="258" fontId="207" fillId="96" borderId="52" xfId="25429" applyNumberFormat="1" applyFont="1" applyFill="1" applyBorder="1" applyAlignment="1" applyProtection="1">
      <alignment horizontal="center" vertical="center"/>
      <protection locked="0"/>
    </xf>
    <xf numFmtId="258" fontId="207" fillId="100" borderId="50" xfId="25429" applyNumberFormat="1" applyFont="1" applyFill="1" applyBorder="1" applyAlignment="1">
      <alignment horizontal="center" vertical="center"/>
    </xf>
    <xf numFmtId="0" fontId="199" fillId="98" borderId="51" xfId="0" applyFont="1" applyFill="1" applyBorder="1" applyAlignment="1" applyProtection="1">
      <alignment horizontal="center"/>
      <protection locked="0"/>
    </xf>
    <xf numFmtId="0" fontId="199" fillId="98" borderId="13" xfId="0" applyFont="1" applyFill="1" applyBorder="1" applyProtection="1">
      <protection locked="0"/>
    </xf>
    <xf numFmtId="0" fontId="203" fillId="98" borderId="13" xfId="0" applyFont="1" applyFill="1" applyBorder="1" applyAlignment="1" applyProtection="1">
      <alignment horizontal="left" vertical="center"/>
      <protection locked="0"/>
    </xf>
    <xf numFmtId="3" fontId="203" fillId="98" borderId="51" xfId="0" applyNumberFormat="1" applyFont="1" applyFill="1" applyBorder="1" applyAlignment="1" applyProtection="1">
      <alignment horizontal="center" vertical="center"/>
      <protection locked="0"/>
    </xf>
    <xf numFmtId="1" fontId="198" fillId="99" borderId="19" xfId="0" applyNumberFormat="1" applyFont="1" applyFill="1" applyBorder="1" applyAlignment="1" applyProtection="1">
      <alignment horizontal="center" vertical="center"/>
      <protection locked="0"/>
    </xf>
    <xf numFmtId="0" fontId="133" fillId="0" borderId="0" xfId="30396" applyFont="1" applyAlignment="1">
      <alignment vertical="center"/>
    </xf>
    <xf numFmtId="1" fontId="198" fillId="0" borderId="0" xfId="0" applyNumberFormat="1" applyFont="1" applyProtection="1">
      <protection locked="0"/>
    </xf>
    <xf numFmtId="8" fontId="51" fillId="0" borderId="57" xfId="0" applyNumberFormat="1" applyFont="1" applyBorder="1" applyAlignment="1">
      <alignment horizontal="right" vertical="center" wrapText="1"/>
    </xf>
    <xf numFmtId="0" fontId="133" fillId="0" borderId="0" xfId="30396" applyFont="1" applyAlignment="1">
      <alignment horizontal="right" vertical="center"/>
    </xf>
    <xf numFmtId="0" fontId="198" fillId="106" borderId="50" xfId="0" applyFont="1" applyFill="1" applyBorder="1" applyProtection="1">
      <protection locked="0"/>
    </xf>
    <xf numFmtId="0" fontId="205" fillId="106" borderId="50" xfId="0" applyFont="1" applyFill="1" applyBorder="1" applyAlignment="1">
      <alignment horizontal="center"/>
    </xf>
    <xf numFmtId="0" fontId="205" fillId="106" borderId="50" xfId="0" applyFont="1" applyFill="1" applyBorder="1" applyAlignment="1">
      <alignment horizontal="left"/>
    </xf>
    <xf numFmtId="3" fontId="206" fillId="106" borderId="50" xfId="0" applyNumberFormat="1" applyFont="1" applyFill="1" applyBorder="1" applyAlignment="1" applyProtection="1">
      <alignment horizontal="center" vertical="center"/>
      <protection locked="0"/>
    </xf>
    <xf numFmtId="0" fontId="22" fillId="106" borderId="50" xfId="0" applyFont="1" applyFill="1" applyBorder="1" applyAlignment="1">
      <alignment vertical="top" wrapText="1"/>
    </xf>
    <xf numFmtId="0" fontId="199" fillId="106" borderId="50" xfId="0" applyFont="1" applyFill="1" applyBorder="1" applyAlignment="1" applyProtection="1">
      <alignment horizontal="center" vertical="center"/>
      <protection locked="0"/>
    </xf>
    <xf numFmtId="3" fontId="207" fillId="106" borderId="50" xfId="25429" applyNumberFormat="1" applyFont="1" applyFill="1" applyBorder="1" applyAlignment="1" applyProtection="1">
      <alignment horizontal="center" vertical="center"/>
      <protection locked="0"/>
    </xf>
    <xf numFmtId="258" fontId="207" fillId="106" borderId="50" xfId="25429" applyNumberFormat="1" applyFont="1" applyFill="1" applyBorder="1" applyAlignment="1" applyProtection="1">
      <alignment horizontal="center" vertical="center"/>
      <protection locked="0"/>
    </xf>
    <xf numFmtId="1" fontId="198" fillId="106" borderId="50" xfId="0" applyNumberFormat="1" applyFont="1" applyFill="1" applyBorder="1" applyAlignment="1" applyProtection="1">
      <alignment horizontal="center" vertical="center"/>
      <protection locked="0"/>
    </xf>
    <xf numFmtId="1" fontId="198" fillId="103" borderId="52" xfId="0" applyNumberFormat="1" applyFont="1" applyFill="1" applyBorder="1" applyAlignment="1" applyProtection="1">
      <alignment horizontal="center" vertical="center"/>
      <protection locked="0"/>
    </xf>
    <xf numFmtId="1" fontId="198" fillId="0" borderId="52" xfId="0" applyNumberFormat="1" applyFont="1" applyBorder="1" applyAlignment="1" applyProtection="1">
      <alignment horizontal="center" vertical="center"/>
      <protection locked="0"/>
    </xf>
    <xf numFmtId="1" fontId="198" fillId="0" borderId="50" xfId="0" applyNumberFormat="1" applyFont="1" applyBorder="1" applyAlignment="1" applyProtection="1">
      <alignment horizontal="center" vertical="center"/>
      <protection locked="0"/>
    </xf>
    <xf numFmtId="0" fontId="199" fillId="0" borderId="58" xfId="0" applyFont="1" applyBorder="1" applyAlignment="1" applyProtection="1">
      <alignment horizontal="center" vertical="center" wrapText="1"/>
      <protection locked="0"/>
    </xf>
    <xf numFmtId="0" fontId="198" fillId="0" borderId="60" xfId="0" applyFont="1" applyBorder="1" applyProtection="1">
      <protection locked="0"/>
    </xf>
    <xf numFmtId="0" fontId="205" fillId="0" borderId="61" xfId="0" applyFont="1" applyBorder="1" applyAlignment="1">
      <alignment horizontal="left"/>
    </xf>
    <xf numFmtId="0" fontId="22" fillId="0" borderId="62" xfId="0" applyFont="1" applyBorder="1" applyAlignment="1">
      <alignment vertical="top" wrapText="1"/>
    </xf>
    <xf numFmtId="0" fontId="22" fillId="0" borderId="63" xfId="0" applyFont="1" applyBorder="1" applyAlignment="1">
      <alignment vertical="top" wrapText="1"/>
    </xf>
    <xf numFmtId="0" fontId="199" fillId="96" borderId="59" xfId="0" applyFont="1" applyFill="1" applyBorder="1" applyAlignment="1" applyProtection="1">
      <alignment horizontal="center" vertical="center"/>
      <protection locked="0"/>
    </xf>
    <xf numFmtId="0" fontId="199" fillId="101" borderId="59" xfId="0" applyFont="1" applyFill="1" applyBorder="1" applyAlignment="1" applyProtection="1">
      <alignment horizontal="center" vertical="center"/>
      <protection locked="0"/>
    </xf>
    <xf numFmtId="0" fontId="198" fillId="100" borderId="59" xfId="0" applyFont="1" applyFill="1" applyBorder="1" applyAlignment="1" applyProtection="1">
      <alignment horizontal="center" vertical="center"/>
      <protection locked="0"/>
    </xf>
    <xf numFmtId="0" fontId="198" fillId="101" borderId="59" xfId="0" applyFont="1" applyFill="1" applyBorder="1" applyAlignment="1" applyProtection="1">
      <alignment horizontal="center" vertical="center"/>
      <protection locked="0"/>
    </xf>
    <xf numFmtId="0" fontId="198" fillId="96" borderId="59" xfId="0" applyFont="1" applyFill="1" applyBorder="1" applyAlignment="1" applyProtection="1">
      <alignment horizontal="center" vertical="center"/>
      <protection locked="0"/>
    </xf>
    <xf numFmtId="0" fontId="198" fillId="0" borderId="59" xfId="0" applyFont="1" applyBorder="1" applyAlignment="1" applyProtection="1">
      <alignment horizontal="center" vertical="center"/>
      <protection locked="0"/>
    </xf>
    <xf numFmtId="3" fontId="207" fillId="96" borderId="59" xfId="25429" applyNumberFormat="1" applyFont="1" applyFill="1" applyBorder="1" applyAlignment="1" applyProtection="1">
      <alignment horizontal="center" vertical="center"/>
      <protection locked="0"/>
    </xf>
    <xf numFmtId="0" fontId="198" fillId="101" borderId="63" xfId="0" applyFont="1" applyFill="1" applyBorder="1" applyAlignment="1" applyProtection="1">
      <alignment horizontal="center" vertical="center"/>
      <protection locked="0"/>
    </xf>
    <xf numFmtId="0" fontId="198" fillId="102" borderId="64" xfId="0" applyFont="1" applyFill="1" applyBorder="1" applyAlignment="1" applyProtection="1">
      <alignment horizontal="center" vertical="center"/>
      <protection locked="0"/>
    </xf>
    <xf numFmtId="258" fontId="207" fillId="96" borderId="59" xfId="25429" applyNumberFormat="1" applyFont="1" applyFill="1" applyBorder="1" applyAlignment="1" applyProtection="1">
      <alignment horizontal="center" vertical="center"/>
      <protection locked="0"/>
    </xf>
    <xf numFmtId="258" fontId="207" fillId="100" borderId="64" xfId="25429" applyNumberFormat="1" applyFont="1" applyFill="1" applyBorder="1" applyAlignment="1">
      <alignment horizontal="center" vertical="center"/>
    </xf>
    <xf numFmtId="258" fontId="207" fillId="100" borderId="59" xfId="25429" applyNumberFormat="1" applyFont="1" applyFill="1" applyBorder="1" applyAlignment="1">
      <alignment horizontal="center" vertical="center"/>
    </xf>
    <xf numFmtId="1" fontId="198" fillId="103" borderId="59" xfId="0" applyNumberFormat="1" applyFont="1" applyFill="1" applyBorder="1" applyAlignment="1" applyProtection="1">
      <alignment horizontal="center" vertical="center"/>
      <protection locked="0"/>
    </xf>
    <xf numFmtId="1" fontId="198" fillId="0" borderId="59" xfId="0" applyNumberFormat="1" applyFont="1" applyBorder="1" applyAlignment="1" applyProtection="1">
      <alignment horizontal="center" vertical="center"/>
      <protection locked="0"/>
    </xf>
    <xf numFmtId="0" fontId="198" fillId="101" borderId="58" xfId="0" applyFont="1" applyFill="1" applyBorder="1" applyAlignment="1" applyProtection="1">
      <alignment horizontal="center" vertical="center"/>
      <protection locked="0"/>
    </xf>
    <xf numFmtId="1" fontId="198" fillId="107" borderId="18" xfId="0" applyNumberFormat="1" applyFont="1" applyFill="1" applyBorder="1" applyAlignment="1" applyProtection="1">
      <alignment horizontal="center" vertical="center"/>
      <protection locked="0"/>
    </xf>
    <xf numFmtId="0" fontId="199" fillId="0" borderId="19" xfId="0" applyFont="1" applyBorder="1" applyAlignment="1" applyProtection="1">
      <alignment horizontal="center" vertical="center"/>
      <protection locked="0"/>
    </xf>
    <xf numFmtId="0" fontId="198" fillId="108" borderId="65" xfId="0" applyFont="1" applyFill="1" applyBorder="1" applyProtection="1">
      <protection locked="0"/>
    </xf>
    <xf numFmtId="0" fontId="205" fillId="108" borderId="66" xfId="0" applyFont="1" applyFill="1" applyBorder="1"/>
    <xf numFmtId="0" fontId="208" fillId="108" borderId="19" xfId="0" applyFont="1" applyFill="1" applyBorder="1" applyAlignment="1">
      <alignment horizontal="center" vertical="center" wrapText="1"/>
    </xf>
    <xf numFmtId="0" fontId="211" fillId="108" borderId="19" xfId="0" applyFont="1" applyFill="1" applyBorder="1" applyAlignment="1">
      <alignment horizontal="center" vertical="center" wrapText="1"/>
    </xf>
    <xf numFmtId="0" fontId="212" fillId="108" borderId="66" xfId="0" applyFont="1" applyFill="1" applyBorder="1"/>
    <xf numFmtId="0" fontId="199" fillId="100" borderId="18" xfId="0" applyFont="1" applyFill="1" applyBorder="1" applyAlignment="1" applyProtection="1">
      <alignment horizontal="center" vertical="center"/>
      <protection locked="0"/>
    </xf>
    <xf numFmtId="3" fontId="204" fillId="96" borderId="18" xfId="25429" applyNumberFormat="1" applyFont="1" applyFill="1" applyBorder="1" applyAlignment="1" applyProtection="1">
      <alignment horizontal="center" vertical="center"/>
      <protection locked="0"/>
    </xf>
    <xf numFmtId="0" fontId="199" fillId="96" borderId="19" xfId="0" applyFont="1" applyFill="1" applyBorder="1" applyAlignment="1" applyProtection="1">
      <alignment horizontal="center" vertical="center"/>
      <protection locked="0"/>
    </xf>
    <xf numFmtId="0" fontId="199" fillId="101" borderId="54" xfId="0" applyFont="1" applyFill="1" applyBorder="1" applyAlignment="1" applyProtection="1">
      <alignment horizontal="center" vertical="center"/>
      <protection locked="0"/>
    </xf>
    <xf numFmtId="0" fontId="199" fillId="0" borderId="18" xfId="0" applyFont="1" applyBorder="1" applyAlignment="1" applyProtection="1">
      <alignment horizontal="center" vertical="center"/>
      <protection locked="0"/>
    </xf>
    <xf numFmtId="0" fontId="199" fillId="102" borderId="55" xfId="0" applyFont="1" applyFill="1" applyBorder="1" applyAlignment="1" applyProtection="1">
      <alignment horizontal="center" vertical="center"/>
      <protection locked="0"/>
    </xf>
    <xf numFmtId="258" fontId="204" fillId="96" borderId="18" xfId="25429" applyNumberFormat="1" applyFont="1" applyFill="1" applyBorder="1" applyAlignment="1" applyProtection="1">
      <alignment horizontal="center" vertical="center"/>
      <protection locked="0"/>
    </xf>
    <xf numFmtId="258" fontId="204" fillId="100" borderId="55" xfId="25429" applyNumberFormat="1" applyFont="1" applyFill="1" applyBorder="1" applyAlignment="1">
      <alignment horizontal="center" vertical="center"/>
    </xf>
    <xf numFmtId="258" fontId="204" fillId="100" borderId="19" xfId="25429" applyNumberFormat="1" applyFont="1" applyFill="1" applyBorder="1" applyAlignment="1">
      <alignment horizontal="center" vertical="center"/>
    </xf>
    <xf numFmtId="1" fontId="199" fillId="103" borderId="18" xfId="0" applyNumberFormat="1" applyFont="1" applyFill="1" applyBorder="1" applyAlignment="1" applyProtection="1">
      <alignment horizontal="center" vertical="center"/>
      <protection locked="0"/>
    </xf>
    <xf numFmtId="1" fontId="199" fillId="0" borderId="18" xfId="0" applyNumberFormat="1" applyFont="1" applyBorder="1" applyAlignment="1" applyProtection="1">
      <alignment horizontal="center" vertical="center"/>
      <protection locked="0"/>
    </xf>
    <xf numFmtId="0" fontId="199" fillId="100" borderId="19" xfId="0" applyFont="1" applyFill="1" applyBorder="1" applyAlignment="1" applyProtection="1">
      <alignment horizontal="center" vertical="center"/>
      <protection locked="0"/>
    </xf>
    <xf numFmtId="1" fontId="199" fillId="0" borderId="19" xfId="0" applyNumberFormat="1" applyFont="1" applyBorder="1" applyAlignment="1" applyProtection="1">
      <alignment horizontal="center" vertical="center"/>
      <protection locked="0"/>
    </xf>
    <xf numFmtId="0" fontId="199" fillId="109" borderId="65" xfId="0" applyFont="1" applyFill="1" applyBorder="1" applyAlignment="1" applyProtection="1">
      <alignment horizontal="center" vertical="center"/>
      <protection locked="0"/>
    </xf>
    <xf numFmtId="0" fontId="205" fillId="110" borderId="66" xfId="0" applyFont="1" applyFill="1" applyBorder="1"/>
    <xf numFmtId="0" fontId="199" fillId="0" borderId="50" xfId="0" applyFont="1" applyBorder="1" applyAlignment="1" applyProtection="1">
      <alignment horizontal="center" vertical="center" wrapText="1"/>
      <protection locked="0"/>
    </xf>
    <xf numFmtId="0" fontId="1" fillId="82" borderId="19" xfId="0" applyFont="1" applyFill="1" applyBorder="1" applyAlignment="1">
      <alignment horizontal="center" vertical="center" wrapText="1"/>
    </xf>
    <xf numFmtId="3" fontId="206" fillId="106" borderId="65" xfId="0" applyNumberFormat="1" applyFont="1" applyFill="1" applyBorder="1" applyAlignment="1" applyProtection="1">
      <alignment horizontal="center" vertical="center"/>
      <protection locked="0"/>
    </xf>
    <xf numFmtId="3" fontId="213" fillId="106" borderId="65" xfId="0" applyNumberFormat="1" applyFont="1" applyFill="1" applyBorder="1" applyAlignment="1" applyProtection="1">
      <alignment horizontal="center" vertical="center"/>
      <protection locked="0"/>
    </xf>
    <xf numFmtId="3" fontId="206" fillId="83" borderId="65" xfId="0" applyNumberFormat="1" applyFont="1" applyFill="1" applyBorder="1" applyAlignment="1" applyProtection="1">
      <alignment horizontal="center" vertical="center"/>
      <protection locked="0"/>
    </xf>
    <xf numFmtId="0" fontId="198" fillId="100" borderId="54" xfId="0" applyFont="1" applyFill="1" applyBorder="1" applyAlignment="1" applyProtection="1">
      <alignment horizontal="center" vertical="center"/>
      <protection locked="0"/>
    </xf>
    <xf numFmtId="0" fontId="199" fillId="100" borderId="54" xfId="0" applyFont="1" applyFill="1" applyBorder="1" applyAlignment="1" applyProtection="1">
      <alignment horizontal="center" vertical="center"/>
      <protection locked="0"/>
    </xf>
    <xf numFmtId="0" fontId="199" fillId="0" borderId="19" xfId="0" applyFont="1" applyBorder="1" applyAlignment="1" applyProtection="1">
      <alignment horizontal="center"/>
      <protection locked="0"/>
    </xf>
    <xf numFmtId="0" fontId="22" fillId="0" borderId="19" xfId="0" applyFont="1" applyBorder="1" applyAlignment="1">
      <alignment vertical="top" wrapText="1"/>
    </xf>
    <xf numFmtId="0" fontId="22" fillId="0" borderId="59" xfId="0" applyFont="1" applyBorder="1" applyAlignment="1">
      <alignment vertical="top" wrapText="1"/>
    </xf>
    <xf numFmtId="0" fontId="205" fillId="0" borderId="67" xfId="0" applyFont="1" applyBorder="1" applyAlignment="1">
      <alignment horizontal="center"/>
    </xf>
    <xf numFmtId="0" fontId="22" fillId="0" borderId="18" xfId="0" applyFont="1" applyBorder="1" applyAlignment="1">
      <alignment vertical="top" wrapText="1"/>
    </xf>
    <xf numFmtId="0" fontId="22" fillId="0" borderId="34" xfId="0" applyFont="1" applyBorder="1" applyAlignment="1">
      <alignment vertical="top" wrapText="1"/>
    </xf>
    <xf numFmtId="0" fontId="22" fillId="0" borderId="54" xfId="0" applyFont="1" applyBorder="1" applyAlignment="1">
      <alignment vertical="top" wrapText="1"/>
    </xf>
    <xf numFmtId="258" fontId="207" fillId="100" borderId="18" xfId="25429" applyNumberFormat="1" applyFont="1" applyFill="1" applyBorder="1" applyAlignment="1">
      <alignment horizontal="center" vertical="center"/>
    </xf>
    <xf numFmtId="0" fontId="214" fillId="0" borderId="0" xfId="0" applyFont="1" applyAlignment="1">
      <alignment horizontal="center"/>
    </xf>
    <xf numFmtId="0" fontId="205" fillId="0" borderId="68" xfId="0" applyFont="1" applyBorder="1" applyAlignment="1">
      <alignment horizontal="left"/>
    </xf>
    <xf numFmtId="0" fontId="205" fillId="0" borderId="69" xfId="0" applyFont="1" applyBorder="1" applyAlignment="1">
      <alignment horizontal="center"/>
    </xf>
    <xf numFmtId="0" fontId="205" fillId="0" borderId="70" xfId="0" applyFont="1" applyBorder="1" applyAlignment="1">
      <alignment horizontal="left"/>
    </xf>
    <xf numFmtId="3" fontId="206" fillId="106" borderId="71" xfId="0" applyNumberFormat="1" applyFont="1" applyFill="1" applyBorder="1" applyAlignment="1" applyProtection="1">
      <alignment horizontal="center" vertical="center"/>
      <protection locked="0"/>
    </xf>
    <xf numFmtId="0" fontId="208" fillId="0" borderId="19" xfId="0" applyFont="1" applyBorder="1" applyAlignment="1">
      <alignment horizontal="center"/>
    </xf>
    <xf numFmtId="0" fontId="205" fillId="107" borderId="19" xfId="0" applyFont="1" applyFill="1" applyBorder="1" applyAlignment="1">
      <alignment horizontal="center"/>
    </xf>
    <xf numFmtId="0" fontId="208" fillId="107" borderId="19" xfId="0" applyFont="1" applyFill="1" applyBorder="1" applyAlignment="1">
      <alignment horizontal="center"/>
    </xf>
    <xf numFmtId="1" fontId="198" fillId="108" borderId="19" xfId="0" applyNumberFormat="1" applyFont="1" applyFill="1" applyBorder="1" applyAlignment="1" applyProtection="1">
      <alignment horizontal="center" vertical="center"/>
      <protection locked="0"/>
    </xf>
    <xf numFmtId="1" fontId="199" fillId="108" borderId="19" xfId="0" applyNumberFormat="1" applyFont="1" applyFill="1" applyBorder="1" applyAlignment="1" applyProtection="1">
      <alignment horizontal="center" vertical="center"/>
      <protection locked="0"/>
    </xf>
    <xf numFmtId="1" fontId="198" fillId="108" borderId="18" xfId="0" applyNumberFormat="1" applyFont="1" applyFill="1" applyBorder="1" applyAlignment="1" applyProtection="1">
      <alignment horizontal="center" vertical="center"/>
      <protection locked="0"/>
    </xf>
    <xf numFmtId="1" fontId="198" fillId="108" borderId="59" xfId="0" applyNumberFormat="1" applyFont="1" applyFill="1" applyBorder="1" applyAlignment="1" applyProtection="1">
      <alignment horizontal="center" vertical="center"/>
      <protection locked="0"/>
    </xf>
    <xf numFmtId="257" fontId="202" fillId="93" borderId="15" xfId="0" applyNumberFormat="1" applyFont="1" applyFill="1" applyBorder="1" applyAlignment="1" applyProtection="1">
      <alignment horizontal="center" vertical="center"/>
      <protection locked="0"/>
    </xf>
    <xf numFmtId="257" fontId="202" fillId="93" borderId="21" xfId="0" applyNumberFormat="1" applyFont="1" applyFill="1" applyBorder="1" applyAlignment="1" applyProtection="1">
      <alignment horizontal="center" vertical="center"/>
      <protection locked="0"/>
    </xf>
    <xf numFmtId="0" fontId="202" fillId="94" borderId="19" xfId="0" applyFont="1" applyFill="1" applyBorder="1" applyAlignment="1" applyProtection="1">
      <alignment horizontal="center"/>
      <protection locked="0"/>
    </xf>
    <xf numFmtId="0" fontId="199" fillId="0" borderId="18" xfId="0" applyFont="1" applyBorder="1" applyAlignment="1" applyProtection="1">
      <alignment horizontal="center" vertical="center" wrapText="1"/>
      <protection locked="0"/>
    </xf>
    <xf numFmtId="0" fontId="199" fillId="0" borderId="52" xfId="0" applyFont="1" applyBorder="1" applyAlignment="1" applyProtection="1">
      <alignment horizontal="center" vertical="center" wrapText="1"/>
      <protection locked="0"/>
    </xf>
    <xf numFmtId="0" fontId="199" fillId="0" borderId="19" xfId="0" applyFont="1" applyBorder="1" applyAlignment="1" applyProtection="1">
      <alignment horizontal="center" vertical="center" wrapText="1"/>
      <protection locked="0"/>
    </xf>
    <xf numFmtId="0" fontId="199" fillId="0" borderId="50" xfId="0" applyFont="1" applyBorder="1" applyAlignment="1" applyProtection="1">
      <alignment horizontal="center" vertical="center" wrapText="1"/>
      <protection locked="0"/>
    </xf>
    <xf numFmtId="0" fontId="198" fillId="101" borderId="18" xfId="0" applyFont="1" applyFill="1" applyBorder="1" applyAlignment="1" applyProtection="1">
      <alignment horizontal="center" vertical="center"/>
      <protection locked="0"/>
    </xf>
    <xf numFmtId="0" fontId="198" fillId="101" borderId="52" xfId="0" applyFont="1" applyFill="1" applyBorder="1" applyAlignment="1" applyProtection="1">
      <alignment horizontal="center" vertical="center"/>
      <protection locked="0"/>
    </xf>
    <xf numFmtId="0" fontId="198" fillId="101" borderId="50" xfId="0" applyFont="1" applyFill="1" applyBorder="1" applyAlignment="1" applyProtection="1">
      <alignment horizontal="center" vertical="center"/>
      <protection locked="0"/>
    </xf>
    <xf numFmtId="257" fontId="202" fillId="91" borderId="15" xfId="0" applyNumberFormat="1" applyFont="1" applyFill="1" applyBorder="1" applyAlignment="1" applyProtection="1">
      <alignment horizontal="center" vertical="center"/>
      <protection locked="0"/>
    </xf>
    <xf numFmtId="257" fontId="202" fillId="91" borderId="21" xfId="0" applyNumberFormat="1" applyFont="1" applyFill="1" applyBorder="1" applyAlignment="1" applyProtection="1">
      <alignment horizontal="center" vertical="center"/>
      <protection locked="0"/>
    </xf>
    <xf numFmtId="0" fontId="202" fillId="92" borderId="19" xfId="0" applyFont="1" applyFill="1" applyBorder="1" applyAlignment="1" applyProtection="1">
      <alignment horizontal="center"/>
      <protection locked="0"/>
    </xf>
    <xf numFmtId="0" fontId="202" fillId="90" borderId="19" xfId="0" applyFont="1" applyFill="1" applyBorder="1" applyAlignment="1" applyProtection="1">
      <alignment horizontal="center"/>
      <protection locked="0"/>
    </xf>
    <xf numFmtId="257" fontId="202" fillId="89" borderId="15" xfId="0" applyNumberFormat="1" applyFont="1" applyFill="1" applyBorder="1" applyAlignment="1" applyProtection="1">
      <alignment horizontal="center" vertical="center"/>
      <protection locked="0"/>
    </xf>
    <xf numFmtId="257" fontId="202" fillId="89" borderId="21" xfId="0" applyNumberFormat="1" applyFont="1" applyFill="1" applyBorder="1" applyAlignment="1" applyProtection="1">
      <alignment horizontal="center" vertical="center"/>
      <protection locked="0"/>
    </xf>
    <xf numFmtId="257" fontId="202" fillId="87" borderId="15" xfId="0" applyNumberFormat="1" applyFont="1" applyFill="1" applyBorder="1" applyAlignment="1" applyProtection="1">
      <alignment horizontal="center" vertical="center"/>
      <protection locked="0"/>
    </xf>
    <xf numFmtId="257" fontId="202" fillId="87" borderId="21" xfId="0" applyNumberFormat="1" applyFont="1" applyFill="1" applyBorder="1" applyAlignment="1" applyProtection="1">
      <alignment horizontal="center" vertical="center"/>
      <protection locked="0"/>
    </xf>
    <xf numFmtId="0" fontId="202" fillId="88" borderId="19" xfId="0" applyFont="1" applyFill="1" applyBorder="1" applyAlignment="1" applyProtection="1">
      <alignment horizontal="center"/>
      <protection locked="0"/>
    </xf>
    <xf numFmtId="49" fontId="199" fillId="87" borderId="15" xfId="0" applyNumberFormat="1" applyFont="1" applyFill="1" applyBorder="1" applyAlignment="1" applyProtection="1">
      <alignment horizontal="center" vertical="center"/>
      <protection locked="0"/>
    </xf>
    <xf numFmtId="49" fontId="199" fillId="87" borderId="21" xfId="0" applyNumberFormat="1" applyFont="1" applyFill="1" applyBorder="1" applyAlignment="1" applyProtection="1">
      <alignment horizontal="center" vertical="center"/>
      <protection locked="0"/>
    </xf>
    <xf numFmtId="257" fontId="199" fillId="87" borderId="15" xfId="0" applyNumberFormat="1" applyFont="1" applyFill="1" applyBorder="1" applyAlignment="1" applyProtection="1">
      <alignment horizontal="center" vertical="center"/>
      <protection locked="0"/>
    </xf>
    <xf numFmtId="257" fontId="199" fillId="87" borderId="21" xfId="0" applyNumberFormat="1" applyFont="1" applyFill="1" applyBorder="1" applyAlignment="1" applyProtection="1">
      <alignment horizontal="center" vertical="center"/>
      <protection locked="0"/>
    </xf>
    <xf numFmtId="0" fontId="199" fillId="88" borderId="19" xfId="0" applyFont="1" applyFill="1" applyBorder="1" applyAlignment="1" applyProtection="1">
      <alignment horizontal="center"/>
      <protection locked="0"/>
    </xf>
    <xf numFmtId="0" fontId="202" fillId="81" borderId="18" xfId="0" applyFont="1" applyFill="1" applyBorder="1" applyAlignment="1">
      <alignment horizontal="center" vertical="center" wrapText="1"/>
    </xf>
    <xf numFmtId="0" fontId="202" fillId="81" borderId="50" xfId="0" applyFont="1" applyFill="1" applyBorder="1" applyAlignment="1">
      <alignment horizontal="center" vertical="center" wrapText="1"/>
    </xf>
    <xf numFmtId="0" fontId="199" fillId="0" borderId="19" xfId="0" applyFont="1" applyBorder="1" applyAlignment="1">
      <alignment horizontal="center" vertical="center" wrapText="1"/>
    </xf>
    <xf numFmtId="0" fontId="199" fillId="0" borderId="15" xfId="0" applyFont="1" applyBorder="1" applyAlignment="1" applyProtection="1">
      <alignment horizontal="center" vertical="center"/>
      <protection locked="0"/>
    </xf>
    <xf numFmtId="0" fontId="199" fillId="81" borderId="19" xfId="0" applyFont="1" applyFill="1" applyBorder="1" applyAlignment="1" applyProtection="1">
      <alignment horizontal="center" vertical="center" wrapText="1"/>
      <protection locked="0"/>
    </xf>
    <xf numFmtId="0" fontId="199" fillId="81" borderId="19" xfId="0" applyFont="1" applyFill="1" applyBorder="1" applyAlignment="1" applyProtection="1">
      <alignment horizontal="center" vertical="center"/>
      <protection locked="0"/>
    </xf>
    <xf numFmtId="0" fontId="199" fillId="0" borderId="19" xfId="0" applyFont="1" applyBorder="1" applyAlignment="1" applyProtection="1">
      <alignment horizontal="center" vertical="center"/>
      <protection locked="0"/>
    </xf>
    <xf numFmtId="0" fontId="199" fillId="83" borderId="19" xfId="0" applyFont="1" applyFill="1" applyBorder="1" applyAlignment="1" applyProtection="1">
      <alignment horizontal="center" vertical="center"/>
      <protection locked="0"/>
    </xf>
    <xf numFmtId="0" fontId="202" fillId="83" borderId="15" xfId="0" applyFont="1" applyFill="1" applyBorder="1" applyAlignment="1" applyProtection="1">
      <alignment horizontal="left" vertical="center"/>
      <protection locked="0"/>
    </xf>
    <xf numFmtId="0" fontId="202" fillId="83" borderId="21" xfId="0" applyFont="1" applyFill="1" applyBorder="1" applyAlignment="1" applyProtection="1">
      <alignment horizontal="left" vertical="center"/>
      <protection locked="0"/>
    </xf>
    <xf numFmtId="0" fontId="202" fillId="83" borderId="49" xfId="0" applyFont="1" applyFill="1" applyBorder="1" applyAlignment="1" applyProtection="1">
      <alignment horizontal="left" vertical="center"/>
      <protection locked="0"/>
    </xf>
    <xf numFmtId="0" fontId="202" fillId="84" borderId="15" xfId="0" applyFont="1" applyFill="1" applyBorder="1" applyAlignment="1" applyProtection="1">
      <alignment horizontal="left" vertical="center"/>
      <protection locked="0"/>
    </xf>
    <xf numFmtId="0" fontId="202" fillId="84" borderId="21" xfId="0" applyFont="1" applyFill="1" applyBorder="1" applyAlignment="1" applyProtection="1">
      <alignment horizontal="left" vertical="center"/>
      <protection locked="0"/>
    </xf>
    <xf numFmtId="0" fontId="202" fillId="84" borderId="49" xfId="0" applyFont="1" applyFill="1" applyBorder="1" applyAlignment="1" applyProtection="1">
      <alignment horizontal="left" vertical="center"/>
      <protection locked="0"/>
    </xf>
    <xf numFmtId="0" fontId="202" fillId="85" borderId="15" xfId="0" applyFont="1" applyFill="1" applyBorder="1" applyAlignment="1" applyProtection="1">
      <alignment horizontal="left" vertical="center"/>
      <protection locked="0"/>
    </xf>
    <xf numFmtId="0" fontId="202" fillId="85" borderId="21" xfId="0" applyFont="1" applyFill="1" applyBorder="1" applyAlignment="1" applyProtection="1">
      <alignment horizontal="left" vertical="center"/>
      <protection locked="0"/>
    </xf>
    <xf numFmtId="0" fontId="202" fillId="85" borderId="49" xfId="0" applyFont="1" applyFill="1" applyBorder="1" applyAlignment="1" applyProtection="1">
      <alignment horizontal="left" vertical="center"/>
      <protection locked="0"/>
    </xf>
    <xf numFmtId="0" fontId="202" fillId="86" borderId="15" xfId="0" applyFont="1" applyFill="1" applyBorder="1" applyAlignment="1" applyProtection="1">
      <alignment horizontal="left" vertical="center"/>
      <protection locked="0"/>
    </xf>
    <xf numFmtId="0" fontId="202" fillId="86" borderId="21" xfId="0" applyFont="1" applyFill="1" applyBorder="1" applyAlignment="1" applyProtection="1">
      <alignment horizontal="left" vertical="center"/>
      <protection locked="0"/>
    </xf>
    <xf numFmtId="0" fontId="202" fillId="86" borderId="49" xfId="0" applyFont="1" applyFill="1" applyBorder="1" applyAlignment="1" applyProtection="1">
      <alignment horizontal="left" vertical="center"/>
      <protection locked="0"/>
    </xf>
  </cellXfs>
  <cellStyles count="51652">
    <cellStyle name=" 1" xfId="1" xr:uid="{00000000-0005-0000-0000-000000000000}"/>
    <cellStyle name=" 1 2" xfId="2" xr:uid="{00000000-0005-0000-0000-000001000000}"/>
    <cellStyle name=" 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 Width=797 Height=554  [Code] Code0=/nyf50 Code1=4500000136 Code2=ME23 Code3=4500002322 Code4=# Code5=MB01 " xfId="1274" xr:uid="{00000000-0005-0000-0000-0000F9040000}"/>
    <cellStyle name="] Width=797 Height=554  [Code] Code0=/nyf50 Code1=4500000136 Code2=ME23 Code3=4500002322 Code4=# Code5=MB01 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 NA " xfId="12142" xr:uid="{00000000-0005-0000-0000-00006D2F0000}"/>
    <cellStyle name="0,0 NA 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 2" xfId="27723" xr:uid="{00000000-0005-0000-0000-00004A6C0000}"/>
    <cellStyle name="Гиперссылка 3" xfId="27724" xr:uid="{00000000-0005-0000-0000-00004B6C0000}"/>
    <cellStyle name="Гиперссылка 4" xfId="27725" xr:uid="{00000000-0005-0000-0000-00004C6C0000}"/>
    <cellStyle name="Денежный 10" xfId="27726" xr:uid="{00000000-0005-0000-0000-00004D6C0000}"/>
    <cellStyle name="Денежный 10 2" xfId="27727" xr:uid="{00000000-0005-0000-0000-00004E6C0000}"/>
    <cellStyle name="Денежный 11" xfId="27728" xr:uid="{00000000-0005-0000-0000-00004F6C0000}"/>
    <cellStyle name="Денежный 12" xfId="27729" xr:uid="{00000000-0005-0000-0000-0000506C0000}"/>
    <cellStyle name="Денежный 13" xfId="27730" xr:uid="{00000000-0005-0000-0000-0000516C0000}"/>
    <cellStyle name="Денежный 14" xfId="27731" xr:uid="{00000000-0005-0000-0000-0000526C0000}"/>
    <cellStyle name="Денежный 2" xfId="27732" xr:uid="{00000000-0005-0000-0000-0000536C0000}"/>
    <cellStyle name="Денежный 2 10" xfId="27733" xr:uid="{00000000-0005-0000-0000-0000546C0000}"/>
    <cellStyle name="Денежный 2 10 2" xfId="27734" xr:uid="{00000000-0005-0000-0000-0000556C0000}"/>
    <cellStyle name="Денежный 2 10 2 2" xfId="27735" xr:uid="{00000000-0005-0000-0000-0000566C0000}"/>
    <cellStyle name="Денежный 2 10 2 2 2" xfId="27736" xr:uid="{00000000-0005-0000-0000-0000576C0000}"/>
    <cellStyle name="Денежный 2 10 2 3" xfId="27737" xr:uid="{00000000-0005-0000-0000-0000586C0000}"/>
    <cellStyle name="Денежный 2 10 3" xfId="27738" xr:uid="{00000000-0005-0000-0000-0000596C0000}"/>
    <cellStyle name="Денежный 2 10 3 2" xfId="27739" xr:uid="{00000000-0005-0000-0000-00005A6C0000}"/>
    <cellStyle name="Денежный 2 10 4" xfId="27740" xr:uid="{00000000-0005-0000-0000-00005B6C0000}"/>
    <cellStyle name="Денежный 2 10 4 2" xfId="27741" xr:uid="{00000000-0005-0000-0000-00005C6C0000}"/>
    <cellStyle name="Денежный 2 10 5" xfId="27742" xr:uid="{00000000-0005-0000-0000-00005D6C0000}"/>
    <cellStyle name="Денежный 2 11" xfId="27743" xr:uid="{00000000-0005-0000-0000-00005E6C0000}"/>
    <cellStyle name="Денежный 2 11 2" xfId="27744" xr:uid="{00000000-0005-0000-0000-00005F6C0000}"/>
    <cellStyle name="Денежный 2 11 2 2" xfId="27745" xr:uid="{00000000-0005-0000-0000-0000606C0000}"/>
    <cellStyle name="Денежный 2 11 2 2 2" xfId="27746" xr:uid="{00000000-0005-0000-0000-0000616C0000}"/>
    <cellStyle name="Денежный 2 11 2 3" xfId="27747" xr:uid="{00000000-0005-0000-0000-0000626C0000}"/>
    <cellStyle name="Денежный 2 11 3" xfId="27748" xr:uid="{00000000-0005-0000-0000-0000636C0000}"/>
    <cellStyle name="Денежный 2 11 3 2" xfId="27749" xr:uid="{00000000-0005-0000-0000-0000646C0000}"/>
    <cellStyle name="Денежный 2 11 4" xfId="27750" xr:uid="{00000000-0005-0000-0000-0000656C0000}"/>
    <cellStyle name="Денежный 2 11 4 2" xfId="27751" xr:uid="{00000000-0005-0000-0000-0000666C0000}"/>
    <cellStyle name="Денежный 2 11 5" xfId="27752" xr:uid="{00000000-0005-0000-0000-0000676C0000}"/>
    <cellStyle name="Денежный 2 12" xfId="27753" xr:uid="{00000000-0005-0000-0000-0000686C0000}"/>
    <cellStyle name="Денежный 2 12 2" xfId="27754" xr:uid="{00000000-0005-0000-0000-0000696C0000}"/>
    <cellStyle name="Денежный 2 12 2 2" xfId="27755" xr:uid="{00000000-0005-0000-0000-00006A6C0000}"/>
    <cellStyle name="Денежный 2 12 2 2 2" xfId="27756" xr:uid="{00000000-0005-0000-0000-00006B6C0000}"/>
    <cellStyle name="Денежный 2 12 2 3" xfId="27757" xr:uid="{00000000-0005-0000-0000-00006C6C0000}"/>
    <cellStyle name="Денежный 2 12 3" xfId="27758" xr:uid="{00000000-0005-0000-0000-00006D6C0000}"/>
    <cellStyle name="Денежный 2 12 3 2" xfId="27759" xr:uid="{00000000-0005-0000-0000-00006E6C0000}"/>
    <cellStyle name="Денежный 2 12 4" xfId="27760" xr:uid="{00000000-0005-0000-0000-00006F6C0000}"/>
    <cellStyle name="Денежный 2 12 4 2" xfId="27761" xr:uid="{00000000-0005-0000-0000-0000706C0000}"/>
    <cellStyle name="Денежный 2 12 5" xfId="27762" xr:uid="{00000000-0005-0000-0000-0000716C0000}"/>
    <cellStyle name="Денежный 2 13" xfId="27763" xr:uid="{00000000-0005-0000-0000-0000726C0000}"/>
    <cellStyle name="Денежный 2 13 2" xfId="27764" xr:uid="{00000000-0005-0000-0000-0000736C0000}"/>
    <cellStyle name="Денежный 2 13 2 2" xfId="27765" xr:uid="{00000000-0005-0000-0000-0000746C0000}"/>
    <cellStyle name="Денежный 2 13 2 2 2" xfId="27766" xr:uid="{00000000-0005-0000-0000-0000756C0000}"/>
    <cellStyle name="Денежный 2 13 2 3" xfId="27767" xr:uid="{00000000-0005-0000-0000-0000766C0000}"/>
    <cellStyle name="Денежный 2 13 3" xfId="27768" xr:uid="{00000000-0005-0000-0000-0000776C0000}"/>
    <cellStyle name="Денежный 2 13 3 2" xfId="27769" xr:uid="{00000000-0005-0000-0000-0000786C0000}"/>
    <cellStyle name="Денежный 2 13 4" xfId="27770" xr:uid="{00000000-0005-0000-0000-0000796C0000}"/>
    <cellStyle name="Денежный 2 13 4 2" xfId="27771" xr:uid="{00000000-0005-0000-0000-00007A6C0000}"/>
    <cellStyle name="Денежный 2 13 5" xfId="27772" xr:uid="{00000000-0005-0000-0000-00007B6C0000}"/>
    <cellStyle name="Денежный 2 14" xfId="27773" xr:uid="{00000000-0005-0000-0000-00007C6C0000}"/>
    <cellStyle name="Денежный 2 14 2" xfId="27774" xr:uid="{00000000-0005-0000-0000-00007D6C0000}"/>
    <cellStyle name="Денежный 2 14 2 2" xfId="27775" xr:uid="{00000000-0005-0000-0000-00007E6C0000}"/>
    <cellStyle name="Денежный 2 14 3" xfId="27776" xr:uid="{00000000-0005-0000-0000-00007F6C0000}"/>
    <cellStyle name="Денежный 2 15" xfId="27777" xr:uid="{00000000-0005-0000-0000-0000806C0000}"/>
    <cellStyle name="Денежный 2 15 2" xfId="27778" xr:uid="{00000000-0005-0000-0000-0000816C0000}"/>
    <cellStyle name="Денежный 2 16" xfId="27779" xr:uid="{00000000-0005-0000-0000-0000826C0000}"/>
    <cellStyle name="Денежный 2 16 2" xfId="27780" xr:uid="{00000000-0005-0000-0000-0000836C0000}"/>
    <cellStyle name="Денежный 2 17" xfId="27781" xr:uid="{00000000-0005-0000-0000-0000846C0000}"/>
    <cellStyle name="Денежный 2 18" xfId="27782" xr:uid="{00000000-0005-0000-0000-0000856C0000}"/>
    <cellStyle name="Денежный 2 2" xfId="27783" xr:uid="{00000000-0005-0000-0000-0000866C0000}"/>
    <cellStyle name="Денежный 2 2 10" xfId="27784" xr:uid="{00000000-0005-0000-0000-0000876C0000}"/>
    <cellStyle name="Денежный 2 2 10 2" xfId="27785" xr:uid="{00000000-0005-0000-0000-0000886C0000}"/>
    <cellStyle name="Денежный 2 2 10 2 2" xfId="27786" xr:uid="{00000000-0005-0000-0000-0000896C0000}"/>
    <cellStyle name="Денежный 2 2 10 2 2 2" xfId="27787" xr:uid="{00000000-0005-0000-0000-00008A6C0000}"/>
    <cellStyle name="Денежный 2 2 10 2 3" xfId="27788" xr:uid="{00000000-0005-0000-0000-00008B6C0000}"/>
    <cellStyle name="Денежный 2 2 10 3" xfId="27789" xr:uid="{00000000-0005-0000-0000-00008C6C0000}"/>
    <cellStyle name="Денежный 2 2 10 3 2" xfId="27790" xr:uid="{00000000-0005-0000-0000-00008D6C0000}"/>
    <cellStyle name="Денежный 2 2 10 4" xfId="27791" xr:uid="{00000000-0005-0000-0000-00008E6C0000}"/>
    <cellStyle name="Денежный 2 2 10 4 2" xfId="27792" xr:uid="{00000000-0005-0000-0000-00008F6C0000}"/>
    <cellStyle name="Денежный 2 2 10 5" xfId="27793" xr:uid="{00000000-0005-0000-0000-0000906C0000}"/>
    <cellStyle name="Денежный 2 2 11" xfId="27794" xr:uid="{00000000-0005-0000-0000-0000916C0000}"/>
    <cellStyle name="Денежный 2 2 11 2" xfId="27795" xr:uid="{00000000-0005-0000-0000-0000926C0000}"/>
    <cellStyle name="Денежный 2 2 11 2 2" xfId="27796" xr:uid="{00000000-0005-0000-0000-0000936C0000}"/>
    <cellStyle name="Денежный 2 2 11 2 2 2" xfId="27797" xr:uid="{00000000-0005-0000-0000-0000946C0000}"/>
    <cellStyle name="Денежный 2 2 11 2 3" xfId="27798" xr:uid="{00000000-0005-0000-0000-0000956C0000}"/>
    <cellStyle name="Денежный 2 2 11 3" xfId="27799" xr:uid="{00000000-0005-0000-0000-0000966C0000}"/>
    <cellStyle name="Денежный 2 2 11 3 2" xfId="27800" xr:uid="{00000000-0005-0000-0000-0000976C0000}"/>
    <cellStyle name="Денежный 2 2 11 4" xfId="27801" xr:uid="{00000000-0005-0000-0000-0000986C0000}"/>
    <cellStyle name="Денежный 2 2 11 4 2" xfId="27802" xr:uid="{00000000-0005-0000-0000-0000996C0000}"/>
    <cellStyle name="Денежный 2 2 11 5" xfId="27803" xr:uid="{00000000-0005-0000-0000-00009A6C0000}"/>
    <cellStyle name="Денежный 2 2 12" xfId="27804" xr:uid="{00000000-0005-0000-0000-00009B6C0000}"/>
    <cellStyle name="Денежный 2 2 12 2" xfId="27805" xr:uid="{00000000-0005-0000-0000-00009C6C0000}"/>
    <cellStyle name="Денежный 2 2 12 2 2" xfId="27806" xr:uid="{00000000-0005-0000-0000-00009D6C0000}"/>
    <cellStyle name="Денежный 2 2 12 2 2 2" xfId="27807" xr:uid="{00000000-0005-0000-0000-00009E6C0000}"/>
    <cellStyle name="Денежный 2 2 12 2 3" xfId="27808" xr:uid="{00000000-0005-0000-0000-00009F6C0000}"/>
    <cellStyle name="Денежный 2 2 12 3" xfId="27809" xr:uid="{00000000-0005-0000-0000-0000A06C0000}"/>
    <cellStyle name="Денежный 2 2 12 3 2" xfId="27810" xr:uid="{00000000-0005-0000-0000-0000A16C0000}"/>
    <cellStyle name="Денежный 2 2 12 4" xfId="27811" xr:uid="{00000000-0005-0000-0000-0000A26C0000}"/>
    <cellStyle name="Денежный 2 2 12 4 2" xfId="27812" xr:uid="{00000000-0005-0000-0000-0000A36C0000}"/>
    <cellStyle name="Денежный 2 2 12 5" xfId="27813" xr:uid="{00000000-0005-0000-0000-0000A46C0000}"/>
    <cellStyle name="Денежный 2 2 13" xfId="27814" xr:uid="{00000000-0005-0000-0000-0000A56C0000}"/>
    <cellStyle name="Денежный 2 2 13 2" xfId="27815" xr:uid="{00000000-0005-0000-0000-0000A66C0000}"/>
    <cellStyle name="Денежный 2 2 13 2 2" xfId="27816" xr:uid="{00000000-0005-0000-0000-0000A76C0000}"/>
    <cellStyle name="Денежный 2 2 13 3" xfId="27817" xr:uid="{00000000-0005-0000-0000-0000A86C0000}"/>
    <cellStyle name="Денежный 2 2 14" xfId="27818" xr:uid="{00000000-0005-0000-0000-0000A96C0000}"/>
    <cellStyle name="Денежный 2 2 14 2" xfId="27819" xr:uid="{00000000-0005-0000-0000-0000AA6C0000}"/>
    <cellStyle name="Денежный 2 2 15" xfId="27820" xr:uid="{00000000-0005-0000-0000-0000AB6C0000}"/>
    <cellStyle name="Денежный 2 2 15 2" xfId="27821" xr:uid="{00000000-0005-0000-0000-0000AC6C0000}"/>
    <cellStyle name="Денежный 2 2 16" xfId="27822" xr:uid="{00000000-0005-0000-0000-0000AD6C0000}"/>
    <cellStyle name="Денежный 2 2 17" xfId="27823" xr:uid="{00000000-0005-0000-0000-0000AE6C0000}"/>
    <cellStyle name="Денежный 2 2 2" xfId="27824" xr:uid="{00000000-0005-0000-0000-0000AF6C0000}"/>
    <cellStyle name="Денежный 2 2 2 10" xfId="27825" xr:uid="{00000000-0005-0000-0000-0000B06C0000}"/>
    <cellStyle name="Денежный 2 2 2 10 2" xfId="27826" xr:uid="{00000000-0005-0000-0000-0000B16C0000}"/>
    <cellStyle name="Денежный 2 2 2 10 2 2" xfId="27827" xr:uid="{00000000-0005-0000-0000-0000B26C0000}"/>
    <cellStyle name="Денежный 2 2 2 10 2 2 2" xfId="27828" xr:uid="{00000000-0005-0000-0000-0000B36C0000}"/>
    <cellStyle name="Денежный 2 2 2 10 2 3" xfId="27829" xr:uid="{00000000-0005-0000-0000-0000B46C0000}"/>
    <cellStyle name="Денежный 2 2 2 10 3" xfId="27830" xr:uid="{00000000-0005-0000-0000-0000B56C0000}"/>
    <cellStyle name="Денежный 2 2 2 10 3 2" xfId="27831" xr:uid="{00000000-0005-0000-0000-0000B66C0000}"/>
    <cellStyle name="Денежный 2 2 2 10 4" xfId="27832" xr:uid="{00000000-0005-0000-0000-0000B76C0000}"/>
    <cellStyle name="Денежный 2 2 2 10 4 2" xfId="27833" xr:uid="{00000000-0005-0000-0000-0000B86C0000}"/>
    <cellStyle name="Денежный 2 2 2 10 5" xfId="27834" xr:uid="{00000000-0005-0000-0000-0000B96C0000}"/>
    <cellStyle name="Денежный 2 2 2 11" xfId="27835" xr:uid="{00000000-0005-0000-0000-0000BA6C0000}"/>
    <cellStyle name="Денежный 2 2 2 11 2" xfId="27836" xr:uid="{00000000-0005-0000-0000-0000BB6C0000}"/>
    <cellStyle name="Денежный 2 2 2 11 2 2" xfId="27837" xr:uid="{00000000-0005-0000-0000-0000BC6C0000}"/>
    <cellStyle name="Денежный 2 2 2 11 3" xfId="27838" xr:uid="{00000000-0005-0000-0000-0000BD6C0000}"/>
    <cellStyle name="Денежный 2 2 2 12" xfId="27839" xr:uid="{00000000-0005-0000-0000-0000BE6C0000}"/>
    <cellStyle name="Денежный 2 2 2 12 2" xfId="27840" xr:uid="{00000000-0005-0000-0000-0000BF6C0000}"/>
    <cellStyle name="Денежный 2 2 2 13" xfId="27841" xr:uid="{00000000-0005-0000-0000-0000C06C0000}"/>
    <cellStyle name="Денежный 2 2 2 13 2" xfId="27842" xr:uid="{00000000-0005-0000-0000-0000C16C0000}"/>
    <cellStyle name="Денежный 2 2 2 14" xfId="27843" xr:uid="{00000000-0005-0000-0000-0000C26C0000}"/>
    <cellStyle name="Денежный 2 2 2 15" xfId="27844" xr:uid="{00000000-0005-0000-0000-0000C36C0000}"/>
    <cellStyle name="Денежный 2 2 2 2" xfId="27845" xr:uid="{00000000-0005-0000-0000-0000C46C0000}"/>
    <cellStyle name="Денежный 2 2 2 2 10" xfId="27846" xr:uid="{00000000-0005-0000-0000-0000C56C0000}"/>
    <cellStyle name="Денежный 2 2 2 2 2" xfId="27847" xr:uid="{00000000-0005-0000-0000-0000C66C0000}"/>
    <cellStyle name="Денежный 2 2 2 2 2 2" xfId="27848" xr:uid="{00000000-0005-0000-0000-0000C76C0000}"/>
    <cellStyle name="Денежный 2 2 2 2 2 2 2" xfId="27849" xr:uid="{00000000-0005-0000-0000-0000C86C0000}"/>
    <cellStyle name="Денежный 2 2 2 2 2 2 2 2" xfId="27850" xr:uid="{00000000-0005-0000-0000-0000C96C0000}"/>
    <cellStyle name="Денежный 2 2 2 2 2 2 3" xfId="27851" xr:uid="{00000000-0005-0000-0000-0000CA6C0000}"/>
    <cellStyle name="Денежный 2 2 2 2 2 3" xfId="27852" xr:uid="{00000000-0005-0000-0000-0000CB6C0000}"/>
    <cellStyle name="Денежный 2 2 2 2 2 3 2" xfId="27853" xr:uid="{00000000-0005-0000-0000-0000CC6C0000}"/>
    <cellStyle name="Денежный 2 2 2 2 2 4" xfId="27854" xr:uid="{00000000-0005-0000-0000-0000CD6C0000}"/>
    <cellStyle name="Денежный 2 2 2 2 2 4 2" xfId="27855" xr:uid="{00000000-0005-0000-0000-0000CE6C0000}"/>
    <cellStyle name="Денежный 2 2 2 2 2 5" xfId="27856" xr:uid="{00000000-0005-0000-0000-0000CF6C0000}"/>
    <cellStyle name="Денежный 2 2 2 2 3" xfId="27857" xr:uid="{00000000-0005-0000-0000-0000D06C0000}"/>
    <cellStyle name="Денежный 2 2 2 2 3 2" xfId="27858" xr:uid="{00000000-0005-0000-0000-0000D16C0000}"/>
    <cellStyle name="Денежный 2 2 2 2 3 2 2" xfId="27859" xr:uid="{00000000-0005-0000-0000-0000D26C0000}"/>
    <cellStyle name="Денежный 2 2 2 2 3 2 2 2" xfId="27860" xr:uid="{00000000-0005-0000-0000-0000D36C0000}"/>
    <cellStyle name="Денежный 2 2 2 2 3 2 3" xfId="27861" xr:uid="{00000000-0005-0000-0000-0000D46C0000}"/>
    <cellStyle name="Денежный 2 2 2 2 3 3" xfId="27862" xr:uid="{00000000-0005-0000-0000-0000D56C0000}"/>
    <cellStyle name="Денежный 2 2 2 2 3 3 2" xfId="27863" xr:uid="{00000000-0005-0000-0000-0000D66C0000}"/>
    <cellStyle name="Денежный 2 2 2 2 3 4" xfId="27864" xr:uid="{00000000-0005-0000-0000-0000D76C0000}"/>
    <cellStyle name="Денежный 2 2 2 2 3 4 2" xfId="27865" xr:uid="{00000000-0005-0000-0000-0000D86C0000}"/>
    <cellStyle name="Денежный 2 2 2 2 3 5" xfId="27866" xr:uid="{00000000-0005-0000-0000-0000D96C0000}"/>
    <cellStyle name="Денежный 2 2 2 2 4" xfId="27867" xr:uid="{00000000-0005-0000-0000-0000DA6C0000}"/>
    <cellStyle name="Денежный 2 2 2 2 4 2" xfId="27868" xr:uid="{00000000-0005-0000-0000-0000DB6C0000}"/>
    <cellStyle name="Денежный 2 2 2 2 4 2 2" xfId="27869" xr:uid="{00000000-0005-0000-0000-0000DC6C0000}"/>
    <cellStyle name="Денежный 2 2 2 2 4 2 2 2" xfId="27870" xr:uid="{00000000-0005-0000-0000-0000DD6C0000}"/>
    <cellStyle name="Денежный 2 2 2 2 4 2 3" xfId="27871" xr:uid="{00000000-0005-0000-0000-0000DE6C0000}"/>
    <cellStyle name="Денежный 2 2 2 2 4 3" xfId="27872" xr:uid="{00000000-0005-0000-0000-0000DF6C0000}"/>
    <cellStyle name="Денежный 2 2 2 2 4 3 2" xfId="27873" xr:uid="{00000000-0005-0000-0000-0000E06C0000}"/>
    <cellStyle name="Денежный 2 2 2 2 4 4" xfId="27874" xr:uid="{00000000-0005-0000-0000-0000E16C0000}"/>
    <cellStyle name="Денежный 2 2 2 2 4 4 2" xfId="27875" xr:uid="{00000000-0005-0000-0000-0000E26C0000}"/>
    <cellStyle name="Денежный 2 2 2 2 4 5" xfId="27876" xr:uid="{00000000-0005-0000-0000-0000E36C0000}"/>
    <cellStyle name="Денежный 2 2 2 2 5" xfId="27877" xr:uid="{00000000-0005-0000-0000-0000E46C0000}"/>
    <cellStyle name="Денежный 2 2 2 2 5 2" xfId="27878" xr:uid="{00000000-0005-0000-0000-0000E56C0000}"/>
    <cellStyle name="Денежный 2 2 2 2 5 2 2" xfId="27879" xr:uid="{00000000-0005-0000-0000-0000E66C0000}"/>
    <cellStyle name="Денежный 2 2 2 2 5 2 2 2" xfId="27880" xr:uid="{00000000-0005-0000-0000-0000E76C0000}"/>
    <cellStyle name="Денежный 2 2 2 2 5 2 3" xfId="27881" xr:uid="{00000000-0005-0000-0000-0000E86C0000}"/>
    <cellStyle name="Денежный 2 2 2 2 5 3" xfId="27882" xr:uid="{00000000-0005-0000-0000-0000E96C0000}"/>
    <cellStyle name="Денежный 2 2 2 2 5 3 2" xfId="27883" xr:uid="{00000000-0005-0000-0000-0000EA6C0000}"/>
    <cellStyle name="Денежный 2 2 2 2 5 4" xfId="27884" xr:uid="{00000000-0005-0000-0000-0000EB6C0000}"/>
    <cellStyle name="Денежный 2 2 2 2 5 4 2" xfId="27885" xr:uid="{00000000-0005-0000-0000-0000EC6C0000}"/>
    <cellStyle name="Денежный 2 2 2 2 5 5" xfId="27886" xr:uid="{00000000-0005-0000-0000-0000ED6C0000}"/>
    <cellStyle name="Денежный 2 2 2 2 6" xfId="27887" xr:uid="{00000000-0005-0000-0000-0000EE6C0000}"/>
    <cellStyle name="Денежный 2 2 2 2 6 2" xfId="27888" xr:uid="{00000000-0005-0000-0000-0000EF6C0000}"/>
    <cellStyle name="Денежный 2 2 2 2 6 2 2" xfId="27889" xr:uid="{00000000-0005-0000-0000-0000F06C0000}"/>
    <cellStyle name="Денежный 2 2 2 2 6 3" xfId="27890" xr:uid="{00000000-0005-0000-0000-0000F16C0000}"/>
    <cellStyle name="Денежный 2 2 2 2 7" xfId="27891" xr:uid="{00000000-0005-0000-0000-0000F26C0000}"/>
    <cellStyle name="Денежный 2 2 2 2 7 2" xfId="27892" xr:uid="{00000000-0005-0000-0000-0000F36C0000}"/>
    <cellStyle name="Денежный 2 2 2 2 8" xfId="27893" xr:uid="{00000000-0005-0000-0000-0000F46C0000}"/>
    <cellStyle name="Денежный 2 2 2 2 8 2" xfId="27894" xr:uid="{00000000-0005-0000-0000-0000F56C0000}"/>
    <cellStyle name="Денежный 2 2 2 2 9" xfId="27895" xr:uid="{00000000-0005-0000-0000-0000F66C0000}"/>
    <cellStyle name="Денежный 2 2 2 3" xfId="27896" xr:uid="{00000000-0005-0000-0000-0000F76C0000}"/>
    <cellStyle name="Денежный 2 2 2 3 10" xfId="27897" xr:uid="{00000000-0005-0000-0000-0000F86C0000}"/>
    <cellStyle name="Денежный 2 2 2 3 2" xfId="27898" xr:uid="{00000000-0005-0000-0000-0000F96C0000}"/>
    <cellStyle name="Денежный 2 2 2 3 2 2" xfId="27899" xr:uid="{00000000-0005-0000-0000-0000FA6C0000}"/>
    <cellStyle name="Денежный 2 2 2 3 2 2 2" xfId="27900" xr:uid="{00000000-0005-0000-0000-0000FB6C0000}"/>
    <cellStyle name="Денежный 2 2 2 3 2 2 2 2" xfId="27901" xr:uid="{00000000-0005-0000-0000-0000FC6C0000}"/>
    <cellStyle name="Денежный 2 2 2 3 2 2 3" xfId="27902" xr:uid="{00000000-0005-0000-0000-0000FD6C0000}"/>
    <cellStyle name="Денежный 2 2 2 3 2 3" xfId="27903" xr:uid="{00000000-0005-0000-0000-0000FE6C0000}"/>
    <cellStyle name="Денежный 2 2 2 3 2 3 2" xfId="27904" xr:uid="{00000000-0005-0000-0000-0000FF6C0000}"/>
    <cellStyle name="Денежный 2 2 2 3 2 4" xfId="27905" xr:uid="{00000000-0005-0000-0000-0000006D0000}"/>
    <cellStyle name="Денежный 2 2 2 3 2 4 2" xfId="27906" xr:uid="{00000000-0005-0000-0000-0000016D0000}"/>
    <cellStyle name="Денежный 2 2 2 3 2 5" xfId="27907" xr:uid="{00000000-0005-0000-0000-0000026D0000}"/>
    <cellStyle name="Денежный 2 2 2 3 3" xfId="27908" xr:uid="{00000000-0005-0000-0000-0000036D0000}"/>
    <cellStyle name="Денежный 2 2 2 3 3 2" xfId="27909" xr:uid="{00000000-0005-0000-0000-0000046D0000}"/>
    <cellStyle name="Денежный 2 2 2 3 3 2 2" xfId="27910" xr:uid="{00000000-0005-0000-0000-0000056D0000}"/>
    <cellStyle name="Денежный 2 2 2 3 3 2 2 2" xfId="27911" xr:uid="{00000000-0005-0000-0000-0000066D0000}"/>
    <cellStyle name="Денежный 2 2 2 3 3 2 3" xfId="27912" xr:uid="{00000000-0005-0000-0000-0000076D0000}"/>
    <cellStyle name="Денежный 2 2 2 3 3 3" xfId="27913" xr:uid="{00000000-0005-0000-0000-0000086D0000}"/>
    <cellStyle name="Денежный 2 2 2 3 3 3 2" xfId="27914" xr:uid="{00000000-0005-0000-0000-0000096D0000}"/>
    <cellStyle name="Денежный 2 2 2 3 3 4" xfId="27915" xr:uid="{00000000-0005-0000-0000-00000A6D0000}"/>
    <cellStyle name="Денежный 2 2 2 3 3 4 2" xfId="27916" xr:uid="{00000000-0005-0000-0000-00000B6D0000}"/>
    <cellStyle name="Денежный 2 2 2 3 3 5" xfId="27917" xr:uid="{00000000-0005-0000-0000-00000C6D0000}"/>
    <cellStyle name="Денежный 2 2 2 3 4" xfId="27918" xr:uid="{00000000-0005-0000-0000-00000D6D0000}"/>
    <cellStyle name="Денежный 2 2 2 3 4 2" xfId="27919" xr:uid="{00000000-0005-0000-0000-00000E6D0000}"/>
    <cellStyle name="Денежный 2 2 2 3 4 2 2" xfId="27920" xr:uid="{00000000-0005-0000-0000-00000F6D0000}"/>
    <cellStyle name="Денежный 2 2 2 3 4 2 2 2" xfId="27921" xr:uid="{00000000-0005-0000-0000-0000106D0000}"/>
    <cellStyle name="Денежный 2 2 2 3 4 2 3" xfId="27922" xr:uid="{00000000-0005-0000-0000-0000116D0000}"/>
    <cellStyle name="Денежный 2 2 2 3 4 3" xfId="27923" xr:uid="{00000000-0005-0000-0000-0000126D0000}"/>
    <cellStyle name="Денежный 2 2 2 3 4 3 2" xfId="27924" xr:uid="{00000000-0005-0000-0000-0000136D0000}"/>
    <cellStyle name="Денежный 2 2 2 3 4 4" xfId="27925" xr:uid="{00000000-0005-0000-0000-0000146D0000}"/>
    <cellStyle name="Денежный 2 2 2 3 4 4 2" xfId="27926" xr:uid="{00000000-0005-0000-0000-0000156D0000}"/>
    <cellStyle name="Денежный 2 2 2 3 4 5" xfId="27927" xr:uid="{00000000-0005-0000-0000-0000166D0000}"/>
    <cellStyle name="Денежный 2 2 2 3 5" xfId="27928" xr:uid="{00000000-0005-0000-0000-0000176D0000}"/>
    <cellStyle name="Денежный 2 2 2 3 5 2" xfId="27929" xr:uid="{00000000-0005-0000-0000-0000186D0000}"/>
    <cellStyle name="Денежный 2 2 2 3 5 2 2" xfId="27930" xr:uid="{00000000-0005-0000-0000-0000196D0000}"/>
    <cellStyle name="Денежный 2 2 2 3 5 2 2 2" xfId="27931" xr:uid="{00000000-0005-0000-0000-00001A6D0000}"/>
    <cellStyle name="Денежный 2 2 2 3 5 2 3" xfId="27932" xr:uid="{00000000-0005-0000-0000-00001B6D0000}"/>
    <cellStyle name="Денежный 2 2 2 3 5 3" xfId="27933" xr:uid="{00000000-0005-0000-0000-00001C6D0000}"/>
    <cellStyle name="Денежный 2 2 2 3 5 3 2" xfId="27934" xr:uid="{00000000-0005-0000-0000-00001D6D0000}"/>
    <cellStyle name="Денежный 2 2 2 3 5 4" xfId="27935" xr:uid="{00000000-0005-0000-0000-00001E6D0000}"/>
    <cellStyle name="Денежный 2 2 2 3 5 4 2" xfId="27936" xr:uid="{00000000-0005-0000-0000-00001F6D0000}"/>
    <cellStyle name="Денежный 2 2 2 3 5 5" xfId="27937" xr:uid="{00000000-0005-0000-0000-0000206D0000}"/>
    <cellStyle name="Денежный 2 2 2 3 6" xfId="27938" xr:uid="{00000000-0005-0000-0000-0000216D0000}"/>
    <cellStyle name="Денежный 2 2 2 3 6 2" xfId="27939" xr:uid="{00000000-0005-0000-0000-0000226D0000}"/>
    <cellStyle name="Денежный 2 2 2 3 6 2 2" xfId="27940" xr:uid="{00000000-0005-0000-0000-0000236D0000}"/>
    <cellStyle name="Денежный 2 2 2 3 6 3" xfId="27941" xr:uid="{00000000-0005-0000-0000-0000246D0000}"/>
    <cellStyle name="Денежный 2 2 2 3 7" xfId="27942" xr:uid="{00000000-0005-0000-0000-0000256D0000}"/>
    <cellStyle name="Денежный 2 2 2 3 7 2" xfId="27943" xr:uid="{00000000-0005-0000-0000-0000266D0000}"/>
    <cellStyle name="Денежный 2 2 2 3 8" xfId="27944" xr:uid="{00000000-0005-0000-0000-0000276D0000}"/>
    <cellStyle name="Денежный 2 2 2 3 8 2" xfId="27945" xr:uid="{00000000-0005-0000-0000-0000286D0000}"/>
    <cellStyle name="Денежный 2 2 2 3 9" xfId="27946" xr:uid="{00000000-0005-0000-0000-0000296D0000}"/>
    <cellStyle name="Денежный 2 2 2 4" xfId="27947" xr:uid="{00000000-0005-0000-0000-00002A6D0000}"/>
    <cellStyle name="Денежный 2 2 2 4 10" xfId="27948" xr:uid="{00000000-0005-0000-0000-00002B6D0000}"/>
    <cellStyle name="Денежный 2 2 2 4 2" xfId="27949" xr:uid="{00000000-0005-0000-0000-00002C6D0000}"/>
    <cellStyle name="Денежный 2 2 2 4 2 2" xfId="27950" xr:uid="{00000000-0005-0000-0000-00002D6D0000}"/>
    <cellStyle name="Денежный 2 2 2 4 2 2 2" xfId="27951" xr:uid="{00000000-0005-0000-0000-00002E6D0000}"/>
    <cellStyle name="Денежный 2 2 2 4 2 2 2 2" xfId="27952" xr:uid="{00000000-0005-0000-0000-00002F6D0000}"/>
    <cellStyle name="Денежный 2 2 2 4 2 2 3" xfId="27953" xr:uid="{00000000-0005-0000-0000-0000306D0000}"/>
    <cellStyle name="Денежный 2 2 2 4 2 3" xfId="27954" xr:uid="{00000000-0005-0000-0000-0000316D0000}"/>
    <cellStyle name="Денежный 2 2 2 4 2 3 2" xfId="27955" xr:uid="{00000000-0005-0000-0000-0000326D0000}"/>
    <cellStyle name="Денежный 2 2 2 4 2 4" xfId="27956" xr:uid="{00000000-0005-0000-0000-0000336D0000}"/>
    <cellStyle name="Денежный 2 2 2 4 2 4 2" xfId="27957" xr:uid="{00000000-0005-0000-0000-0000346D0000}"/>
    <cellStyle name="Денежный 2 2 2 4 2 5" xfId="27958" xr:uid="{00000000-0005-0000-0000-0000356D0000}"/>
    <cellStyle name="Денежный 2 2 2 4 3" xfId="27959" xr:uid="{00000000-0005-0000-0000-0000366D0000}"/>
    <cellStyle name="Денежный 2 2 2 4 3 2" xfId="27960" xr:uid="{00000000-0005-0000-0000-0000376D0000}"/>
    <cellStyle name="Денежный 2 2 2 4 3 2 2" xfId="27961" xr:uid="{00000000-0005-0000-0000-0000386D0000}"/>
    <cellStyle name="Денежный 2 2 2 4 3 2 2 2" xfId="27962" xr:uid="{00000000-0005-0000-0000-0000396D0000}"/>
    <cellStyle name="Денежный 2 2 2 4 3 2 3" xfId="27963" xr:uid="{00000000-0005-0000-0000-00003A6D0000}"/>
    <cellStyle name="Денежный 2 2 2 4 3 3" xfId="27964" xr:uid="{00000000-0005-0000-0000-00003B6D0000}"/>
    <cellStyle name="Денежный 2 2 2 4 3 3 2" xfId="27965" xr:uid="{00000000-0005-0000-0000-00003C6D0000}"/>
    <cellStyle name="Денежный 2 2 2 4 3 4" xfId="27966" xr:uid="{00000000-0005-0000-0000-00003D6D0000}"/>
    <cellStyle name="Денежный 2 2 2 4 3 4 2" xfId="27967" xr:uid="{00000000-0005-0000-0000-00003E6D0000}"/>
    <cellStyle name="Денежный 2 2 2 4 3 5" xfId="27968" xr:uid="{00000000-0005-0000-0000-00003F6D0000}"/>
    <cellStyle name="Денежный 2 2 2 4 4" xfId="27969" xr:uid="{00000000-0005-0000-0000-0000406D0000}"/>
    <cellStyle name="Денежный 2 2 2 4 4 2" xfId="27970" xr:uid="{00000000-0005-0000-0000-0000416D0000}"/>
    <cellStyle name="Денежный 2 2 2 4 4 2 2" xfId="27971" xr:uid="{00000000-0005-0000-0000-0000426D0000}"/>
    <cellStyle name="Денежный 2 2 2 4 4 2 2 2" xfId="27972" xr:uid="{00000000-0005-0000-0000-0000436D0000}"/>
    <cellStyle name="Денежный 2 2 2 4 4 2 3" xfId="27973" xr:uid="{00000000-0005-0000-0000-0000446D0000}"/>
    <cellStyle name="Денежный 2 2 2 4 4 3" xfId="27974" xr:uid="{00000000-0005-0000-0000-0000456D0000}"/>
    <cellStyle name="Денежный 2 2 2 4 4 3 2" xfId="27975" xr:uid="{00000000-0005-0000-0000-0000466D0000}"/>
    <cellStyle name="Денежный 2 2 2 4 4 4" xfId="27976" xr:uid="{00000000-0005-0000-0000-0000476D0000}"/>
    <cellStyle name="Денежный 2 2 2 4 4 4 2" xfId="27977" xr:uid="{00000000-0005-0000-0000-0000486D0000}"/>
    <cellStyle name="Денежный 2 2 2 4 4 5" xfId="27978" xr:uid="{00000000-0005-0000-0000-0000496D0000}"/>
    <cellStyle name="Денежный 2 2 2 4 5" xfId="27979" xr:uid="{00000000-0005-0000-0000-00004A6D0000}"/>
    <cellStyle name="Денежный 2 2 2 4 5 2" xfId="27980" xr:uid="{00000000-0005-0000-0000-00004B6D0000}"/>
    <cellStyle name="Денежный 2 2 2 4 5 2 2" xfId="27981" xr:uid="{00000000-0005-0000-0000-00004C6D0000}"/>
    <cellStyle name="Денежный 2 2 2 4 5 2 2 2" xfId="27982" xr:uid="{00000000-0005-0000-0000-00004D6D0000}"/>
    <cellStyle name="Денежный 2 2 2 4 5 2 3" xfId="27983" xr:uid="{00000000-0005-0000-0000-00004E6D0000}"/>
    <cellStyle name="Денежный 2 2 2 4 5 3" xfId="27984" xr:uid="{00000000-0005-0000-0000-00004F6D0000}"/>
    <cellStyle name="Денежный 2 2 2 4 5 3 2" xfId="27985" xr:uid="{00000000-0005-0000-0000-0000506D0000}"/>
    <cellStyle name="Денежный 2 2 2 4 5 4" xfId="27986" xr:uid="{00000000-0005-0000-0000-0000516D0000}"/>
    <cellStyle name="Денежный 2 2 2 4 5 4 2" xfId="27987" xr:uid="{00000000-0005-0000-0000-0000526D0000}"/>
    <cellStyle name="Денежный 2 2 2 4 5 5" xfId="27988" xr:uid="{00000000-0005-0000-0000-0000536D0000}"/>
    <cellStyle name="Денежный 2 2 2 4 6" xfId="27989" xr:uid="{00000000-0005-0000-0000-0000546D0000}"/>
    <cellStyle name="Денежный 2 2 2 4 6 2" xfId="27990" xr:uid="{00000000-0005-0000-0000-0000556D0000}"/>
    <cellStyle name="Денежный 2 2 2 4 6 2 2" xfId="27991" xr:uid="{00000000-0005-0000-0000-0000566D0000}"/>
    <cellStyle name="Денежный 2 2 2 4 6 3" xfId="27992" xr:uid="{00000000-0005-0000-0000-0000576D0000}"/>
    <cellStyle name="Денежный 2 2 2 4 7" xfId="27993" xr:uid="{00000000-0005-0000-0000-0000586D0000}"/>
    <cellStyle name="Денежный 2 2 2 4 7 2" xfId="27994" xr:uid="{00000000-0005-0000-0000-0000596D0000}"/>
    <cellStyle name="Денежный 2 2 2 4 8" xfId="27995" xr:uid="{00000000-0005-0000-0000-00005A6D0000}"/>
    <cellStyle name="Денежный 2 2 2 4 8 2" xfId="27996" xr:uid="{00000000-0005-0000-0000-00005B6D0000}"/>
    <cellStyle name="Денежный 2 2 2 4 9" xfId="27997" xr:uid="{00000000-0005-0000-0000-00005C6D0000}"/>
    <cellStyle name="Денежный 2 2 2 5" xfId="27998" xr:uid="{00000000-0005-0000-0000-00005D6D0000}"/>
    <cellStyle name="Денежный 2 2 2 5 10" xfId="27999" xr:uid="{00000000-0005-0000-0000-00005E6D0000}"/>
    <cellStyle name="Денежный 2 2 2 5 2" xfId="28000" xr:uid="{00000000-0005-0000-0000-00005F6D0000}"/>
    <cellStyle name="Денежный 2 2 2 5 2 2" xfId="28001" xr:uid="{00000000-0005-0000-0000-0000606D0000}"/>
    <cellStyle name="Денежный 2 2 2 5 2 2 2" xfId="28002" xr:uid="{00000000-0005-0000-0000-0000616D0000}"/>
    <cellStyle name="Денежный 2 2 2 5 2 2 2 2" xfId="28003" xr:uid="{00000000-0005-0000-0000-0000626D0000}"/>
    <cellStyle name="Денежный 2 2 2 5 2 2 3" xfId="28004" xr:uid="{00000000-0005-0000-0000-0000636D0000}"/>
    <cellStyle name="Денежный 2 2 2 5 2 3" xfId="28005" xr:uid="{00000000-0005-0000-0000-0000646D0000}"/>
    <cellStyle name="Денежный 2 2 2 5 2 3 2" xfId="28006" xr:uid="{00000000-0005-0000-0000-0000656D0000}"/>
    <cellStyle name="Денежный 2 2 2 5 2 4" xfId="28007" xr:uid="{00000000-0005-0000-0000-0000666D0000}"/>
    <cellStyle name="Денежный 2 2 2 5 2 4 2" xfId="28008" xr:uid="{00000000-0005-0000-0000-0000676D0000}"/>
    <cellStyle name="Денежный 2 2 2 5 2 5" xfId="28009" xr:uid="{00000000-0005-0000-0000-0000686D0000}"/>
    <cellStyle name="Денежный 2 2 2 5 3" xfId="28010" xr:uid="{00000000-0005-0000-0000-0000696D0000}"/>
    <cellStyle name="Денежный 2 2 2 5 3 2" xfId="28011" xr:uid="{00000000-0005-0000-0000-00006A6D0000}"/>
    <cellStyle name="Денежный 2 2 2 5 3 2 2" xfId="28012" xr:uid="{00000000-0005-0000-0000-00006B6D0000}"/>
    <cellStyle name="Денежный 2 2 2 5 3 2 2 2" xfId="28013" xr:uid="{00000000-0005-0000-0000-00006C6D0000}"/>
    <cellStyle name="Денежный 2 2 2 5 3 2 3" xfId="28014" xr:uid="{00000000-0005-0000-0000-00006D6D0000}"/>
    <cellStyle name="Денежный 2 2 2 5 3 3" xfId="28015" xr:uid="{00000000-0005-0000-0000-00006E6D0000}"/>
    <cellStyle name="Денежный 2 2 2 5 3 3 2" xfId="28016" xr:uid="{00000000-0005-0000-0000-00006F6D0000}"/>
    <cellStyle name="Денежный 2 2 2 5 3 4" xfId="28017" xr:uid="{00000000-0005-0000-0000-0000706D0000}"/>
    <cellStyle name="Денежный 2 2 2 5 3 4 2" xfId="28018" xr:uid="{00000000-0005-0000-0000-0000716D0000}"/>
    <cellStyle name="Денежный 2 2 2 5 3 5" xfId="28019" xr:uid="{00000000-0005-0000-0000-0000726D0000}"/>
    <cellStyle name="Денежный 2 2 2 5 4" xfId="28020" xr:uid="{00000000-0005-0000-0000-0000736D0000}"/>
    <cellStyle name="Денежный 2 2 2 5 4 2" xfId="28021" xr:uid="{00000000-0005-0000-0000-0000746D0000}"/>
    <cellStyle name="Денежный 2 2 2 5 4 2 2" xfId="28022" xr:uid="{00000000-0005-0000-0000-0000756D0000}"/>
    <cellStyle name="Денежный 2 2 2 5 4 2 2 2" xfId="28023" xr:uid="{00000000-0005-0000-0000-0000766D0000}"/>
    <cellStyle name="Денежный 2 2 2 5 4 2 3" xfId="28024" xr:uid="{00000000-0005-0000-0000-0000776D0000}"/>
    <cellStyle name="Денежный 2 2 2 5 4 3" xfId="28025" xr:uid="{00000000-0005-0000-0000-0000786D0000}"/>
    <cellStyle name="Денежный 2 2 2 5 4 3 2" xfId="28026" xr:uid="{00000000-0005-0000-0000-0000796D0000}"/>
    <cellStyle name="Денежный 2 2 2 5 4 4" xfId="28027" xr:uid="{00000000-0005-0000-0000-00007A6D0000}"/>
    <cellStyle name="Денежный 2 2 2 5 4 4 2" xfId="28028" xr:uid="{00000000-0005-0000-0000-00007B6D0000}"/>
    <cellStyle name="Денежный 2 2 2 5 4 5" xfId="28029" xr:uid="{00000000-0005-0000-0000-00007C6D0000}"/>
    <cellStyle name="Денежный 2 2 2 5 5" xfId="28030" xr:uid="{00000000-0005-0000-0000-00007D6D0000}"/>
    <cellStyle name="Денежный 2 2 2 5 5 2" xfId="28031" xr:uid="{00000000-0005-0000-0000-00007E6D0000}"/>
    <cellStyle name="Денежный 2 2 2 5 5 2 2" xfId="28032" xr:uid="{00000000-0005-0000-0000-00007F6D0000}"/>
    <cellStyle name="Денежный 2 2 2 5 5 2 2 2" xfId="28033" xr:uid="{00000000-0005-0000-0000-0000806D0000}"/>
    <cellStyle name="Денежный 2 2 2 5 5 2 3" xfId="28034" xr:uid="{00000000-0005-0000-0000-0000816D0000}"/>
    <cellStyle name="Денежный 2 2 2 5 5 3" xfId="28035" xr:uid="{00000000-0005-0000-0000-0000826D0000}"/>
    <cellStyle name="Денежный 2 2 2 5 5 3 2" xfId="28036" xr:uid="{00000000-0005-0000-0000-0000836D0000}"/>
    <cellStyle name="Денежный 2 2 2 5 5 4" xfId="28037" xr:uid="{00000000-0005-0000-0000-0000846D0000}"/>
    <cellStyle name="Денежный 2 2 2 5 5 4 2" xfId="28038" xr:uid="{00000000-0005-0000-0000-0000856D0000}"/>
    <cellStyle name="Денежный 2 2 2 5 5 5" xfId="28039" xr:uid="{00000000-0005-0000-0000-0000866D0000}"/>
    <cellStyle name="Денежный 2 2 2 5 6" xfId="28040" xr:uid="{00000000-0005-0000-0000-0000876D0000}"/>
    <cellStyle name="Денежный 2 2 2 5 6 2" xfId="28041" xr:uid="{00000000-0005-0000-0000-0000886D0000}"/>
    <cellStyle name="Денежный 2 2 2 5 6 2 2" xfId="28042" xr:uid="{00000000-0005-0000-0000-0000896D0000}"/>
    <cellStyle name="Денежный 2 2 2 5 6 3" xfId="28043" xr:uid="{00000000-0005-0000-0000-00008A6D0000}"/>
    <cellStyle name="Денежный 2 2 2 5 7" xfId="28044" xr:uid="{00000000-0005-0000-0000-00008B6D0000}"/>
    <cellStyle name="Денежный 2 2 2 5 7 2" xfId="28045" xr:uid="{00000000-0005-0000-0000-00008C6D0000}"/>
    <cellStyle name="Денежный 2 2 2 5 8" xfId="28046" xr:uid="{00000000-0005-0000-0000-00008D6D0000}"/>
    <cellStyle name="Денежный 2 2 2 5 8 2" xfId="28047" xr:uid="{00000000-0005-0000-0000-00008E6D0000}"/>
    <cellStyle name="Денежный 2 2 2 5 9" xfId="28048" xr:uid="{00000000-0005-0000-0000-00008F6D0000}"/>
    <cellStyle name="Денежный 2 2 2 6" xfId="28049" xr:uid="{00000000-0005-0000-0000-0000906D0000}"/>
    <cellStyle name="Денежный 2 2 2 6 10" xfId="28050" xr:uid="{00000000-0005-0000-0000-0000916D0000}"/>
    <cellStyle name="Денежный 2 2 2 6 2" xfId="28051" xr:uid="{00000000-0005-0000-0000-0000926D0000}"/>
    <cellStyle name="Денежный 2 2 2 6 2 2" xfId="28052" xr:uid="{00000000-0005-0000-0000-0000936D0000}"/>
    <cellStyle name="Денежный 2 2 2 6 2 2 2" xfId="28053" xr:uid="{00000000-0005-0000-0000-0000946D0000}"/>
    <cellStyle name="Денежный 2 2 2 6 2 2 2 2" xfId="28054" xr:uid="{00000000-0005-0000-0000-0000956D0000}"/>
    <cellStyle name="Денежный 2 2 2 6 2 2 3" xfId="28055" xr:uid="{00000000-0005-0000-0000-0000966D0000}"/>
    <cellStyle name="Денежный 2 2 2 6 2 3" xfId="28056" xr:uid="{00000000-0005-0000-0000-0000976D0000}"/>
    <cellStyle name="Денежный 2 2 2 6 2 3 2" xfId="28057" xr:uid="{00000000-0005-0000-0000-0000986D0000}"/>
    <cellStyle name="Денежный 2 2 2 6 2 4" xfId="28058" xr:uid="{00000000-0005-0000-0000-0000996D0000}"/>
    <cellStyle name="Денежный 2 2 2 6 2 4 2" xfId="28059" xr:uid="{00000000-0005-0000-0000-00009A6D0000}"/>
    <cellStyle name="Денежный 2 2 2 6 2 5" xfId="28060" xr:uid="{00000000-0005-0000-0000-00009B6D0000}"/>
    <cellStyle name="Денежный 2 2 2 6 3" xfId="28061" xr:uid="{00000000-0005-0000-0000-00009C6D0000}"/>
    <cellStyle name="Денежный 2 2 2 6 3 2" xfId="28062" xr:uid="{00000000-0005-0000-0000-00009D6D0000}"/>
    <cellStyle name="Денежный 2 2 2 6 3 2 2" xfId="28063" xr:uid="{00000000-0005-0000-0000-00009E6D0000}"/>
    <cellStyle name="Денежный 2 2 2 6 3 2 2 2" xfId="28064" xr:uid="{00000000-0005-0000-0000-00009F6D0000}"/>
    <cellStyle name="Денежный 2 2 2 6 3 2 3" xfId="28065" xr:uid="{00000000-0005-0000-0000-0000A06D0000}"/>
    <cellStyle name="Денежный 2 2 2 6 3 3" xfId="28066" xr:uid="{00000000-0005-0000-0000-0000A16D0000}"/>
    <cellStyle name="Денежный 2 2 2 6 3 3 2" xfId="28067" xr:uid="{00000000-0005-0000-0000-0000A26D0000}"/>
    <cellStyle name="Денежный 2 2 2 6 3 4" xfId="28068" xr:uid="{00000000-0005-0000-0000-0000A36D0000}"/>
    <cellStyle name="Денежный 2 2 2 6 3 4 2" xfId="28069" xr:uid="{00000000-0005-0000-0000-0000A46D0000}"/>
    <cellStyle name="Денежный 2 2 2 6 3 5" xfId="28070" xr:uid="{00000000-0005-0000-0000-0000A56D0000}"/>
    <cellStyle name="Денежный 2 2 2 6 4" xfId="28071" xr:uid="{00000000-0005-0000-0000-0000A66D0000}"/>
    <cellStyle name="Денежный 2 2 2 6 4 2" xfId="28072" xr:uid="{00000000-0005-0000-0000-0000A76D0000}"/>
    <cellStyle name="Денежный 2 2 2 6 4 2 2" xfId="28073" xr:uid="{00000000-0005-0000-0000-0000A86D0000}"/>
    <cellStyle name="Денежный 2 2 2 6 4 2 2 2" xfId="28074" xr:uid="{00000000-0005-0000-0000-0000A96D0000}"/>
    <cellStyle name="Денежный 2 2 2 6 4 2 3" xfId="28075" xr:uid="{00000000-0005-0000-0000-0000AA6D0000}"/>
    <cellStyle name="Денежный 2 2 2 6 4 3" xfId="28076" xr:uid="{00000000-0005-0000-0000-0000AB6D0000}"/>
    <cellStyle name="Денежный 2 2 2 6 4 3 2" xfId="28077" xr:uid="{00000000-0005-0000-0000-0000AC6D0000}"/>
    <cellStyle name="Денежный 2 2 2 6 4 4" xfId="28078" xr:uid="{00000000-0005-0000-0000-0000AD6D0000}"/>
    <cellStyle name="Денежный 2 2 2 6 4 4 2" xfId="28079" xr:uid="{00000000-0005-0000-0000-0000AE6D0000}"/>
    <cellStyle name="Денежный 2 2 2 6 4 5" xfId="28080" xr:uid="{00000000-0005-0000-0000-0000AF6D0000}"/>
    <cellStyle name="Денежный 2 2 2 6 5" xfId="28081" xr:uid="{00000000-0005-0000-0000-0000B06D0000}"/>
    <cellStyle name="Денежный 2 2 2 6 5 2" xfId="28082" xr:uid="{00000000-0005-0000-0000-0000B16D0000}"/>
    <cellStyle name="Денежный 2 2 2 6 5 2 2" xfId="28083" xr:uid="{00000000-0005-0000-0000-0000B26D0000}"/>
    <cellStyle name="Денежный 2 2 2 6 5 2 2 2" xfId="28084" xr:uid="{00000000-0005-0000-0000-0000B36D0000}"/>
    <cellStyle name="Денежный 2 2 2 6 5 2 3" xfId="28085" xr:uid="{00000000-0005-0000-0000-0000B46D0000}"/>
    <cellStyle name="Денежный 2 2 2 6 5 3" xfId="28086" xr:uid="{00000000-0005-0000-0000-0000B56D0000}"/>
    <cellStyle name="Денежный 2 2 2 6 5 3 2" xfId="28087" xr:uid="{00000000-0005-0000-0000-0000B66D0000}"/>
    <cellStyle name="Денежный 2 2 2 6 5 4" xfId="28088" xr:uid="{00000000-0005-0000-0000-0000B76D0000}"/>
    <cellStyle name="Денежный 2 2 2 6 5 4 2" xfId="28089" xr:uid="{00000000-0005-0000-0000-0000B86D0000}"/>
    <cellStyle name="Денежный 2 2 2 6 5 5" xfId="28090" xr:uid="{00000000-0005-0000-0000-0000B96D0000}"/>
    <cellStyle name="Денежный 2 2 2 6 6" xfId="28091" xr:uid="{00000000-0005-0000-0000-0000BA6D0000}"/>
    <cellStyle name="Денежный 2 2 2 6 6 2" xfId="28092" xr:uid="{00000000-0005-0000-0000-0000BB6D0000}"/>
    <cellStyle name="Денежный 2 2 2 6 6 2 2" xfId="28093" xr:uid="{00000000-0005-0000-0000-0000BC6D0000}"/>
    <cellStyle name="Денежный 2 2 2 6 6 3" xfId="28094" xr:uid="{00000000-0005-0000-0000-0000BD6D0000}"/>
    <cellStyle name="Денежный 2 2 2 6 7" xfId="28095" xr:uid="{00000000-0005-0000-0000-0000BE6D0000}"/>
    <cellStyle name="Денежный 2 2 2 6 7 2" xfId="28096" xr:uid="{00000000-0005-0000-0000-0000BF6D0000}"/>
    <cellStyle name="Денежный 2 2 2 6 8" xfId="28097" xr:uid="{00000000-0005-0000-0000-0000C06D0000}"/>
    <cellStyle name="Денежный 2 2 2 6 8 2" xfId="28098" xr:uid="{00000000-0005-0000-0000-0000C16D0000}"/>
    <cellStyle name="Денежный 2 2 2 6 9" xfId="28099" xr:uid="{00000000-0005-0000-0000-0000C26D0000}"/>
    <cellStyle name="Денежный 2 2 2 7" xfId="28100" xr:uid="{00000000-0005-0000-0000-0000C36D0000}"/>
    <cellStyle name="Денежный 2 2 2 7 2" xfId="28101" xr:uid="{00000000-0005-0000-0000-0000C46D0000}"/>
    <cellStyle name="Денежный 2 2 2 7 2 2" xfId="28102" xr:uid="{00000000-0005-0000-0000-0000C56D0000}"/>
    <cellStyle name="Денежный 2 2 2 7 2 2 2" xfId="28103" xr:uid="{00000000-0005-0000-0000-0000C66D0000}"/>
    <cellStyle name="Денежный 2 2 2 7 2 3" xfId="28104" xr:uid="{00000000-0005-0000-0000-0000C76D0000}"/>
    <cellStyle name="Денежный 2 2 2 7 3" xfId="28105" xr:uid="{00000000-0005-0000-0000-0000C86D0000}"/>
    <cellStyle name="Денежный 2 2 2 7 3 2" xfId="28106" xr:uid="{00000000-0005-0000-0000-0000C96D0000}"/>
    <cellStyle name="Денежный 2 2 2 7 4" xfId="28107" xr:uid="{00000000-0005-0000-0000-0000CA6D0000}"/>
    <cellStyle name="Денежный 2 2 2 7 4 2" xfId="28108" xr:uid="{00000000-0005-0000-0000-0000CB6D0000}"/>
    <cellStyle name="Денежный 2 2 2 7 5" xfId="28109" xr:uid="{00000000-0005-0000-0000-0000CC6D0000}"/>
    <cellStyle name="Денежный 2 2 2 8" xfId="28110" xr:uid="{00000000-0005-0000-0000-0000CD6D0000}"/>
    <cellStyle name="Денежный 2 2 2 8 2" xfId="28111" xr:uid="{00000000-0005-0000-0000-0000CE6D0000}"/>
    <cellStyle name="Денежный 2 2 2 8 2 2" xfId="28112" xr:uid="{00000000-0005-0000-0000-0000CF6D0000}"/>
    <cellStyle name="Денежный 2 2 2 8 2 2 2" xfId="28113" xr:uid="{00000000-0005-0000-0000-0000D06D0000}"/>
    <cellStyle name="Денежный 2 2 2 8 2 3" xfId="28114" xr:uid="{00000000-0005-0000-0000-0000D16D0000}"/>
    <cellStyle name="Денежный 2 2 2 8 3" xfId="28115" xr:uid="{00000000-0005-0000-0000-0000D26D0000}"/>
    <cellStyle name="Денежный 2 2 2 8 3 2" xfId="28116" xr:uid="{00000000-0005-0000-0000-0000D36D0000}"/>
    <cellStyle name="Денежный 2 2 2 8 4" xfId="28117" xr:uid="{00000000-0005-0000-0000-0000D46D0000}"/>
    <cellStyle name="Денежный 2 2 2 8 4 2" xfId="28118" xr:uid="{00000000-0005-0000-0000-0000D56D0000}"/>
    <cellStyle name="Денежный 2 2 2 8 5" xfId="28119" xr:uid="{00000000-0005-0000-0000-0000D66D0000}"/>
    <cellStyle name="Денежный 2 2 2 9" xfId="28120" xr:uid="{00000000-0005-0000-0000-0000D76D0000}"/>
    <cellStyle name="Денежный 2 2 2 9 2" xfId="28121" xr:uid="{00000000-0005-0000-0000-0000D86D0000}"/>
    <cellStyle name="Денежный 2 2 2 9 2 2" xfId="28122" xr:uid="{00000000-0005-0000-0000-0000D96D0000}"/>
    <cellStyle name="Денежный 2 2 2 9 2 2 2" xfId="28123" xr:uid="{00000000-0005-0000-0000-0000DA6D0000}"/>
    <cellStyle name="Денежный 2 2 2 9 2 3" xfId="28124" xr:uid="{00000000-0005-0000-0000-0000DB6D0000}"/>
    <cellStyle name="Денежный 2 2 2 9 3" xfId="28125" xr:uid="{00000000-0005-0000-0000-0000DC6D0000}"/>
    <cellStyle name="Денежный 2 2 2 9 3 2" xfId="28126" xr:uid="{00000000-0005-0000-0000-0000DD6D0000}"/>
    <cellStyle name="Денежный 2 2 2 9 4" xfId="28127" xr:uid="{00000000-0005-0000-0000-0000DE6D0000}"/>
    <cellStyle name="Денежный 2 2 2 9 4 2" xfId="28128" xr:uid="{00000000-0005-0000-0000-0000DF6D0000}"/>
    <cellStyle name="Денежный 2 2 2 9 5" xfId="28129" xr:uid="{00000000-0005-0000-0000-0000E06D0000}"/>
    <cellStyle name="Денежный 2 2 3" xfId="28130" xr:uid="{00000000-0005-0000-0000-0000E16D0000}"/>
    <cellStyle name="Денежный 2 2 3 10" xfId="28131" xr:uid="{00000000-0005-0000-0000-0000E26D0000}"/>
    <cellStyle name="Денежный 2 2 3 2" xfId="28132" xr:uid="{00000000-0005-0000-0000-0000E36D0000}"/>
    <cellStyle name="Денежный 2 2 3 2 2" xfId="28133" xr:uid="{00000000-0005-0000-0000-0000E46D0000}"/>
    <cellStyle name="Денежный 2 2 3 2 2 2" xfId="28134" xr:uid="{00000000-0005-0000-0000-0000E56D0000}"/>
    <cellStyle name="Денежный 2 2 3 2 2 2 2" xfId="28135" xr:uid="{00000000-0005-0000-0000-0000E66D0000}"/>
    <cellStyle name="Денежный 2 2 3 2 2 3" xfId="28136" xr:uid="{00000000-0005-0000-0000-0000E76D0000}"/>
    <cellStyle name="Денежный 2 2 3 2 3" xfId="28137" xr:uid="{00000000-0005-0000-0000-0000E86D0000}"/>
    <cellStyle name="Денежный 2 2 3 2 3 2" xfId="28138" xr:uid="{00000000-0005-0000-0000-0000E96D0000}"/>
    <cellStyle name="Денежный 2 2 3 2 4" xfId="28139" xr:uid="{00000000-0005-0000-0000-0000EA6D0000}"/>
    <cellStyle name="Денежный 2 2 3 2 4 2" xfId="28140" xr:uid="{00000000-0005-0000-0000-0000EB6D0000}"/>
    <cellStyle name="Денежный 2 2 3 2 5" xfId="28141" xr:uid="{00000000-0005-0000-0000-0000EC6D0000}"/>
    <cellStyle name="Денежный 2 2 3 3" xfId="28142" xr:uid="{00000000-0005-0000-0000-0000ED6D0000}"/>
    <cellStyle name="Денежный 2 2 3 3 2" xfId="28143" xr:uid="{00000000-0005-0000-0000-0000EE6D0000}"/>
    <cellStyle name="Денежный 2 2 3 3 2 2" xfId="28144" xr:uid="{00000000-0005-0000-0000-0000EF6D0000}"/>
    <cellStyle name="Денежный 2 2 3 3 2 2 2" xfId="28145" xr:uid="{00000000-0005-0000-0000-0000F06D0000}"/>
    <cellStyle name="Денежный 2 2 3 3 2 3" xfId="28146" xr:uid="{00000000-0005-0000-0000-0000F16D0000}"/>
    <cellStyle name="Денежный 2 2 3 3 3" xfId="28147" xr:uid="{00000000-0005-0000-0000-0000F26D0000}"/>
    <cellStyle name="Денежный 2 2 3 3 3 2" xfId="28148" xr:uid="{00000000-0005-0000-0000-0000F36D0000}"/>
    <cellStyle name="Денежный 2 2 3 3 4" xfId="28149" xr:uid="{00000000-0005-0000-0000-0000F46D0000}"/>
    <cellStyle name="Денежный 2 2 3 3 4 2" xfId="28150" xr:uid="{00000000-0005-0000-0000-0000F56D0000}"/>
    <cellStyle name="Денежный 2 2 3 3 5" xfId="28151" xr:uid="{00000000-0005-0000-0000-0000F66D0000}"/>
    <cellStyle name="Денежный 2 2 3 4" xfId="28152" xr:uid="{00000000-0005-0000-0000-0000F76D0000}"/>
    <cellStyle name="Денежный 2 2 3 4 2" xfId="28153" xr:uid="{00000000-0005-0000-0000-0000F86D0000}"/>
    <cellStyle name="Денежный 2 2 3 4 2 2" xfId="28154" xr:uid="{00000000-0005-0000-0000-0000F96D0000}"/>
    <cellStyle name="Денежный 2 2 3 4 2 2 2" xfId="28155" xr:uid="{00000000-0005-0000-0000-0000FA6D0000}"/>
    <cellStyle name="Денежный 2 2 3 4 2 3" xfId="28156" xr:uid="{00000000-0005-0000-0000-0000FB6D0000}"/>
    <cellStyle name="Денежный 2 2 3 4 3" xfId="28157" xr:uid="{00000000-0005-0000-0000-0000FC6D0000}"/>
    <cellStyle name="Денежный 2 2 3 4 3 2" xfId="28158" xr:uid="{00000000-0005-0000-0000-0000FD6D0000}"/>
    <cellStyle name="Денежный 2 2 3 4 4" xfId="28159" xr:uid="{00000000-0005-0000-0000-0000FE6D0000}"/>
    <cellStyle name="Денежный 2 2 3 4 4 2" xfId="28160" xr:uid="{00000000-0005-0000-0000-0000FF6D0000}"/>
    <cellStyle name="Денежный 2 2 3 4 5" xfId="28161" xr:uid="{00000000-0005-0000-0000-0000006E0000}"/>
    <cellStyle name="Денежный 2 2 3 5" xfId="28162" xr:uid="{00000000-0005-0000-0000-0000016E0000}"/>
    <cellStyle name="Денежный 2 2 3 5 2" xfId="28163" xr:uid="{00000000-0005-0000-0000-0000026E0000}"/>
    <cellStyle name="Денежный 2 2 3 5 2 2" xfId="28164" xr:uid="{00000000-0005-0000-0000-0000036E0000}"/>
    <cellStyle name="Денежный 2 2 3 5 2 2 2" xfId="28165" xr:uid="{00000000-0005-0000-0000-0000046E0000}"/>
    <cellStyle name="Денежный 2 2 3 5 2 3" xfId="28166" xr:uid="{00000000-0005-0000-0000-0000056E0000}"/>
    <cellStyle name="Денежный 2 2 3 5 3" xfId="28167" xr:uid="{00000000-0005-0000-0000-0000066E0000}"/>
    <cellStyle name="Денежный 2 2 3 5 3 2" xfId="28168" xr:uid="{00000000-0005-0000-0000-0000076E0000}"/>
    <cellStyle name="Денежный 2 2 3 5 4" xfId="28169" xr:uid="{00000000-0005-0000-0000-0000086E0000}"/>
    <cellStyle name="Денежный 2 2 3 5 4 2" xfId="28170" xr:uid="{00000000-0005-0000-0000-0000096E0000}"/>
    <cellStyle name="Денежный 2 2 3 5 5" xfId="28171" xr:uid="{00000000-0005-0000-0000-00000A6E0000}"/>
    <cellStyle name="Денежный 2 2 3 6" xfId="28172" xr:uid="{00000000-0005-0000-0000-00000B6E0000}"/>
    <cellStyle name="Денежный 2 2 3 6 2" xfId="28173" xr:uid="{00000000-0005-0000-0000-00000C6E0000}"/>
    <cellStyle name="Денежный 2 2 3 6 2 2" xfId="28174" xr:uid="{00000000-0005-0000-0000-00000D6E0000}"/>
    <cellStyle name="Денежный 2 2 3 6 3" xfId="28175" xr:uid="{00000000-0005-0000-0000-00000E6E0000}"/>
    <cellStyle name="Денежный 2 2 3 7" xfId="28176" xr:uid="{00000000-0005-0000-0000-00000F6E0000}"/>
    <cellStyle name="Денежный 2 2 3 7 2" xfId="28177" xr:uid="{00000000-0005-0000-0000-0000106E0000}"/>
    <cellStyle name="Денежный 2 2 3 8" xfId="28178" xr:uid="{00000000-0005-0000-0000-0000116E0000}"/>
    <cellStyle name="Денежный 2 2 3 8 2" xfId="28179" xr:uid="{00000000-0005-0000-0000-0000126E0000}"/>
    <cellStyle name="Денежный 2 2 3 9" xfId="28180" xr:uid="{00000000-0005-0000-0000-0000136E0000}"/>
    <cellStyle name="Денежный 2 2 4" xfId="28181" xr:uid="{00000000-0005-0000-0000-0000146E0000}"/>
    <cellStyle name="Денежный 2 2 4 10" xfId="28182" xr:uid="{00000000-0005-0000-0000-0000156E0000}"/>
    <cellStyle name="Денежный 2 2 4 2" xfId="28183" xr:uid="{00000000-0005-0000-0000-0000166E0000}"/>
    <cellStyle name="Денежный 2 2 4 2 2" xfId="28184" xr:uid="{00000000-0005-0000-0000-0000176E0000}"/>
    <cellStyle name="Денежный 2 2 4 2 2 2" xfId="28185" xr:uid="{00000000-0005-0000-0000-0000186E0000}"/>
    <cellStyle name="Денежный 2 2 4 2 2 2 2" xfId="28186" xr:uid="{00000000-0005-0000-0000-0000196E0000}"/>
    <cellStyle name="Денежный 2 2 4 2 2 3" xfId="28187" xr:uid="{00000000-0005-0000-0000-00001A6E0000}"/>
    <cellStyle name="Денежный 2 2 4 2 3" xfId="28188" xr:uid="{00000000-0005-0000-0000-00001B6E0000}"/>
    <cellStyle name="Денежный 2 2 4 2 3 2" xfId="28189" xr:uid="{00000000-0005-0000-0000-00001C6E0000}"/>
    <cellStyle name="Денежный 2 2 4 2 4" xfId="28190" xr:uid="{00000000-0005-0000-0000-00001D6E0000}"/>
    <cellStyle name="Денежный 2 2 4 2 4 2" xfId="28191" xr:uid="{00000000-0005-0000-0000-00001E6E0000}"/>
    <cellStyle name="Денежный 2 2 4 2 5" xfId="28192" xr:uid="{00000000-0005-0000-0000-00001F6E0000}"/>
    <cellStyle name="Денежный 2 2 4 3" xfId="28193" xr:uid="{00000000-0005-0000-0000-0000206E0000}"/>
    <cellStyle name="Денежный 2 2 4 3 2" xfId="28194" xr:uid="{00000000-0005-0000-0000-0000216E0000}"/>
    <cellStyle name="Денежный 2 2 4 3 2 2" xfId="28195" xr:uid="{00000000-0005-0000-0000-0000226E0000}"/>
    <cellStyle name="Денежный 2 2 4 3 2 2 2" xfId="28196" xr:uid="{00000000-0005-0000-0000-0000236E0000}"/>
    <cellStyle name="Денежный 2 2 4 3 2 3" xfId="28197" xr:uid="{00000000-0005-0000-0000-0000246E0000}"/>
    <cellStyle name="Денежный 2 2 4 3 3" xfId="28198" xr:uid="{00000000-0005-0000-0000-0000256E0000}"/>
    <cellStyle name="Денежный 2 2 4 3 3 2" xfId="28199" xr:uid="{00000000-0005-0000-0000-0000266E0000}"/>
    <cellStyle name="Денежный 2 2 4 3 4" xfId="28200" xr:uid="{00000000-0005-0000-0000-0000276E0000}"/>
    <cellStyle name="Денежный 2 2 4 3 4 2" xfId="28201" xr:uid="{00000000-0005-0000-0000-0000286E0000}"/>
    <cellStyle name="Денежный 2 2 4 3 5" xfId="28202" xr:uid="{00000000-0005-0000-0000-0000296E0000}"/>
    <cellStyle name="Денежный 2 2 4 4" xfId="28203" xr:uid="{00000000-0005-0000-0000-00002A6E0000}"/>
    <cellStyle name="Денежный 2 2 4 4 2" xfId="28204" xr:uid="{00000000-0005-0000-0000-00002B6E0000}"/>
    <cellStyle name="Денежный 2 2 4 4 2 2" xfId="28205" xr:uid="{00000000-0005-0000-0000-00002C6E0000}"/>
    <cellStyle name="Денежный 2 2 4 4 2 2 2" xfId="28206" xr:uid="{00000000-0005-0000-0000-00002D6E0000}"/>
    <cellStyle name="Денежный 2 2 4 4 2 3" xfId="28207" xr:uid="{00000000-0005-0000-0000-00002E6E0000}"/>
    <cellStyle name="Денежный 2 2 4 4 3" xfId="28208" xr:uid="{00000000-0005-0000-0000-00002F6E0000}"/>
    <cellStyle name="Денежный 2 2 4 4 3 2" xfId="28209" xr:uid="{00000000-0005-0000-0000-0000306E0000}"/>
    <cellStyle name="Денежный 2 2 4 4 4" xfId="28210" xr:uid="{00000000-0005-0000-0000-0000316E0000}"/>
    <cellStyle name="Денежный 2 2 4 4 4 2" xfId="28211" xr:uid="{00000000-0005-0000-0000-0000326E0000}"/>
    <cellStyle name="Денежный 2 2 4 4 5" xfId="28212" xr:uid="{00000000-0005-0000-0000-0000336E0000}"/>
    <cellStyle name="Денежный 2 2 4 5" xfId="28213" xr:uid="{00000000-0005-0000-0000-0000346E0000}"/>
    <cellStyle name="Денежный 2 2 4 5 2" xfId="28214" xr:uid="{00000000-0005-0000-0000-0000356E0000}"/>
    <cellStyle name="Денежный 2 2 4 5 2 2" xfId="28215" xr:uid="{00000000-0005-0000-0000-0000366E0000}"/>
    <cellStyle name="Денежный 2 2 4 5 2 2 2" xfId="28216" xr:uid="{00000000-0005-0000-0000-0000376E0000}"/>
    <cellStyle name="Денежный 2 2 4 5 2 3" xfId="28217" xr:uid="{00000000-0005-0000-0000-0000386E0000}"/>
    <cellStyle name="Денежный 2 2 4 5 3" xfId="28218" xr:uid="{00000000-0005-0000-0000-0000396E0000}"/>
    <cellStyle name="Денежный 2 2 4 5 3 2" xfId="28219" xr:uid="{00000000-0005-0000-0000-00003A6E0000}"/>
    <cellStyle name="Денежный 2 2 4 5 4" xfId="28220" xr:uid="{00000000-0005-0000-0000-00003B6E0000}"/>
    <cellStyle name="Денежный 2 2 4 5 4 2" xfId="28221" xr:uid="{00000000-0005-0000-0000-00003C6E0000}"/>
    <cellStyle name="Денежный 2 2 4 5 5" xfId="28222" xr:uid="{00000000-0005-0000-0000-00003D6E0000}"/>
    <cellStyle name="Денежный 2 2 4 6" xfId="28223" xr:uid="{00000000-0005-0000-0000-00003E6E0000}"/>
    <cellStyle name="Денежный 2 2 4 6 2" xfId="28224" xr:uid="{00000000-0005-0000-0000-00003F6E0000}"/>
    <cellStyle name="Денежный 2 2 4 6 2 2" xfId="28225" xr:uid="{00000000-0005-0000-0000-0000406E0000}"/>
    <cellStyle name="Денежный 2 2 4 6 3" xfId="28226" xr:uid="{00000000-0005-0000-0000-0000416E0000}"/>
    <cellStyle name="Денежный 2 2 4 7" xfId="28227" xr:uid="{00000000-0005-0000-0000-0000426E0000}"/>
    <cellStyle name="Денежный 2 2 4 7 2" xfId="28228" xr:uid="{00000000-0005-0000-0000-0000436E0000}"/>
    <cellStyle name="Денежный 2 2 4 8" xfId="28229" xr:uid="{00000000-0005-0000-0000-0000446E0000}"/>
    <cellStyle name="Денежный 2 2 4 8 2" xfId="28230" xr:uid="{00000000-0005-0000-0000-0000456E0000}"/>
    <cellStyle name="Денежный 2 2 4 9" xfId="28231" xr:uid="{00000000-0005-0000-0000-0000466E0000}"/>
    <cellStyle name="Денежный 2 2 5" xfId="28232" xr:uid="{00000000-0005-0000-0000-0000476E0000}"/>
    <cellStyle name="Денежный 2 2 5 10" xfId="28233" xr:uid="{00000000-0005-0000-0000-0000486E0000}"/>
    <cellStyle name="Денежный 2 2 5 2" xfId="28234" xr:uid="{00000000-0005-0000-0000-0000496E0000}"/>
    <cellStyle name="Денежный 2 2 5 2 2" xfId="28235" xr:uid="{00000000-0005-0000-0000-00004A6E0000}"/>
    <cellStyle name="Денежный 2 2 5 2 2 2" xfId="28236" xr:uid="{00000000-0005-0000-0000-00004B6E0000}"/>
    <cellStyle name="Денежный 2 2 5 2 2 2 2" xfId="28237" xr:uid="{00000000-0005-0000-0000-00004C6E0000}"/>
    <cellStyle name="Денежный 2 2 5 2 2 3" xfId="28238" xr:uid="{00000000-0005-0000-0000-00004D6E0000}"/>
    <cellStyle name="Денежный 2 2 5 2 3" xfId="28239" xr:uid="{00000000-0005-0000-0000-00004E6E0000}"/>
    <cellStyle name="Денежный 2 2 5 2 3 2" xfId="28240" xr:uid="{00000000-0005-0000-0000-00004F6E0000}"/>
    <cellStyle name="Денежный 2 2 5 2 4" xfId="28241" xr:uid="{00000000-0005-0000-0000-0000506E0000}"/>
    <cellStyle name="Денежный 2 2 5 2 4 2" xfId="28242" xr:uid="{00000000-0005-0000-0000-0000516E0000}"/>
    <cellStyle name="Денежный 2 2 5 2 5" xfId="28243" xr:uid="{00000000-0005-0000-0000-0000526E0000}"/>
    <cellStyle name="Денежный 2 2 5 3" xfId="28244" xr:uid="{00000000-0005-0000-0000-0000536E0000}"/>
    <cellStyle name="Денежный 2 2 5 3 2" xfId="28245" xr:uid="{00000000-0005-0000-0000-0000546E0000}"/>
    <cellStyle name="Денежный 2 2 5 3 2 2" xfId="28246" xr:uid="{00000000-0005-0000-0000-0000556E0000}"/>
    <cellStyle name="Денежный 2 2 5 3 2 2 2" xfId="28247" xr:uid="{00000000-0005-0000-0000-0000566E0000}"/>
    <cellStyle name="Денежный 2 2 5 3 2 3" xfId="28248" xr:uid="{00000000-0005-0000-0000-0000576E0000}"/>
    <cellStyle name="Денежный 2 2 5 3 3" xfId="28249" xr:uid="{00000000-0005-0000-0000-0000586E0000}"/>
    <cellStyle name="Денежный 2 2 5 3 3 2" xfId="28250" xr:uid="{00000000-0005-0000-0000-0000596E0000}"/>
    <cellStyle name="Денежный 2 2 5 3 4" xfId="28251" xr:uid="{00000000-0005-0000-0000-00005A6E0000}"/>
    <cellStyle name="Денежный 2 2 5 3 4 2" xfId="28252" xr:uid="{00000000-0005-0000-0000-00005B6E0000}"/>
    <cellStyle name="Денежный 2 2 5 3 5" xfId="28253" xr:uid="{00000000-0005-0000-0000-00005C6E0000}"/>
    <cellStyle name="Денежный 2 2 5 4" xfId="28254" xr:uid="{00000000-0005-0000-0000-00005D6E0000}"/>
    <cellStyle name="Денежный 2 2 5 4 2" xfId="28255" xr:uid="{00000000-0005-0000-0000-00005E6E0000}"/>
    <cellStyle name="Денежный 2 2 5 4 2 2" xfId="28256" xr:uid="{00000000-0005-0000-0000-00005F6E0000}"/>
    <cellStyle name="Денежный 2 2 5 4 2 2 2" xfId="28257" xr:uid="{00000000-0005-0000-0000-0000606E0000}"/>
    <cellStyle name="Денежный 2 2 5 4 2 3" xfId="28258" xr:uid="{00000000-0005-0000-0000-0000616E0000}"/>
    <cellStyle name="Денежный 2 2 5 4 3" xfId="28259" xr:uid="{00000000-0005-0000-0000-0000626E0000}"/>
    <cellStyle name="Денежный 2 2 5 4 3 2" xfId="28260" xr:uid="{00000000-0005-0000-0000-0000636E0000}"/>
    <cellStyle name="Денежный 2 2 5 4 4" xfId="28261" xr:uid="{00000000-0005-0000-0000-0000646E0000}"/>
    <cellStyle name="Денежный 2 2 5 4 4 2" xfId="28262" xr:uid="{00000000-0005-0000-0000-0000656E0000}"/>
    <cellStyle name="Денежный 2 2 5 4 5" xfId="28263" xr:uid="{00000000-0005-0000-0000-0000666E0000}"/>
    <cellStyle name="Денежный 2 2 5 5" xfId="28264" xr:uid="{00000000-0005-0000-0000-0000676E0000}"/>
    <cellStyle name="Денежный 2 2 5 5 2" xfId="28265" xr:uid="{00000000-0005-0000-0000-0000686E0000}"/>
    <cellStyle name="Денежный 2 2 5 5 2 2" xfId="28266" xr:uid="{00000000-0005-0000-0000-0000696E0000}"/>
    <cellStyle name="Денежный 2 2 5 5 2 2 2" xfId="28267" xr:uid="{00000000-0005-0000-0000-00006A6E0000}"/>
    <cellStyle name="Денежный 2 2 5 5 2 3" xfId="28268" xr:uid="{00000000-0005-0000-0000-00006B6E0000}"/>
    <cellStyle name="Денежный 2 2 5 5 3" xfId="28269" xr:uid="{00000000-0005-0000-0000-00006C6E0000}"/>
    <cellStyle name="Денежный 2 2 5 5 3 2" xfId="28270" xr:uid="{00000000-0005-0000-0000-00006D6E0000}"/>
    <cellStyle name="Денежный 2 2 5 5 4" xfId="28271" xr:uid="{00000000-0005-0000-0000-00006E6E0000}"/>
    <cellStyle name="Денежный 2 2 5 5 4 2" xfId="28272" xr:uid="{00000000-0005-0000-0000-00006F6E0000}"/>
    <cellStyle name="Денежный 2 2 5 5 5" xfId="28273" xr:uid="{00000000-0005-0000-0000-0000706E0000}"/>
    <cellStyle name="Денежный 2 2 5 6" xfId="28274" xr:uid="{00000000-0005-0000-0000-0000716E0000}"/>
    <cellStyle name="Денежный 2 2 5 6 2" xfId="28275" xr:uid="{00000000-0005-0000-0000-0000726E0000}"/>
    <cellStyle name="Денежный 2 2 5 6 2 2" xfId="28276" xr:uid="{00000000-0005-0000-0000-0000736E0000}"/>
    <cellStyle name="Денежный 2 2 5 6 3" xfId="28277" xr:uid="{00000000-0005-0000-0000-0000746E0000}"/>
    <cellStyle name="Денежный 2 2 5 7" xfId="28278" xr:uid="{00000000-0005-0000-0000-0000756E0000}"/>
    <cellStyle name="Денежный 2 2 5 7 2" xfId="28279" xr:uid="{00000000-0005-0000-0000-0000766E0000}"/>
    <cellStyle name="Денежный 2 2 5 8" xfId="28280" xr:uid="{00000000-0005-0000-0000-0000776E0000}"/>
    <cellStyle name="Денежный 2 2 5 8 2" xfId="28281" xr:uid="{00000000-0005-0000-0000-0000786E0000}"/>
    <cellStyle name="Денежный 2 2 5 9" xfId="28282" xr:uid="{00000000-0005-0000-0000-0000796E0000}"/>
    <cellStyle name="Денежный 2 2 6" xfId="28283" xr:uid="{00000000-0005-0000-0000-00007A6E0000}"/>
    <cellStyle name="Денежный 2 2 6 10" xfId="28284" xr:uid="{00000000-0005-0000-0000-00007B6E0000}"/>
    <cellStyle name="Денежный 2 2 6 2" xfId="28285" xr:uid="{00000000-0005-0000-0000-00007C6E0000}"/>
    <cellStyle name="Денежный 2 2 6 2 2" xfId="28286" xr:uid="{00000000-0005-0000-0000-00007D6E0000}"/>
    <cellStyle name="Денежный 2 2 6 2 2 2" xfId="28287" xr:uid="{00000000-0005-0000-0000-00007E6E0000}"/>
    <cellStyle name="Денежный 2 2 6 2 2 2 2" xfId="28288" xr:uid="{00000000-0005-0000-0000-00007F6E0000}"/>
    <cellStyle name="Денежный 2 2 6 2 2 3" xfId="28289" xr:uid="{00000000-0005-0000-0000-0000806E0000}"/>
    <cellStyle name="Денежный 2 2 6 2 3" xfId="28290" xr:uid="{00000000-0005-0000-0000-0000816E0000}"/>
    <cellStyle name="Денежный 2 2 6 2 3 2" xfId="28291" xr:uid="{00000000-0005-0000-0000-0000826E0000}"/>
    <cellStyle name="Денежный 2 2 6 2 4" xfId="28292" xr:uid="{00000000-0005-0000-0000-0000836E0000}"/>
    <cellStyle name="Денежный 2 2 6 2 4 2" xfId="28293" xr:uid="{00000000-0005-0000-0000-0000846E0000}"/>
    <cellStyle name="Денежный 2 2 6 2 5" xfId="28294" xr:uid="{00000000-0005-0000-0000-0000856E0000}"/>
    <cellStyle name="Денежный 2 2 6 3" xfId="28295" xr:uid="{00000000-0005-0000-0000-0000866E0000}"/>
    <cellStyle name="Денежный 2 2 6 3 2" xfId="28296" xr:uid="{00000000-0005-0000-0000-0000876E0000}"/>
    <cellStyle name="Денежный 2 2 6 3 2 2" xfId="28297" xr:uid="{00000000-0005-0000-0000-0000886E0000}"/>
    <cellStyle name="Денежный 2 2 6 3 2 2 2" xfId="28298" xr:uid="{00000000-0005-0000-0000-0000896E0000}"/>
    <cellStyle name="Денежный 2 2 6 3 2 3" xfId="28299" xr:uid="{00000000-0005-0000-0000-00008A6E0000}"/>
    <cellStyle name="Денежный 2 2 6 3 3" xfId="28300" xr:uid="{00000000-0005-0000-0000-00008B6E0000}"/>
    <cellStyle name="Денежный 2 2 6 3 3 2" xfId="28301" xr:uid="{00000000-0005-0000-0000-00008C6E0000}"/>
    <cellStyle name="Денежный 2 2 6 3 4" xfId="28302" xr:uid="{00000000-0005-0000-0000-00008D6E0000}"/>
    <cellStyle name="Денежный 2 2 6 3 4 2" xfId="28303" xr:uid="{00000000-0005-0000-0000-00008E6E0000}"/>
    <cellStyle name="Денежный 2 2 6 3 5" xfId="28304" xr:uid="{00000000-0005-0000-0000-00008F6E0000}"/>
    <cellStyle name="Денежный 2 2 6 4" xfId="28305" xr:uid="{00000000-0005-0000-0000-0000906E0000}"/>
    <cellStyle name="Денежный 2 2 6 4 2" xfId="28306" xr:uid="{00000000-0005-0000-0000-0000916E0000}"/>
    <cellStyle name="Денежный 2 2 6 4 2 2" xfId="28307" xr:uid="{00000000-0005-0000-0000-0000926E0000}"/>
    <cellStyle name="Денежный 2 2 6 4 2 2 2" xfId="28308" xr:uid="{00000000-0005-0000-0000-0000936E0000}"/>
    <cellStyle name="Денежный 2 2 6 4 2 3" xfId="28309" xr:uid="{00000000-0005-0000-0000-0000946E0000}"/>
    <cellStyle name="Денежный 2 2 6 4 3" xfId="28310" xr:uid="{00000000-0005-0000-0000-0000956E0000}"/>
    <cellStyle name="Денежный 2 2 6 4 3 2" xfId="28311" xr:uid="{00000000-0005-0000-0000-0000966E0000}"/>
    <cellStyle name="Денежный 2 2 6 4 4" xfId="28312" xr:uid="{00000000-0005-0000-0000-0000976E0000}"/>
    <cellStyle name="Денежный 2 2 6 4 4 2" xfId="28313" xr:uid="{00000000-0005-0000-0000-0000986E0000}"/>
    <cellStyle name="Денежный 2 2 6 4 5" xfId="28314" xr:uid="{00000000-0005-0000-0000-0000996E0000}"/>
    <cellStyle name="Денежный 2 2 6 5" xfId="28315" xr:uid="{00000000-0005-0000-0000-00009A6E0000}"/>
    <cellStyle name="Денежный 2 2 6 5 2" xfId="28316" xr:uid="{00000000-0005-0000-0000-00009B6E0000}"/>
    <cellStyle name="Денежный 2 2 6 5 2 2" xfId="28317" xr:uid="{00000000-0005-0000-0000-00009C6E0000}"/>
    <cellStyle name="Денежный 2 2 6 5 2 2 2" xfId="28318" xr:uid="{00000000-0005-0000-0000-00009D6E0000}"/>
    <cellStyle name="Денежный 2 2 6 5 2 3" xfId="28319" xr:uid="{00000000-0005-0000-0000-00009E6E0000}"/>
    <cellStyle name="Денежный 2 2 6 5 3" xfId="28320" xr:uid="{00000000-0005-0000-0000-00009F6E0000}"/>
    <cellStyle name="Денежный 2 2 6 5 3 2" xfId="28321" xr:uid="{00000000-0005-0000-0000-0000A06E0000}"/>
    <cellStyle name="Денежный 2 2 6 5 4" xfId="28322" xr:uid="{00000000-0005-0000-0000-0000A16E0000}"/>
    <cellStyle name="Денежный 2 2 6 5 4 2" xfId="28323" xr:uid="{00000000-0005-0000-0000-0000A26E0000}"/>
    <cellStyle name="Денежный 2 2 6 5 5" xfId="28324" xr:uid="{00000000-0005-0000-0000-0000A36E0000}"/>
    <cellStyle name="Денежный 2 2 6 6" xfId="28325" xr:uid="{00000000-0005-0000-0000-0000A46E0000}"/>
    <cellStyle name="Денежный 2 2 6 6 2" xfId="28326" xr:uid="{00000000-0005-0000-0000-0000A56E0000}"/>
    <cellStyle name="Денежный 2 2 6 6 2 2" xfId="28327" xr:uid="{00000000-0005-0000-0000-0000A66E0000}"/>
    <cellStyle name="Денежный 2 2 6 6 3" xfId="28328" xr:uid="{00000000-0005-0000-0000-0000A76E0000}"/>
    <cellStyle name="Денежный 2 2 6 7" xfId="28329" xr:uid="{00000000-0005-0000-0000-0000A86E0000}"/>
    <cellStyle name="Денежный 2 2 6 7 2" xfId="28330" xr:uid="{00000000-0005-0000-0000-0000A96E0000}"/>
    <cellStyle name="Денежный 2 2 6 8" xfId="28331" xr:uid="{00000000-0005-0000-0000-0000AA6E0000}"/>
    <cellStyle name="Денежный 2 2 6 8 2" xfId="28332" xr:uid="{00000000-0005-0000-0000-0000AB6E0000}"/>
    <cellStyle name="Денежный 2 2 6 9" xfId="28333" xr:uid="{00000000-0005-0000-0000-0000AC6E0000}"/>
    <cellStyle name="Денежный 2 2 7" xfId="28334" xr:uid="{00000000-0005-0000-0000-0000AD6E0000}"/>
    <cellStyle name="Денежный 2 2 7 10" xfId="28335" xr:uid="{00000000-0005-0000-0000-0000AE6E0000}"/>
    <cellStyle name="Денежный 2 2 7 2" xfId="28336" xr:uid="{00000000-0005-0000-0000-0000AF6E0000}"/>
    <cellStyle name="Денежный 2 2 7 2 2" xfId="28337" xr:uid="{00000000-0005-0000-0000-0000B06E0000}"/>
    <cellStyle name="Денежный 2 2 7 2 2 2" xfId="28338" xr:uid="{00000000-0005-0000-0000-0000B16E0000}"/>
    <cellStyle name="Денежный 2 2 7 2 2 2 2" xfId="28339" xr:uid="{00000000-0005-0000-0000-0000B26E0000}"/>
    <cellStyle name="Денежный 2 2 7 2 2 3" xfId="28340" xr:uid="{00000000-0005-0000-0000-0000B36E0000}"/>
    <cellStyle name="Денежный 2 2 7 2 3" xfId="28341" xr:uid="{00000000-0005-0000-0000-0000B46E0000}"/>
    <cellStyle name="Денежный 2 2 7 2 3 2" xfId="28342" xr:uid="{00000000-0005-0000-0000-0000B56E0000}"/>
    <cellStyle name="Денежный 2 2 7 2 4" xfId="28343" xr:uid="{00000000-0005-0000-0000-0000B66E0000}"/>
    <cellStyle name="Денежный 2 2 7 2 4 2" xfId="28344" xr:uid="{00000000-0005-0000-0000-0000B76E0000}"/>
    <cellStyle name="Денежный 2 2 7 2 5" xfId="28345" xr:uid="{00000000-0005-0000-0000-0000B86E0000}"/>
    <cellStyle name="Денежный 2 2 7 3" xfId="28346" xr:uid="{00000000-0005-0000-0000-0000B96E0000}"/>
    <cellStyle name="Денежный 2 2 7 3 2" xfId="28347" xr:uid="{00000000-0005-0000-0000-0000BA6E0000}"/>
    <cellStyle name="Денежный 2 2 7 3 2 2" xfId="28348" xr:uid="{00000000-0005-0000-0000-0000BB6E0000}"/>
    <cellStyle name="Денежный 2 2 7 3 2 2 2" xfId="28349" xr:uid="{00000000-0005-0000-0000-0000BC6E0000}"/>
    <cellStyle name="Денежный 2 2 7 3 2 3" xfId="28350" xr:uid="{00000000-0005-0000-0000-0000BD6E0000}"/>
    <cellStyle name="Денежный 2 2 7 3 3" xfId="28351" xr:uid="{00000000-0005-0000-0000-0000BE6E0000}"/>
    <cellStyle name="Денежный 2 2 7 3 3 2" xfId="28352" xr:uid="{00000000-0005-0000-0000-0000BF6E0000}"/>
    <cellStyle name="Денежный 2 2 7 3 4" xfId="28353" xr:uid="{00000000-0005-0000-0000-0000C06E0000}"/>
    <cellStyle name="Денежный 2 2 7 3 4 2" xfId="28354" xr:uid="{00000000-0005-0000-0000-0000C16E0000}"/>
    <cellStyle name="Денежный 2 2 7 3 5" xfId="28355" xr:uid="{00000000-0005-0000-0000-0000C26E0000}"/>
    <cellStyle name="Денежный 2 2 7 4" xfId="28356" xr:uid="{00000000-0005-0000-0000-0000C36E0000}"/>
    <cellStyle name="Денежный 2 2 7 4 2" xfId="28357" xr:uid="{00000000-0005-0000-0000-0000C46E0000}"/>
    <cellStyle name="Денежный 2 2 7 4 2 2" xfId="28358" xr:uid="{00000000-0005-0000-0000-0000C56E0000}"/>
    <cellStyle name="Денежный 2 2 7 4 2 2 2" xfId="28359" xr:uid="{00000000-0005-0000-0000-0000C66E0000}"/>
    <cellStyle name="Денежный 2 2 7 4 2 3" xfId="28360" xr:uid="{00000000-0005-0000-0000-0000C76E0000}"/>
    <cellStyle name="Денежный 2 2 7 4 3" xfId="28361" xr:uid="{00000000-0005-0000-0000-0000C86E0000}"/>
    <cellStyle name="Денежный 2 2 7 4 3 2" xfId="28362" xr:uid="{00000000-0005-0000-0000-0000C96E0000}"/>
    <cellStyle name="Денежный 2 2 7 4 4" xfId="28363" xr:uid="{00000000-0005-0000-0000-0000CA6E0000}"/>
    <cellStyle name="Денежный 2 2 7 4 4 2" xfId="28364" xr:uid="{00000000-0005-0000-0000-0000CB6E0000}"/>
    <cellStyle name="Денежный 2 2 7 4 5" xfId="28365" xr:uid="{00000000-0005-0000-0000-0000CC6E0000}"/>
    <cellStyle name="Денежный 2 2 7 5" xfId="28366" xr:uid="{00000000-0005-0000-0000-0000CD6E0000}"/>
    <cellStyle name="Денежный 2 2 7 5 2" xfId="28367" xr:uid="{00000000-0005-0000-0000-0000CE6E0000}"/>
    <cellStyle name="Денежный 2 2 7 5 2 2" xfId="28368" xr:uid="{00000000-0005-0000-0000-0000CF6E0000}"/>
    <cellStyle name="Денежный 2 2 7 5 2 2 2" xfId="28369" xr:uid="{00000000-0005-0000-0000-0000D06E0000}"/>
    <cellStyle name="Денежный 2 2 7 5 2 3" xfId="28370" xr:uid="{00000000-0005-0000-0000-0000D16E0000}"/>
    <cellStyle name="Денежный 2 2 7 5 3" xfId="28371" xr:uid="{00000000-0005-0000-0000-0000D26E0000}"/>
    <cellStyle name="Денежный 2 2 7 5 3 2" xfId="28372" xr:uid="{00000000-0005-0000-0000-0000D36E0000}"/>
    <cellStyle name="Денежный 2 2 7 5 4" xfId="28373" xr:uid="{00000000-0005-0000-0000-0000D46E0000}"/>
    <cellStyle name="Денежный 2 2 7 5 4 2" xfId="28374" xr:uid="{00000000-0005-0000-0000-0000D56E0000}"/>
    <cellStyle name="Денежный 2 2 7 5 5" xfId="28375" xr:uid="{00000000-0005-0000-0000-0000D66E0000}"/>
    <cellStyle name="Денежный 2 2 7 6" xfId="28376" xr:uid="{00000000-0005-0000-0000-0000D76E0000}"/>
    <cellStyle name="Денежный 2 2 7 6 2" xfId="28377" xr:uid="{00000000-0005-0000-0000-0000D86E0000}"/>
    <cellStyle name="Денежный 2 2 7 6 2 2" xfId="28378" xr:uid="{00000000-0005-0000-0000-0000D96E0000}"/>
    <cellStyle name="Денежный 2 2 7 6 3" xfId="28379" xr:uid="{00000000-0005-0000-0000-0000DA6E0000}"/>
    <cellStyle name="Денежный 2 2 7 7" xfId="28380" xr:uid="{00000000-0005-0000-0000-0000DB6E0000}"/>
    <cellStyle name="Денежный 2 2 7 7 2" xfId="28381" xr:uid="{00000000-0005-0000-0000-0000DC6E0000}"/>
    <cellStyle name="Денежный 2 2 7 8" xfId="28382" xr:uid="{00000000-0005-0000-0000-0000DD6E0000}"/>
    <cellStyle name="Денежный 2 2 7 8 2" xfId="28383" xr:uid="{00000000-0005-0000-0000-0000DE6E0000}"/>
    <cellStyle name="Денежный 2 2 7 9" xfId="28384" xr:uid="{00000000-0005-0000-0000-0000DF6E0000}"/>
    <cellStyle name="Денежный 2 2 8" xfId="28385" xr:uid="{00000000-0005-0000-0000-0000E06E0000}"/>
    <cellStyle name="Денежный 2 2 8 2" xfId="28386" xr:uid="{00000000-0005-0000-0000-0000E16E0000}"/>
    <cellStyle name="Денежный 2 2 8 2 2" xfId="28387" xr:uid="{00000000-0005-0000-0000-0000E26E0000}"/>
    <cellStyle name="Денежный 2 2 8 2 2 2" xfId="28388" xr:uid="{00000000-0005-0000-0000-0000E36E0000}"/>
    <cellStyle name="Денежный 2 2 8 2 2 2 2" xfId="28389" xr:uid="{00000000-0005-0000-0000-0000E46E0000}"/>
    <cellStyle name="Денежный 2 2 8 2 2 3" xfId="28390" xr:uid="{00000000-0005-0000-0000-0000E56E0000}"/>
    <cellStyle name="Денежный 2 2 8 2 3" xfId="28391" xr:uid="{00000000-0005-0000-0000-0000E66E0000}"/>
    <cellStyle name="Денежный 2 2 8 2 3 2" xfId="28392" xr:uid="{00000000-0005-0000-0000-0000E76E0000}"/>
    <cellStyle name="Денежный 2 2 8 2 4" xfId="28393" xr:uid="{00000000-0005-0000-0000-0000E86E0000}"/>
    <cellStyle name="Денежный 2 2 8 2 4 2" xfId="28394" xr:uid="{00000000-0005-0000-0000-0000E96E0000}"/>
    <cellStyle name="Денежный 2 2 8 2 5" xfId="28395" xr:uid="{00000000-0005-0000-0000-0000EA6E0000}"/>
    <cellStyle name="Денежный 2 2 8 3" xfId="28396" xr:uid="{00000000-0005-0000-0000-0000EB6E0000}"/>
    <cellStyle name="Денежный 2 2 8 3 2" xfId="28397" xr:uid="{00000000-0005-0000-0000-0000EC6E0000}"/>
    <cellStyle name="Денежный 2 2 8 3 2 2" xfId="28398" xr:uid="{00000000-0005-0000-0000-0000ED6E0000}"/>
    <cellStyle name="Денежный 2 2 8 3 2 2 2" xfId="28399" xr:uid="{00000000-0005-0000-0000-0000EE6E0000}"/>
    <cellStyle name="Денежный 2 2 8 3 2 3" xfId="28400" xr:uid="{00000000-0005-0000-0000-0000EF6E0000}"/>
    <cellStyle name="Денежный 2 2 8 3 3" xfId="28401" xr:uid="{00000000-0005-0000-0000-0000F06E0000}"/>
    <cellStyle name="Денежный 2 2 8 3 3 2" xfId="28402" xr:uid="{00000000-0005-0000-0000-0000F16E0000}"/>
    <cellStyle name="Денежный 2 2 8 3 4" xfId="28403" xr:uid="{00000000-0005-0000-0000-0000F26E0000}"/>
    <cellStyle name="Денежный 2 2 8 3 4 2" xfId="28404" xr:uid="{00000000-0005-0000-0000-0000F36E0000}"/>
    <cellStyle name="Денежный 2 2 8 3 5" xfId="28405" xr:uid="{00000000-0005-0000-0000-0000F46E0000}"/>
    <cellStyle name="Денежный 2 2 8 4" xfId="28406" xr:uid="{00000000-0005-0000-0000-0000F56E0000}"/>
    <cellStyle name="Денежный 2 2 8 4 2" xfId="28407" xr:uid="{00000000-0005-0000-0000-0000F66E0000}"/>
    <cellStyle name="Денежный 2 2 8 4 2 2" xfId="28408" xr:uid="{00000000-0005-0000-0000-0000F76E0000}"/>
    <cellStyle name="Денежный 2 2 8 4 3" xfId="28409" xr:uid="{00000000-0005-0000-0000-0000F86E0000}"/>
    <cellStyle name="Денежный 2 2 8 5" xfId="28410" xr:uid="{00000000-0005-0000-0000-0000F96E0000}"/>
    <cellStyle name="Денежный 2 2 8 5 2" xfId="28411" xr:uid="{00000000-0005-0000-0000-0000FA6E0000}"/>
    <cellStyle name="Денежный 2 2 8 6" xfId="28412" xr:uid="{00000000-0005-0000-0000-0000FB6E0000}"/>
    <cellStyle name="Денежный 2 2 8 6 2" xfId="28413" xr:uid="{00000000-0005-0000-0000-0000FC6E0000}"/>
    <cellStyle name="Денежный 2 2 8 7" xfId="28414" xr:uid="{00000000-0005-0000-0000-0000FD6E0000}"/>
    <cellStyle name="Денежный 2 2 9" xfId="28415" xr:uid="{00000000-0005-0000-0000-0000FE6E0000}"/>
    <cellStyle name="Денежный 2 2 9 2" xfId="28416" xr:uid="{00000000-0005-0000-0000-0000FF6E0000}"/>
    <cellStyle name="Денежный 2 2 9 2 2" xfId="28417" xr:uid="{00000000-0005-0000-0000-0000006F0000}"/>
    <cellStyle name="Денежный 2 2 9 2 2 2" xfId="28418" xr:uid="{00000000-0005-0000-0000-0000016F0000}"/>
    <cellStyle name="Денежный 2 2 9 2 3" xfId="28419" xr:uid="{00000000-0005-0000-0000-0000026F0000}"/>
    <cellStyle name="Денежный 2 2 9 3" xfId="28420" xr:uid="{00000000-0005-0000-0000-0000036F0000}"/>
    <cellStyle name="Денежный 2 2 9 3 2" xfId="28421" xr:uid="{00000000-0005-0000-0000-0000046F0000}"/>
    <cellStyle name="Денежный 2 2 9 4" xfId="28422" xr:uid="{00000000-0005-0000-0000-0000056F0000}"/>
    <cellStyle name="Денежный 2 2 9 4 2" xfId="28423" xr:uid="{00000000-0005-0000-0000-0000066F0000}"/>
    <cellStyle name="Денежный 2 2 9 5" xfId="28424" xr:uid="{00000000-0005-0000-0000-0000076F0000}"/>
    <cellStyle name="Денежный 2 3" xfId="28425" xr:uid="{00000000-0005-0000-0000-0000086F0000}"/>
    <cellStyle name="Денежный 2 3 10" xfId="28426" xr:uid="{00000000-0005-0000-0000-0000096F0000}"/>
    <cellStyle name="Денежный 2 3 10 2" xfId="28427" xr:uid="{00000000-0005-0000-0000-00000A6F0000}"/>
    <cellStyle name="Денежный 2 3 10 2 2" xfId="28428" xr:uid="{00000000-0005-0000-0000-00000B6F0000}"/>
    <cellStyle name="Денежный 2 3 10 2 2 2" xfId="28429" xr:uid="{00000000-0005-0000-0000-00000C6F0000}"/>
    <cellStyle name="Денежный 2 3 10 2 3" xfId="28430" xr:uid="{00000000-0005-0000-0000-00000D6F0000}"/>
    <cellStyle name="Денежный 2 3 10 3" xfId="28431" xr:uid="{00000000-0005-0000-0000-00000E6F0000}"/>
    <cellStyle name="Денежный 2 3 10 3 2" xfId="28432" xr:uid="{00000000-0005-0000-0000-00000F6F0000}"/>
    <cellStyle name="Денежный 2 3 10 4" xfId="28433" xr:uid="{00000000-0005-0000-0000-0000106F0000}"/>
    <cellStyle name="Денежный 2 3 10 4 2" xfId="28434" xr:uid="{00000000-0005-0000-0000-0000116F0000}"/>
    <cellStyle name="Денежный 2 3 10 5" xfId="28435" xr:uid="{00000000-0005-0000-0000-0000126F0000}"/>
    <cellStyle name="Денежный 2 3 11" xfId="28436" xr:uid="{00000000-0005-0000-0000-0000136F0000}"/>
    <cellStyle name="Денежный 2 3 11 2" xfId="28437" xr:uid="{00000000-0005-0000-0000-0000146F0000}"/>
    <cellStyle name="Денежный 2 3 11 2 2" xfId="28438" xr:uid="{00000000-0005-0000-0000-0000156F0000}"/>
    <cellStyle name="Денежный 2 3 11 3" xfId="28439" xr:uid="{00000000-0005-0000-0000-0000166F0000}"/>
    <cellStyle name="Денежный 2 3 12" xfId="28440" xr:uid="{00000000-0005-0000-0000-0000176F0000}"/>
    <cellStyle name="Денежный 2 3 12 2" xfId="28441" xr:uid="{00000000-0005-0000-0000-0000186F0000}"/>
    <cellStyle name="Денежный 2 3 13" xfId="28442" xr:uid="{00000000-0005-0000-0000-0000196F0000}"/>
    <cellStyle name="Денежный 2 3 13 2" xfId="28443" xr:uid="{00000000-0005-0000-0000-00001A6F0000}"/>
    <cellStyle name="Денежный 2 3 14" xfId="28444" xr:uid="{00000000-0005-0000-0000-00001B6F0000}"/>
    <cellStyle name="Денежный 2 3 15" xfId="28445" xr:uid="{00000000-0005-0000-0000-00001C6F0000}"/>
    <cellStyle name="Денежный 2 3 2" xfId="28446" xr:uid="{00000000-0005-0000-0000-00001D6F0000}"/>
    <cellStyle name="Денежный 2 3 2 10" xfId="28447" xr:uid="{00000000-0005-0000-0000-00001E6F0000}"/>
    <cellStyle name="Денежный 2 3 2 2" xfId="28448" xr:uid="{00000000-0005-0000-0000-00001F6F0000}"/>
    <cellStyle name="Денежный 2 3 2 2 2" xfId="28449" xr:uid="{00000000-0005-0000-0000-0000206F0000}"/>
    <cellStyle name="Денежный 2 3 2 2 2 2" xfId="28450" xr:uid="{00000000-0005-0000-0000-0000216F0000}"/>
    <cellStyle name="Денежный 2 3 2 2 2 2 2" xfId="28451" xr:uid="{00000000-0005-0000-0000-0000226F0000}"/>
    <cellStyle name="Денежный 2 3 2 2 2 3" xfId="28452" xr:uid="{00000000-0005-0000-0000-0000236F0000}"/>
    <cellStyle name="Денежный 2 3 2 2 3" xfId="28453" xr:uid="{00000000-0005-0000-0000-0000246F0000}"/>
    <cellStyle name="Денежный 2 3 2 2 3 2" xfId="28454" xr:uid="{00000000-0005-0000-0000-0000256F0000}"/>
    <cellStyle name="Денежный 2 3 2 2 4" xfId="28455" xr:uid="{00000000-0005-0000-0000-0000266F0000}"/>
    <cellStyle name="Денежный 2 3 2 2 4 2" xfId="28456" xr:uid="{00000000-0005-0000-0000-0000276F0000}"/>
    <cellStyle name="Денежный 2 3 2 2 5" xfId="28457" xr:uid="{00000000-0005-0000-0000-0000286F0000}"/>
    <cellStyle name="Денежный 2 3 2 3" xfId="28458" xr:uid="{00000000-0005-0000-0000-0000296F0000}"/>
    <cellStyle name="Денежный 2 3 2 3 2" xfId="28459" xr:uid="{00000000-0005-0000-0000-00002A6F0000}"/>
    <cellStyle name="Денежный 2 3 2 3 2 2" xfId="28460" xr:uid="{00000000-0005-0000-0000-00002B6F0000}"/>
    <cellStyle name="Денежный 2 3 2 3 2 2 2" xfId="28461" xr:uid="{00000000-0005-0000-0000-00002C6F0000}"/>
    <cellStyle name="Денежный 2 3 2 3 2 3" xfId="28462" xr:uid="{00000000-0005-0000-0000-00002D6F0000}"/>
    <cellStyle name="Денежный 2 3 2 3 3" xfId="28463" xr:uid="{00000000-0005-0000-0000-00002E6F0000}"/>
    <cellStyle name="Денежный 2 3 2 3 3 2" xfId="28464" xr:uid="{00000000-0005-0000-0000-00002F6F0000}"/>
    <cellStyle name="Денежный 2 3 2 3 4" xfId="28465" xr:uid="{00000000-0005-0000-0000-0000306F0000}"/>
    <cellStyle name="Денежный 2 3 2 3 4 2" xfId="28466" xr:uid="{00000000-0005-0000-0000-0000316F0000}"/>
    <cellStyle name="Денежный 2 3 2 3 5" xfId="28467" xr:uid="{00000000-0005-0000-0000-0000326F0000}"/>
    <cellStyle name="Денежный 2 3 2 4" xfId="28468" xr:uid="{00000000-0005-0000-0000-0000336F0000}"/>
    <cellStyle name="Денежный 2 3 2 4 2" xfId="28469" xr:uid="{00000000-0005-0000-0000-0000346F0000}"/>
    <cellStyle name="Денежный 2 3 2 4 2 2" xfId="28470" xr:uid="{00000000-0005-0000-0000-0000356F0000}"/>
    <cellStyle name="Денежный 2 3 2 4 2 2 2" xfId="28471" xr:uid="{00000000-0005-0000-0000-0000366F0000}"/>
    <cellStyle name="Денежный 2 3 2 4 2 3" xfId="28472" xr:uid="{00000000-0005-0000-0000-0000376F0000}"/>
    <cellStyle name="Денежный 2 3 2 4 3" xfId="28473" xr:uid="{00000000-0005-0000-0000-0000386F0000}"/>
    <cellStyle name="Денежный 2 3 2 4 3 2" xfId="28474" xr:uid="{00000000-0005-0000-0000-0000396F0000}"/>
    <cellStyle name="Денежный 2 3 2 4 4" xfId="28475" xr:uid="{00000000-0005-0000-0000-00003A6F0000}"/>
    <cellStyle name="Денежный 2 3 2 4 4 2" xfId="28476" xr:uid="{00000000-0005-0000-0000-00003B6F0000}"/>
    <cellStyle name="Денежный 2 3 2 4 5" xfId="28477" xr:uid="{00000000-0005-0000-0000-00003C6F0000}"/>
    <cellStyle name="Денежный 2 3 2 5" xfId="28478" xr:uid="{00000000-0005-0000-0000-00003D6F0000}"/>
    <cellStyle name="Денежный 2 3 2 5 2" xfId="28479" xr:uid="{00000000-0005-0000-0000-00003E6F0000}"/>
    <cellStyle name="Денежный 2 3 2 5 2 2" xfId="28480" xr:uid="{00000000-0005-0000-0000-00003F6F0000}"/>
    <cellStyle name="Денежный 2 3 2 5 2 2 2" xfId="28481" xr:uid="{00000000-0005-0000-0000-0000406F0000}"/>
    <cellStyle name="Денежный 2 3 2 5 2 3" xfId="28482" xr:uid="{00000000-0005-0000-0000-0000416F0000}"/>
    <cellStyle name="Денежный 2 3 2 5 3" xfId="28483" xr:uid="{00000000-0005-0000-0000-0000426F0000}"/>
    <cellStyle name="Денежный 2 3 2 5 3 2" xfId="28484" xr:uid="{00000000-0005-0000-0000-0000436F0000}"/>
    <cellStyle name="Денежный 2 3 2 5 4" xfId="28485" xr:uid="{00000000-0005-0000-0000-0000446F0000}"/>
    <cellStyle name="Денежный 2 3 2 5 4 2" xfId="28486" xr:uid="{00000000-0005-0000-0000-0000456F0000}"/>
    <cellStyle name="Денежный 2 3 2 5 5" xfId="28487" xr:uid="{00000000-0005-0000-0000-0000466F0000}"/>
    <cellStyle name="Денежный 2 3 2 6" xfId="28488" xr:uid="{00000000-0005-0000-0000-0000476F0000}"/>
    <cellStyle name="Денежный 2 3 2 6 2" xfId="28489" xr:uid="{00000000-0005-0000-0000-0000486F0000}"/>
    <cellStyle name="Денежный 2 3 2 6 2 2" xfId="28490" xr:uid="{00000000-0005-0000-0000-0000496F0000}"/>
    <cellStyle name="Денежный 2 3 2 6 3" xfId="28491" xr:uid="{00000000-0005-0000-0000-00004A6F0000}"/>
    <cellStyle name="Денежный 2 3 2 7" xfId="28492" xr:uid="{00000000-0005-0000-0000-00004B6F0000}"/>
    <cellStyle name="Денежный 2 3 2 7 2" xfId="28493" xr:uid="{00000000-0005-0000-0000-00004C6F0000}"/>
    <cellStyle name="Денежный 2 3 2 8" xfId="28494" xr:uid="{00000000-0005-0000-0000-00004D6F0000}"/>
    <cellStyle name="Денежный 2 3 2 8 2" xfId="28495" xr:uid="{00000000-0005-0000-0000-00004E6F0000}"/>
    <cellStyle name="Денежный 2 3 2 9" xfId="28496" xr:uid="{00000000-0005-0000-0000-00004F6F0000}"/>
    <cellStyle name="Денежный 2 3 3" xfId="28497" xr:uid="{00000000-0005-0000-0000-0000506F0000}"/>
    <cellStyle name="Денежный 2 3 3 10" xfId="28498" xr:uid="{00000000-0005-0000-0000-0000516F0000}"/>
    <cellStyle name="Денежный 2 3 3 2" xfId="28499" xr:uid="{00000000-0005-0000-0000-0000526F0000}"/>
    <cellStyle name="Денежный 2 3 3 2 2" xfId="28500" xr:uid="{00000000-0005-0000-0000-0000536F0000}"/>
    <cellStyle name="Денежный 2 3 3 2 2 2" xfId="28501" xr:uid="{00000000-0005-0000-0000-0000546F0000}"/>
    <cellStyle name="Денежный 2 3 3 2 2 2 2" xfId="28502" xr:uid="{00000000-0005-0000-0000-0000556F0000}"/>
    <cellStyle name="Денежный 2 3 3 2 2 3" xfId="28503" xr:uid="{00000000-0005-0000-0000-0000566F0000}"/>
    <cellStyle name="Денежный 2 3 3 2 3" xfId="28504" xr:uid="{00000000-0005-0000-0000-0000576F0000}"/>
    <cellStyle name="Денежный 2 3 3 2 3 2" xfId="28505" xr:uid="{00000000-0005-0000-0000-0000586F0000}"/>
    <cellStyle name="Денежный 2 3 3 2 4" xfId="28506" xr:uid="{00000000-0005-0000-0000-0000596F0000}"/>
    <cellStyle name="Денежный 2 3 3 2 4 2" xfId="28507" xr:uid="{00000000-0005-0000-0000-00005A6F0000}"/>
    <cellStyle name="Денежный 2 3 3 2 5" xfId="28508" xr:uid="{00000000-0005-0000-0000-00005B6F0000}"/>
    <cellStyle name="Денежный 2 3 3 3" xfId="28509" xr:uid="{00000000-0005-0000-0000-00005C6F0000}"/>
    <cellStyle name="Денежный 2 3 3 3 2" xfId="28510" xr:uid="{00000000-0005-0000-0000-00005D6F0000}"/>
    <cellStyle name="Денежный 2 3 3 3 2 2" xfId="28511" xr:uid="{00000000-0005-0000-0000-00005E6F0000}"/>
    <cellStyle name="Денежный 2 3 3 3 2 2 2" xfId="28512" xr:uid="{00000000-0005-0000-0000-00005F6F0000}"/>
    <cellStyle name="Денежный 2 3 3 3 2 3" xfId="28513" xr:uid="{00000000-0005-0000-0000-0000606F0000}"/>
    <cellStyle name="Денежный 2 3 3 3 3" xfId="28514" xr:uid="{00000000-0005-0000-0000-0000616F0000}"/>
    <cellStyle name="Денежный 2 3 3 3 3 2" xfId="28515" xr:uid="{00000000-0005-0000-0000-0000626F0000}"/>
    <cellStyle name="Денежный 2 3 3 3 4" xfId="28516" xr:uid="{00000000-0005-0000-0000-0000636F0000}"/>
    <cellStyle name="Денежный 2 3 3 3 4 2" xfId="28517" xr:uid="{00000000-0005-0000-0000-0000646F0000}"/>
    <cellStyle name="Денежный 2 3 3 3 5" xfId="28518" xr:uid="{00000000-0005-0000-0000-0000656F0000}"/>
    <cellStyle name="Денежный 2 3 3 4" xfId="28519" xr:uid="{00000000-0005-0000-0000-0000666F0000}"/>
    <cellStyle name="Денежный 2 3 3 4 2" xfId="28520" xr:uid="{00000000-0005-0000-0000-0000676F0000}"/>
    <cellStyle name="Денежный 2 3 3 4 2 2" xfId="28521" xr:uid="{00000000-0005-0000-0000-0000686F0000}"/>
    <cellStyle name="Денежный 2 3 3 4 2 2 2" xfId="28522" xr:uid="{00000000-0005-0000-0000-0000696F0000}"/>
    <cellStyle name="Денежный 2 3 3 4 2 3" xfId="28523" xr:uid="{00000000-0005-0000-0000-00006A6F0000}"/>
    <cellStyle name="Денежный 2 3 3 4 3" xfId="28524" xr:uid="{00000000-0005-0000-0000-00006B6F0000}"/>
    <cellStyle name="Денежный 2 3 3 4 3 2" xfId="28525" xr:uid="{00000000-0005-0000-0000-00006C6F0000}"/>
    <cellStyle name="Денежный 2 3 3 4 4" xfId="28526" xr:uid="{00000000-0005-0000-0000-00006D6F0000}"/>
    <cellStyle name="Денежный 2 3 3 4 4 2" xfId="28527" xr:uid="{00000000-0005-0000-0000-00006E6F0000}"/>
    <cellStyle name="Денежный 2 3 3 4 5" xfId="28528" xr:uid="{00000000-0005-0000-0000-00006F6F0000}"/>
    <cellStyle name="Денежный 2 3 3 5" xfId="28529" xr:uid="{00000000-0005-0000-0000-0000706F0000}"/>
    <cellStyle name="Денежный 2 3 3 5 2" xfId="28530" xr:uid="{00000000-0005-0000-0000-0000716F0000}"/>
    <cellStyle name="Денежный 2 3 3 5 2 2" xfId="28531" xr:uid="{00000000-0005-0000-0000-0000726F0000}"/>
    <cellStyle name="Денежный 2 3 3 5 2 2 2" xfId="28532" xr:uid="{00000000-0005-0000-0000-0000736F0000}"/>
    <cellStyle name="Денежный 2 3 3 5 2 3" xfId="28533" xr:uid="{00000000-0005-0000-0000-0000746F0000}"/>
    <cellStyle name="Денежный 2 3 3 5 3" xfId="28534" xr:uid="{00000000-0005-0000-0000-0000756F0000}"/>
    <cellStyle name="Денежный 2 3 3 5 3 2" xfId="28535" xr:uid="{00000000-0005-0000-0000-0000766F0000}"/>
    <cellStyle name="Денежный 2 3 3 5 4" xfId="28536" xr:uid="{00000000-0005-0000-0000-0000776F0000}"/>
    <cellStyle name="Денежный 2 3 3 5 4 2" xfId="28537" xr:uid="{00000000-0005-0000-0000-0000786F0000}"/>
    <cellStyle name="Денежный 2 3 3 5 5" xfId="28538" xr:uid="{00000000-0005-0000-0000-0000796F0000}"/>
    <cellStyle name="Денежный 2 3 3 6" xfId="28539" xr:uid="{00000000-0005-0000-0000-00007A6F0000}"/>
    <cellStyle name="Денежный 2 3 3 6 2" xfId="28540" xr:uid="{00000000-0005-0000-0000-00007B6F0000}"/>
    <cellStyle name="Денежный 2 3 3 6 2 2" xfId="28541" xr:uid="{00000000-0005-0000-0000-00007C6F0000}"/>
    <cellStyle name="Денежный 2 3 3 6 3" xfId="28542" xr:uid="{00000000-0005-0000-0000-00007D6F0000}"/>
    <cellStyle name="Денежный 2 3 3 7" xfId="28543" xr:uid="{00000000-0005-0000-0000-00007E6F0000}"/>
    <cellStyle name="Денежный 2 3 3 7 2" xfId="28544" xr:uid="{00000000-0005-0000-0000-00007F6F0000}"/>
    <cellStyle name="Денежный 2 3 3 8" xfId="28545" xr:uid="{00000000-0005-0000-0000-0000806F0000}"/>
    <cellStyle name="Денежный 2 3 3 8 2" xfId="28546" xr:uid="{00000000-0005-0000-0000-0000816F0000}"/>
    <cellStyle name="Денежный 2 3 3 9" xfId="28547" xr:uid="{00000000-0005-0000-0000-0000826F0000}"/>
    <cellStyle name="Денежный 2 3 4" xfId="28548" xr:uid="{00000000-0005-0000-0000-0000836F0000}"/>
    <cellStyle name="Денежный 2 3 4 10" xfId="28549" xr:uid="{00000000-0005-0000-0000-0000846F0000}"/>
    <cellStyle name="Денежный 2 3 4 2" xfId="28550" xr:uid="{00000000-0005-0000-0000-0000856F0000}"/>
    <cellStyle name="Денежный 2 3 4 2 2" xfId="28551" xr:uid="{00000000-0005-0000-0000-0000866F0000}"/>
    <cellStyle name="Денежный 2 3 4 2 2 2" xfId="28552" xr:uid="{00000000-0005-0000-0000-0000876F0000}"/>
    <cellStyle name="Денежный 2 3 4 2 2 2 2" xfId="28553" xr:uid="{00000000-0005-0000-0000-0000886F0000}"/>
    <cellStyle name="Денежный 2 3 4 2 2 3" xfId="28554" xr:uid="{00000000-0005-0000-0000-0000896F0000}"/>
    <cellStyle name="Денежный 2 3 4 2 3" xfId="28555" xr:uid="{00000000-0005-0000-0000-00008A6F0000}"/>
    <cellStyle name="Денежный 2 3 4 2 3 2" xfId="28556" xr:uid="{00000000-0005-0000-0000-00008B6F0000}"/>
    <cellStyle name="Денежный 2 3 4 2 4" xfId="28557" xr:uid="{00000000-0005-0000-0000-00008C6F0000}"/>
    <cellStyle name="Денежный 2 3 4 2 4 2" xfId="28558" xr:uid="{00000000-0005-0000-0000-00008D6F0000}"/>
    <cellStyle name="Денежный 2 3 4 2 5" xfId="28559" xr:uid="{00000000-0005-0000-0000-00008E6F0000}"/>
    <cellStyle name="Денежный 2 3 4 3" xfId="28560" xr:uid="{00000000-0005-0000-0000-00008F6F0000}"/>
    <cellStyle name="Денежный 2 3 4 3 2" xfId="28561" xr:uid="{00000000-0005-0000-0000-0000906F0000}"/>
    <cellStyle name="Денежный 2 3 4 3 2 2" xfId="28562" xr:uid="{00000000-0005-0000-0000-0000916F0000}"/>
    <cellStyle name="Денежный 2 3 4 3 2 2 2" xfId="28563" xr:uid="{00000000-0005-0000-0000-0000926F0000}"/>
    <cellStyle name="Денежный 2 3 4 3 2 3" xfId="28564" xr:uid="{00000000-0005-0000-0000-0000936F0000}"/>
    <cellStyle name="Денежный 2 3 4 3 3" xfId="28565" xr:uid="{00000000-0005-0000-0000-0000946F0000}"/>
    <cellStyle name="Денежный 2 3 4 3 3 2" xfId="28566" xr:uid="{00000000-0005-0000-0000-0000956F0000}"/>
    <cellStyle name="Денежный 2 3 4 3 4" xfId="28567" xr:uid="{00000000-0005-0000-0000-0000966F0000}"/>
    <cellStyle name="Денежный 2 3 4 3 4 2" xfId="28568" xr:uid="{00000000-0005-0000-0000-0000976F0000}"/>
    <cellStyle name="Денежный 2 3 4 3 5" xfId="28569" xr:uid="{00000000-0005-0000-0000-0000986F0000}"/>
    <cellStyle name="Денежный 2 3 4 4" xfId="28570" xr:uid="{00000000-0005-0000-0000-0000996F0000}"/>
    <cellStyle name="Денежный 2 3 4 4 2" xfId="28571" xr:uid="{00000000-0005-0000-0000-00009A6F0000}"/>
    <cellStyle name="Денежный 2 3 4 4 2 2" xfId="28572" xr:uid="{00000000-0005-0000-0000-00009B6F0000}"/>
    <cellStyle name="Денежный 2 3 4 4 2 2 2" xfId="28573" xr:uid="{00000000-0005-0000-0000-00009C6F0000}"/>
    <cellStyle name="Денежный 2 3 4 4 2 3" xfId="28574" xr:uid="{00000000-0005-0000-0000-00009D6F0000}"/>
    <cellStyle name="Денежный 2 3 4 4 3" xfId="28575" xr:uid="{00000000-0005-0000-0000-00009E6F0000}"/>
    <cellStyle name="Денежный 2 3 4 4 3 2" xfId="28576" xr:uid="{00000000-0005-0000-0000-00009F6F0000}"/>
    <cellStyle name="Денежный 2 3 4 4 4" xfId="28577" xr:uid="{00000000-0005-0000-0000-0000A06F0000}"/>
    <cellStyle name="Денежный 2 3 4 4 4 2" xfId="28578" xr:uid="{00000000-0005-0000-0000-0000A16F0000}"/>
    <cellStyle name="Денежный 2 3 4 4 5" xfId="28579" xr:uid="{00000000-0005-0000-0000-0000A26F0000}"/>
    <cellStyle name="Денежный 2 3 4 5" xfId="28580" xr:uid="{00000000-0005-0000-0000-0000A36F0000}"/>
    <cellStyle name="Денежный 2 3 4 5 2" xfId="28581" xr:uid="{00000000-0005-0000-0000-0000A46F0000}"/>
    <cellStyle name="Денежный 2 3 4 5 2 2" xfId="28582" xr:uid="{00000000-0005-0000-0000-0000A56F0000}"/>
    <cellStyle name="Денежный 2 3 4 5 2 2 2" xfId="28583" xr:uid="{00000000-0005-0000-0000-0000A66F0000}"/>
    <cellStyle name="Денежный 2 3 4 5 2 3" xfId="28584" xr:uid="{00000000-0005-0000-0000-0000A76F0000}"/>
    <cellStyle name="Денежный 2 3 4 5 3" xfId="28585" xr:uid="{00000000-0005-0000-0000-0000A86F0000}"/>
    <cellStyle name="Денежный 2 3 4 5 3 2" xfId="28586" xr:uid="{00000000-0005-0000-0000-0000A96F0000}"/>
    <cellStyle name="Денежный 2 3 4 5 4" xfId="28587" xr:uid="{00000000-0005-0000-0000-0000AA6F0000}"/>
    <cellStyle name="Денежный 2 3 4 5 4 2" xfId="28588" xr:uid="{00000000-0005-0000-0000-0000AB6F0000}"/>
    <cellStyle name="Денежный 2 3 4 5 5" xfId="28589" xr:uid="{00000000-0005-0000-0000-0000AC6F0000}"/>
    <cellStyle name="Денежный 2 3 4 6" xfId="28590" xr:uid="{00000000-0005-0000-0000-0000AD6F0000}"/>
    <cellStyle name="Денежный 2 3 4 6 2" xfId="28591" xr:uid="{00000000-0005-0000-0000-0000AE6F0000}"/>
    <cellStyle name="Денежный 2 3 4 6 2 2" xfId="28592" xr:uid="{00000000-0005-0000-0000-0000AF6F0000}"/>
    <cellStyle name="Денежный 2 3 4 6 3" xfId="28593" xr:uid="{00000000-0005-0000-0000-0000B06F0000}"/>
    <cellStyle name="Денежный 2 3 4 7" xfId="28594" xr:uid="{00000000-0005-0000-0000-0000B16F0000}"/>
    <cellStyle name="Денежный 2 3 4 7 2" xfId="28595" xr:uid="{00000000-0005-0000-0000-0000B26F0000}"/>
    <cellStyle name="Денежный 2 3 4 8" xfId="28596" xr:uid="{00000000-0005-0000-0000-0000B36F0000}"/>
    <cellStyle name="Денежный 2 3 4 8 2" xfId="28597" xr:uid="{00000000-0005-0000-0000-0000B46F0000}"/>
    <cellStyle name="Денежный 2 3 4 9" xfId="28598" xr:uid="{00000000-0005-0000-0000-0000B56F0000}"/>
    <cellStyle name="Денежный 2 3 5" xfId="28599" xr:uid="{00000000-0005-0000-0000-0000B66F0000}"/>
    <cellStyle name="Денежный 2 3 5 10" xfId="28600" xr:uid="{00000000-0005-0000-0000-0000B76F0000}"/>
    <cellStyle name="Денежный 2 3 5 2" xfId="28601" xr:uid="{00000000-0005-0000-0000-0000B86F0000}"/>
    <cellStyle name="Денежный 2 3 5 2 2" xfId="28602" xr:uid="{00000000-0005-0000-0000-0000B96F0000}"/>
    <cellStyle name="Денежный 2 3 5 2 2 2" xfId="28603" xr:uid="{00000000-0005-0000-0000-0000BA6F0000}"/>
    <cellStyle name="Денежный 2 3 5 2 2 2 2" xfId="28604" xr:uid="{00000000-0005-0000-0000-0000BB6F0000}"/>
    <cellStyle name="Денежный 2 3 5 2 2 3" xfId="28605" xr:uid="{00000000-0005-0000-0000-0000BC6F0000}"/>
    <cellStyle name="Денежный 2 3 5 2 3" xfId="28606" xr:uid="{00000000-0005-0000-0000-0000BD6F0000}"/>
    <cellStyle name="Денежный 2 3 5 2 3 2" xfId="28607" xr:uid="{00000000-0005-0000-0000-0000BE6F0000}"/>
    <cellStyle name="Денежный 2 3 5 2 4" xfId="28608" xr:uid="{00000000-0005-0000-0000-0000BF6F0000}"/>
    <cellStyle name="Денежный 2 3 5 2 4 2" xfId="28609" xr:uid="{00000000-0005-0000-0000-0000C06F0000}"/>
    <cellStyle name="Денежный 2 3 5 2 5" xfId="28610" xr:uid="{00000000-0005-0000-0000-0000C16F0000}"/>
    <cellStyle name="Денежный 2 3 5 3" xfId="28611" xr:uid="{00000000-0005-0000-0000-0000C26F0000}"/>
    <cellStyle name="Денежный 2 3 5 3 2" xfId="28612" xr:uid="{00000000-0005-0000-0000-0000C36F0000}"/>
    <cellStyle name="Денежный 2 3 5 3 2 2" xfId="28613" xr:uid="{00000000-0005-0000-0000-0000C46F0000}"/>
    <cellStyle name="Денежный 2 3 5 3 2 2 2" xfId="28614" xr:uid="{00000000-0005-0000-0000-0000C56F0000}"/>
    <cellStyle name="Денежный 2 3 5 3 2 3" xfId="28615" xr:uid="{00000000-0005-0000-0000-0000C66F0000}"/>
    <cellStyle name="Денежный 2 3 5 3 3" xfId="28616" xr:uid="{00000000-0005-0000-0000-0000C76F0000}"/>
    <cellStyle name="Денежный 2 3 5 3 3 2" xfId="28617" xr:uid="{00000000-0005-0000-0000-0000C86F0000}"/>
    <cellStyle name="Денежный 2 3 5 3 4" xfId="28618" xr:uid="{00000000-0005-0000-0000-0000C96F0000}"/>
    <cellStyle name="Денежный 2 3 5 3 4 2" xfId="28619" xr:uid="{00000000-0005-0000-0000-0000CA6F0000}"/>
    <cellStyle name="Денежный 2 3 5 3 5" xfId="28620" xr:uid="{00000000-0005-0000-0000-0000CB6F0000}"/>
    <cellStyle name="Денежный 2 3 5 4" xfId="28621" xr:uid="{00000000-0005-0000-0000-0000CC6F0000}"/>
    <cellStyle name="Денежный 2 3 5 4 2" xfId="28622" xr:uid="{00000000-0005-0000-0000-0000CD6F0000}"/>
    <cellStyle name="Денежный 2 3 5 4 2 2" xfId="28623" xr:uid="{00000000-0005-0000-0000-0000CE6F0000}"/>
    <cellStyle name="Денежный 2 3 5 4 2 2 2" xfId="28624" xr:uid="{00000000-0005-0000-0000-0000CF6F0000}"/>
    <cellStyle name="Денежный 2 3 5 4 2 3" xfId="28625" xr:uid="{00000000-0005-0000-0000-0000D06F0000}"/>
    <cellStyle name="Денежный 2 3 5 4 3" xfId="28626" xr:uid="{00000000-0005-0000-0000-0000D16F0000}"/>
    <cellStyle name="Денежный 2 3 5 4 3 2" xfId="28627" xr:uid="{00000000-0005-0000-0000-0000D26F0000}"/>
    <cellStyle name="Денежный 2 3 5 4 4" xfId="28628" xr:uid="{00000000-0005-0000-0000-0000D36F0000}"/>
    <cellStyle name="Денежный 2 3 5 4 4 2" xfId="28629" xr:uid="{00000000-0005-0000-0000-0000D46F0000}"/>
    <cellStyle name="Денежный 2 3 5 4 5" xfId="28630" xr:uid="{00000000-0005-0000-0000-0000D56F0000}"/>
    <cellStyle name="Денежный 2 3 5 5" xfId="28631" xr:uid="{00000000-0005-0000-0000-0000D66F0000}"/>
    <cellStyle name="Денежный 2 3 5 5 2" xfId="28632" xr:uid="{00000000-0005-0000-0000-0000D76F0000}"/>
    <cellStyle name="Денежный 2 3 5 5 2 2" xfId="28633" xr:uid="{00000000-0005-0000-0000-0000D86F0000}"/>
    <cellStyle name="Денежный 2 3 5 5 2 2 2" xfId="28634" xr:uid="{00000000-0005-0000-0000-0000D96F0000}"/>
    <cellStyle name="Денежный 2 3 5 5 2 3" xfId="28635" xr:uid="{00000000-0005-0000-0000-0000DA6F0000}"/>
    <cellStyle name="Денежный 2 3 5 5 3" xfId="28636" xr:uid="{00000000-0005-0000-0000-0000DB6F0000}"/>
    <cellStyle name="Денежный 2 3 5 5 3 2" xfId="28637" xr:uid="{00000000-0005-0000-0000-0000DC6F0000}"/>
    <cellStyle name="Денежный 2 3 5 5 4" xfId="28638" xr:uid="{00000000-0005-0000-0000-0000DD6F0000}"/>
    <cellStyle name="Денежный 2 3 5 5 4 2" xfId="28639" xr:uid="{00000000-0005-0000-0000-0000DE6F0000}"/>
    <cellStyle name="Денежный 2 3 5 5 5" xfId="28640" xr:uid="{00000000-0005-0000-0000-0000DF6F0000}"/>
    <cellStyle name="Денежный 2 3 5 6" xfId="28641" xr:uid="{00000000-0005-0000-0000-0000E06F0000}"/>
    <cellStyle name="Денежный 2 3 5 6 2" xfId="28642" xr:uid="{00000000-0005-0000-0000-0000E16F0000}"/>
    <cellStyle name="Денежный 2 3 5 6 2 2" xfId="28643" xr:uid="{00000000-0005-0000-0000-0000E26F0000}"/>
    <cellStyle name="Денежный 2 3 5 6 3" xfId="28644" xr:uid="{00000000-0005-0000-0000-0000E36F0000}"/>
    <cellStyle name="Денежный 2 3 5 7" xfId="28645" xr:uid="{00000000-0005-0000-0000-0000E46F0000}"/>
    <cellStyle name="Денежный 2 3 5 7 2" xfId="28646" xr:uid="{00000000-0005-0000-0000-0000E56F0000}"/>
    <cellStyle name="Денежный 2 3 5 8" xfId="28647" xr:uid="{00000000-0005-0000-0000-0000E66F0000}"/>
    <cellStyle name="Денежный 2 3 5 8 2" xfId="28648" xr:uid="{00000000-0005-0000-0000-0000E76F0000}"/>
    <cellStyle name="Денежный 2 3 5 9" xfId="28649" xr:uid="{00000000-0005-0000-0000-0000E86F0000}"/>
    <cellStyle name="Денежный 2 3 6" xfId="28650" xr:uid="{00000000-0005-0000-0000-0000E96F0000}"/>
    <cellStyle name="Денежный 2 3 6 10" xfId="28651" xr:uid="{00000000-0005-0000-0000-0000EA6F0000}"/>
    <cellStyle name="Денежный 2 3 6 2" xfId="28652" xr:uid="{00000000-0005-0000-0000-0000EB6F0000}"/>
    <cellStyle name="Денежный 2 3 6 2 2" xfId="28653" xr:uid="{00000000-0005-0000-0000-0000EC6F0000}"/>
    <cellStyle name="Денежный 2 3 6 2 2 2" xfId="28654" xr:uid="{00000000-0005-0000-0000-0000ED6F0000}"/>
    <cellStyle name="Денежный 2 3 6 2 2 2 2" xfId="28655" xr:uid="{00000000-0005-0000-0000-0000EE6F0000}"/>
    <cellStyle name="Денежный 2 3 6 2 2 3" xfId="28656" xr:uid="{00000000-0005-0000-0000-0000EF6F0000}"/>
    <cellStyle name="Денежный 2 3 6 2 3" xfId="28657" xr:uid="{00000000-0005-0000-0000-0000F06F0000}"/>
    <cellStyle name="Денежный 2 3 6 2 3 2" xfId="28658" xr:uid="{00000000-0005-0000-0000-0000F16F0000}"/>
    <cellStyle name="Денежный 2 3 6 2 4" xfId="28659" xr:uid="{00000000-0005-0000-0000-0000F26F0000}"/>
    <cellStyle name="Денежный 2 3 6 2 4 2" xfId="28660" xr:uid="{00000000-0005-0000-0000-0000F36F0000}"/>
    <cellStyle name="Денежный 2 3 6 2 5" xfId="28661" xr:uid="{00000000-0005-0000-0000-0000F46F0000}"/>
    <cellStyle name="Денежный 2 3 6 3" xfId="28662" xr:uid="{00000000-0005-0000-0000-0000F56F0000}"/>
    <cellStyle name="Денежный 2 3 6 3 2" xfId="28663" xr:uid="{00000000-0005-0000-0000-0000F66F0000}"/>
    <cellStyle name="Денежный 2 3 6 3 2 2" xfId="28664" xr:uid="{00000000-0005-0000-0000-0000F76F0000}"/>
    <cellStyle name="Денежный 2 3 6 3 2 2 2" xfId="28665" xr:uid="{00000000-0005-0000-0000-0000F86F0000}"/>
    <cellStyle name="Денежный 2 3 6 3 2 3" xfId="28666" xr:uid="{00000000-0005-0000-0000-0000F96F0000}"/>
    <cellStyle name="Денежный 2 3 6 3 3" xfId="28667" xr:uid="{00000000-0005-0000-0000-0000FA6F0000}"/>
    <cellStyle name="Денежный 2 3 6 3 3 2" xfId="28668" xr:uid="{00000000-0005-0000-0000-0000FB6F0000}"/>
    <cellStyle name="Денежный 2 3 6 3 4" xfId="28669" xr:uid="{00000000-0005-0000-0000-0000FC6F0000}"/>
    <cellStyle name="Денежный 2 3 6 3 4 2" xfId="28670" xr:uid="{00000000-0005-0000-0000-0000FD6F0000}"/>
    <cellStyle name="Денежный 2 3 6 3 5" xfId="28671" xr:uid="{00000000-0005-0000-0000-0000FE6F0000}"/>
    <cellStyle name="Денежный 2 3 6 4" xfId="28672" xr:uid="{00000000-0005-0000-0000-0000FF6F0000}"/>
    <cellStyle name="Денежный 2 3 6 4 2" xfId="28673" xr:uid="{00000000-0005-0000-0000-000000700000}"/>
    <cellStyle name="Денежный 2 3 6 4 2 2" xfId="28674" xr:uid="{00000000-0005-0000-0000-000001700000}"/>
    <cellStyle name="Денежный 2 3 6 4 2 2 2" xfId="28675" xr:uid="{00000000-0005-0000-0000-000002700000}"/>
    <cellStyle name="Денежный 2 3 6 4 2 3" xfId="28676" xr:uid="{00000000-0005-0000-0000-000003700000}"/>
    <cellStyle name="Денежный 2 3 6 4 3" xfId="28677" xr:uid="{00000000-0005-0000-0000-000004700000}"/>
    <cellStyle name="Денежный 2 3 6 4 3 2" xfId="28678" xr:uid="{00000000-0005-0000-0000-000005700000}"/>
    <cellStyle name="Денежный 2 3 6 4 4" xfId="28679" xr:uid="{00000000-0005-0000-0000-000006700000}"/>
    <cellStyle name="Денежный 2 3 6 4 4 2" xfId="28680" xr:uid="{00000000-0005-0000-0000-000007700000}"/>
    <cellStyle name="Денежный 2 3 6 4 5" xfId="28681" xr:uid="{00000000-0005-0000-0000-000008700000}"/>
    <cellStyle name="Денежный 2 3 6 5" xfId="28682" xr:uid="{00000000-0005-0000-0000-000009700000}"/>
    <cellStyle name="Денежный 2 3 6 5 2" xfId="28683" xr:uid="{00000000-0005-0000-0000-00000A700000}"/>
    <cellStyle name="Денежный 2 3 6 5 2 2" xfId="28684" xr:uid="{00000000-0005-0000-0000-00000B700000}"/>
    <cellStyle name="Денежный 2 3 6 5 2 2 2" xfId="28685" xr:uid="{00000000-0005-0000-0000-00000C700000}"/>
    <cellStyle name="Денежный 2 3 6 5 2 3" xfId="28686" xr:uid="{00000000-0005-0000-0000-00000D700000}"/>
    <cellStyle name="Денежный 2 3 6 5 3" xfId="28687" xr:uid="{00000000-0005-0000-0000-00000E700000}"/>
    <cellStyle name="Денежный 2 3 6 5 3 2" xfId="28688" xr:uid="{00000000-0005-0000-0000-00000F700000}"/>
    <cellStyle name="Денежный 2 3 6 5 4" xfId="28689" xr:uid="{00000000-0005-0000-0000-000010700000}"/>
    <cellStyle name="Денежный 2 3 6 5 4 2" xfId="28690" xr:uid="{00000000-0005-0000-0000-000011700000}"/>
    <cellStyle name="Денежный 2 3 6 5 5" xfId="28691" xr:uid="{00000000-0005-0000-0000-000012700000}"/>
    <cellStyle name="Денежный 2 3 6 6" xfId="28692" xr:uid="{00000000-0005-0000-0000-000013700000}"/>
    <cellStyle name="Денежный 2 3 6 6 2" xfId="28693" xr:uid="{00000000-0005-0000-0000-000014700000}"/>
    <cellStyle name="Денежный 2 3 6 6 2 2" xfId="28694" xr:uid="{00000000-0005-0000-0000-000015700000}"/>
    <cellStyle name="Денежный 2 3 6 6 3" xfId="28695" xr:uid="{00000000-0005-0000-0000-000016700000}"/>
    <cellStyle name="Денежный 2 3 6 7" xfId="28696" xr:uid="{00000000-0005-0000-0000-000017700000}"/>
    <cellStyle name="Денежный 2 3 6 7 2" xfId="28697" xr:uid="{00000000-0005-0000-0000-000018700000}"/>
    <cellStyle name="Денежный 2 3 6 8" xfId="28698" xr:uid="{00000000-0005-0000-0000-000019700000}"/>
    <cellStyle name="Денежный 2 3 6 8 2" xfId="28699" xr:uid="{00000000-0005-0000-0000-00001A700000}"/>
    <cellStyle name="Денежный 2 3 6 9" xfId="28700" xr:uid="{00000000-0005-0000-0000-00001B700000}"/>
    <cellStyle name="Денежный 2 3 7" xfId="28701" xr:uid="{00000000-0005-0000-0000-00001C700000}"/>
    <cellStyle name="Денежный 2 3 7 2" xfId="28702" xr:uid="{00000000-0005-0000-0000-00001D700000}"/>
    <cellStyle name="Денежный 2 3 7 2 2" xfId="28703" xr:uid="{00000000-0005-0000-0000-00001E700000}"/>
    <cellStyle name="Денежный 2 3 7 2 2 2" xfId="28704" xr:uid="{00000000-0005-0000-0000-00001F700000}"/>
    <cellStyle name="Денежный 2 3 7 2 3" xfId="28705" xr:uid="{00000000-0005-0000-0000-000020700000}"/>
    <cellStyle name="Денежный 2 3 7 3" xfId="28706" xr:uid="{00000000-0005-0000-0000-000021700000}"/>
    <cellStyle name="Денежный 2 3 7 3 2" xfId="28707" xr:uid="{00000000-0005-0000-0000-000022700000}"/>
    <cellStyle name="Денежный 2 3 7 4" xfId="28708" xr:uid="{00000000-0005-0000-0000-000023700000}"/>
    <cellStyle name="Денежный 2 3 7 4 2" xfId="28709" xr:uid="{00000000-0005-0000-0000-000024700000}"/>
    <cellStyle name="Денежный 2 3 7 5" xfId="28710" xr:uid="{00000000-0005-0000-0000-000025700000}"/>
    <cellStyle name="Денежный 2 3 8" xfId="28711" xr:uid="{00000000-0005-0000-0000-000026700000}"/>
    <cellStyle name="Денежный 2 3 8 2" xfId="28712" xr:uid="{00000000-0005-0000-0000-000027700000}"/>
    <cellStyle name="Денежный 2 3 8 2 2" xfId="28713" xr:uid="{00000000-0005-0000-0000-000028700000}"/>
    <cellStyle name="Денежный 2 3 8 2 2 2" xfId="28714" xr:uid="{00000000-0005-0000-0000-000029700000}"/>
    <cellStyle name="Денежный 2 3 8 2 3" xfId="28715" xr:uid="{00000000-0005-0000-0000-00002A700000}"/>
    <cellStyle name="Денежный 2 3 8 3" xfId="28716" xr:uid="{00000000-0005-0000-0000-00002B700000}"/>
    <cellStyle name="Денежный 2 3 8 3 2" xfId="28717" xr:uid="{00000000-0005-0000-0000-00002C700000}"/>
    <cellStyle name="Денежный 2 3 8 4" xfId="28718" xr:uid="{00000000-0005-0000-0000-00002D700000}"/>
    <cellStyle name="Денежный 2 3 8 4 2" xfId="28719" xr:uid="{00000000-0005-0000-0000-00002E700000}"/>
    <cellStyle name="Денежный 2 3 8 5" xfId="28720" xr:uid="{00000000-0005-0000-0000-00002F700000}"/>
    <cellStyle name="Денежный 2 3 9" xfId="28721" xr:uid="{00000000-0005-0000-0000-000030700000}"/>
    <cellStyle name="Денежный 2 3 9 2" xfId="28722" xr:uid="{00000000-0005-0000-0000-000031700000}"/>
    <cellStyle name="Денежный 2 3 9 2 2" xfId="28723" xr:uid="{00000000-0005-0000-0000-000032700000}"/>
    <cellStyle name="Денежный 2 3 9 2 2 2" xfId="28724" xr:uid="{00000000-0005-0000-0000-000033700000}"/>
    <cellStyle name="Денежный 2 3 9 2 3" xfId="28725" xr:uid="{00000000-0005-0000-0000-000034700000}"/>
    <cellStyle name="Денежный 2 3 9 3" xfId="28726" xr:uid="{00000000-0005-0000-0000-000035700000}"/>
    <cellStyle name="Денежный 2 3 9 3 2" xfId="28727" xr:uid="{00000000-0005-0000-0000-000036700000}"/>
    <cellStyle name="Денежный 2 3 9 4" xfId="28728" xr:uid="{00000000-0005-0000-0000-000037700000}"/>
    <cellStyle name="Денежный 2 3 9 4 2" xfId="28729" xr:uid="{00000000-0005-0000-0000-000038700000}"/>
    <cellStyle name="Денежный 2 3 9 5" xfId="28730" xr:uid="{00000000-0005-0000-0000-000039700000}"/>
    <cellStyle name="Денежный 2 4" xfId="28731" xr:uid="{00000000-0005-0000-0000-00003A700000}"/>
    <cellStyle name="Денежный 2 4 10" xfId="28732" xr:uid="{00000000-0005-0000-0000-00003B700000}"/>
    <cellStyle name="Денежный 2 4 2" xfId="28733" xr:uid="{00000000-0005-0000-0000-00003C700000}"/>
    <cellStyle name="Денежный 2 4 2 2" xfId="28734" xr:uid="{00000000-0005-0000-0000-00003D700000}"/>
    <cellStyle name="Денежный 2 4 2 2 2" xfId="28735" xr:uid="{00000000-0005-0000-0000-00003E700000}"/>
    <cellStyle name="Денежный 2 4 2 2 2 2" xfId="28736" xr:uid="{00000000-0005-0000-0000-00003F700000}"/>
    <cellStyle name="Денежный 2 4 2 2 3" xfId="28737" xr:uid="{00000000-0005-0000-0000-000040700000}"/>
    <cellStyle name="Денежный 2 4 2 3" xfId="28738" xr:uid="{00000000-0005-0000-0000-000041700000}"/>
    <cellStyle name="Денежный 2 4 2 3 2" xfId="28739" xr:uid="{00000000-0005-0000-0000-000042700000}"/>
    <cellStyle name="Денежный 2 4 2 4" xfId="28740" xr:uid="{00000000-0005-0000-0000-000043700000}"/>
    <cellStyle name="Денежный 2 4 2 4 2" xfId="28741" xr:uid="{00000000-0005-0000-0000-000044700000}"/>
    <cellStyle name="Денежный 2 4 2 5" xfId="28742" xr:uid="{00000000-0005-0000-0000-000045700000}"/>
    <cellStyle name="Денежный 2 4 3" xfId="28743" xr:uid="{00000000-0005-0000-0000-000046700000}"/>
    <cellStyle name="Денежный 2 4 3 2" xfId="28744" xr:uid="{00000000-0005-0000-0000-000047700000}"/>
    <cellStyle name="Денежный 2 4 3 2 2" xfId="28745" xr:uid="{00000000-0005-0000-0000-000048700000}"/>
    <cellStyle name="Денежный 2 4 3 2 2 2" xfId="28746" xr:uid="{00000000-0005-0000-0000-000049700000}"/>
    <cellStyle name="Денежный 2 4 3 2 3" xfId="28747" xr:uid="{00000000-0005-0000-0000-00004A700000}"/>
    <cellStyle name="Денежный 2 4 3 3" xfId="28748" xr:uid="{00000000-0005-0000-0000-00004B700000}"/>
    <cellStyle name="Денежный 2 4 3 3 2" xfId="28749" xr:uid="{00000000-0005-0000-0000-00004C700000}"/>
    <cellStyle name="Денежный 2 4 3 4" xfId="28750" xr:uid="{00000000-0005-0000-0000-00004D700000}"/>
    <cellStyle name="Денежный 2 4 3 4 2" xfId="28751" xr:uid="{00000000-0005-0000-0000-00004E700000}"/>
    <cellStyle name="Денежный 2 4 3 5" xfId="28752" xr:uid="{00000000-0005-0000-0000-00004F700000}"/>
    <cellStyle name="Денежный 2 4 4" xfId="28753" xr:uid="{00000000-0005-0000-0000-000050700000}"/>
    <cellStyle name="Денежный 2 4 4 2" xfId="28754" xr:uid="{00000000-0005-0000-0000-000051700000}"/>
    <cellStyle name="Денежный 2 4 4 2 2" xfId="28755" xr:uid="{00000000-0005-0000-0000-000052700000}"/>
    <cellStyle name="Денежный 2 4 4 2 2 2" xfId="28756" xr:uid="{00000000-0005-0000-0000-000053700000}"/>
    <cellStyle name="Денежный 2 4 4 2 3" xfId="28757" xr:uid="{00000000-0005-0000-0000-000054700000}"/>
    <cellStyle name="Денежный 2 4 4 3" xfId="28758" xr:uid="{00000000-0005-0000-0000-000055700000}"/>
    <cellStyle name="Денежный 2 4 4 3 2" xfId="28759" xr:uid="{00000000-0005-0000-0000-000056700000}"/>
    <cellStyle name="Денежный 2 4 4 4" xfId="28760" xr:uid="{00000000-0005-0000-0000-000057700000}"/>
    <cellStyle name="Денежный 2 4 4 4 2" xfId="28761" xr:uid="{00000000-0005-0000-0000-000058700000}"/>
    <cellStyle name="Денежный 2 4 4 5" xfId="28762" xr:uid="{00000000-0005-0000-0000-000059700000}"/>
    <cellStyle name="Денежный 2 4 5" xfId="28763" xr:uid="{00000000-0005-0000-0000-00005A700000}"/>
    <cellStyle name="Денежный 2 4 5 2" xfId="28764" xr:uid="{00000000-0005-0000-0000-00005B700000}"/>
    <cellStyle name="Денежный 2 4 5 2 2" xfId="28765" xr:uid="{00000000-0005-0000-0000-00005C700000}"/>
    <cellStyle name="Денежный 2 4 5 2 2 2" xfId="28766" xr:uid="{00000000-0005-0000-0000-00005D700000}"/>
    <cellStyle name="Денежный 2 4 5 2 3" xfId="28767" xr:uid="{00000000-0005-0000-0000-00005E700000}"/>
    <cellStyle name="Денежный 2 4 5 3" xfId="28768" xr:uid="{00000000-0005-0000-0000-00005F700000}"/>
    <cellStyle name="Денежный 2 4 5 3 2" xfId="28769" xr:uid="{00000000-0005-0000-0000-000060700000}"/>
    <cellStyle name="Денежный 2 4 5 4" xfId="28770" xr:uid="{00000000-0005-0000-0000-000061700000}"/>
    <cellStyle name="Денежный 2 4 5 4 2" xfId="28771" xr:uid="{00000000-0005-0000-0000-000062700000}"/>
    <cellStyle name="Денежный 2 4 5 5" xfId="28772" xr:uid="{00000000-0005-0000-0000-000063700000}"/>
    <cellStyle name="Денежный 2 4 6" xfId="28773" xr:uid="{00000000-0005-0000-0000-000064700000}"/>
    <cellStyle name="Денежный 2 4 6 2" xfId="28774" xr:uid="{00000000-0005-0000-0000-000065700000}"/>
    <cellStyle name="Денежный 2 4 6 2 2" xfId="28775" xr:uid="{00000000-0005-0000-0000-000066700000}"/>
    <cellStyle name="Денежный 2 4 6 3" xfId="28776" xr:uid="{00000000-0005-0000-0000-000067700000}"/>
    <cellStyle name="Денежный 2 4 7" xfId="28777" xr:uid="{00000000-0005-0000-0000-000068700000}"/>
    <cellStyle name="Денежный 2 4 7 2" xfId="28778" xr:uid="{00000000-0005-0000-0000-000069700000}"/>
    <cellStyle name="Денежный 2 4 8" xfId="28779" xr:uid="{00000000-0005-0000-0000-00006A700000}"/>
    <cellStyle name="Денежный 2 4 8 2" xfId="28780" xr:uid="{00000000-0005-0000-0000-00006B700000}"/>
    <cellStyle name="Денежный 2 4 9" xfId="28781" xr:uid="{00000000-0005-0000-0000-00006C700000}"/>
    <cellStyle name="Денежный 2 5" xfId="28782" xr:uid="{00000000-0005-0000-0000-00006D700000}"/>
    <cellStyle name="Денежный 2 5 10" xfId="28783" xr:uid="{00000000-0005-0000-0000-00006E700000}"/>
    <cellStyle name="Денежный 2 5 2" xfId="28784" xr:uid="{00000000-0005-0000-0000-00006F700000}"/>
    <cellStyle name="Денежный 2 5 2 2" xfId="28785" xr:uid="{00000000-0005-0000-0000-000070700000}"/>
    <cellStyle name="Денежный 2 5 2 2 2" xfId="28786" xr:uid="{00000000-0005-0000-0000-000071700000}"/>
    <cellStyle name="Денежный 2 5 2 2 2 2" xfId="28787" xr:uid="{00000000-0005-0000-0000-000072700000}"/>
    <cellStyle name="Денежный 2 5 2 2 3" xfId="28788" xr:uid="{00000000-0005-0000-0000-000073700000}"/>
    <cellStyle name="Денежный 2 5 2 3" xfId="28789" xr:uid="{00000000-0005-0000-0000-000074700000}"/>
    <cellStyle name="Денежный 2 5 2 3 2" xfId="28790" xr:uid="{00000000-0005-0000-0000-000075700000}"/>
    <cellStyle name="Денежный 2 5 2 4" xfId="28791" xr:uid="{00000000-0005-0000-0000-000076700000}"/>
    <cellStyle name="Денежный 2 5 2 4 2" xfId="28792" xr:uid="{00000000-0005-0000-0000-000077700000}"/>
    <cellStyle name="Денежный 2 5 2 5" xfId="28793" xr:uid="{00000000-0005-0000-0000-000078700000}"/>
    <cellStyle name="Денежный 2 5 3" xfId="28794" xr:uid="{00000000-0005-0000-0000-000079700000}"/>
    <cellStyle name="Денежный 2 5 3 2" xfId="28795" xr:uid="{00000000-0005-0000-0000-00007A700000}"/>
    <cellStyle name="Денежный 2 5 3 2 2" xfId="28796" xr:uid="{00000000-0005-0000-0000-00007B700000}"/>
    <cellStyle name="Денежный 2 5 3 2 2 2" xfId="28797" xr:uid="{00000000-0005-0000-0000-00007C700000}"/>
    <cellStyle name="Денежный 2 5 3 2 3" xfId="28798" xr:uid="{00000000-0005-0000-0000-00007D700000}"/>
    <cellStyle name="Денежный 2 5 3 3" xfId="28799" xr:uid="{00000000-0005-0000-0000-00007E700000}"/>
    <cellStyle name="Денежный 2 5 3 3 2" xfId="28800" xr:uid="{00000000-0005-0000-0000-00007F700000}"/>
    <cellStyle name="Денежный 2 5 3 4" xfId="28801" xr:uid="{00000000-0005-0000-0000-000080700000}"/>
    <cellStyle name="Денежный 2 5 3 4 2" xfId="28802" xr:uid="{00000000-0005-0000-0000-000081700000}"/>
    <cellStyle name="Денежный 2 5 3 5" xfId="28803" xr:uid="{00000000-0005-0000-0000-000082700000}"/>
    <cellStyle name="Денежный 2 5 4" xfId="28804" xr:uid="{00000000-0005-0000-0000-000083700000}"/>
    <cellStyle name="Денежный 2 5 4 2" xfId="28805" xr:uid="{00000000-0005-0000-0000-000084700000}"/>
    <cellStyle name="Денежный 2 5 4 2 2" xfId="28806" xr:uid="{00000000-0005-0000-0000-000085700000}"/>
    <cellStyle name="Денежный 2 5 4 2 2 2" xfId="28807" xr:uid="{00000000-0005-0000-0000-000086700000}"/>
    <cellStyle name="Денежный 2 5 4 2 3" xfId="28808" xr:uid="{00000000-0005-0000-0000-000087700000}"/>
    <cellStyle name="Денежный 2 5 4 3" xfId="28809" xr:uid="{00000000-0005-0000-0000-000088700000}"/>
    <cellStyle name="Денежный 2 5 4 3 2" xfId="28810" xr:uid="{00000000-0005-0000-0000-000089700000}"/>
    <cellStyle name="Денежный 2 5 4 4" xfId="28811" xr:uid="{00000000-0005-0000-0000-00008A700000}"/>
    <cellStyle name="Денежный 2 5 4 4 2" xfId="28812" xr:uid="{00000000-0005-0000-0000-00008B700000}"/>
    <cellStyle name="Денежный 2 5 4 5" xfId="28813" xr:uid="{00000000-0005-0000-0000-00008C700000}"/>
    <cellStyle name="Денежный 2 5 5" xfId="28814" xr:uid="{00000000-0005-0000-0000-00008D700000}"/>
    <cellStyle name="Денежный 2 5 5 2" xfId="28815" xr:uid="{00000000-0005-0000-0000-00008E700000}"/>
    <cellStyle name="Денежный 2 5 5 2 2" xfId="28816" xr:uid="{00000000-0005-0000-0000-00008F700000}"/>
    <cellStyle name="Денежный 2 5 5 2 2 2" xfId="28817" xr:uid="{00000000-0005-0000-0000-000090700000}"/>
    <cellStyle name="Денежный 2 5 5 2 3" xfId="28818" xr:uid="{00000000-0005-0000-0000-000091700000}"/>
    <cellStyle name="Денежный 2 5 5 3" xfId="28819" xr:uid="{00000000-0005-0000-0000-000092700000}"/>
    <cellStyle name="Денежный 2 5 5 3 2" xfId="28820" xr:uid="{00000000-0005-0000-0000-000093700000}"/>
    <cellStyle name="Денежный 2 5 5 4" xfId="28821" xr:uid="{00000000-0005-0000-0000-000094700000}"/>
    <cellStyle name="Денежный 2 5 5 4 2" xfId="28822" xr:uid="{00000000-0005-0000-0000-000095700000}"/>
    <cellStyle name="Денежный 2 5 5 5" xfId="28823" xr:uid="{00000000-0005-0000-0000-000096700000}"/>
    <cellStyle name="Денежный 2 5 6" xfId="28824" xr:uid="{00000000-0005-0000-0000-000097700000}"/>
    <cellStyle name="Денежный 2 5 6 2" xfId="28825" xr:uid="{00000000-0005-0000-0000-000098700000}"/>
    <cellStyle name="Денежный 2 5 6 2 2" xfId="28826" xr:uid="{00000000-0005-0000-0000-000099700000}"/>
    <cellStyle name="Денежный 2 5 6 3" xfId="28827" xr:uid="{00000000-0005-0000-0000-00009A700000}"/>
    <cellStyle name="Денежный 2 5 7" xfId="28828" xr:uid="{00000000-0005-0000-0000-00009B700000}"/>
    <cellStyle name="Денежный 2 5 7 2" xfId="28829" xr:uid="{00000000-0005-0000-0000-00009C700000}"/>
    <cellStyle name="Денежный 2 5 8" xfId="28830" xr:uid="{00000000-0005-0000-0000-00009D700000}"/>
    <cellStyle name="Денежный 2 5 8 2" xfId="28831" xr:uid="{00000000-0005-0000-0000-00009E700000}"/>
    <cellStyle name="Денежный 2 5 9" xfId="28832" xr:uid="{00000000-0005-0000-0000-00009F700000}"/>
    <cellStyle name="Денежный 2 6" xfId="28833" xr:uid="{00000000-0005-0000-0000-0000A0700000}"/>
    <cellStyle name="Денежный 2 6 10" xfId="28834" xr:uid="{00000000-0005-0000-0000-0000A1700000}"/>
    <cellStyle name="Денежный 2 6 2" xfId="28835" xr:uid="{00000000-0005-0000-0000-0000A2700000}"/>
    <cellStyle name="Денежный 2 6 2 2" xfId="28836" xr:uid="{00000000-0005-0000-0000-0000A3700000}"/>
    <cellStyle name="Денежный 2 6 2 2 2" xfId="28837" xr:uid="{00000000-0005-0000-0000-0000A4700000}"/>
    <cellStyle name="Денежный 2 6 2 2 2 2" xfId="28838" xr:uid="{00000000-0005-0000-0000-0000A5700000}"/>
    <cellStyle name="Денежный 2 6 2 2 3" xfId="28839" xr:uid="{00000000-0005-0000-0000-0000A6700000}"/>
    <cellStyle name="Денежный 2 6 2 3" xfId="28840" xr:uid="{00000000-0005-0000-0000-0000A7700000}"/>
    <cellStyle name="Денежный 2 6 2 3 2" xfId="28841" xr:uid="{00000000-0005-0000-0000-0000A8700000}"/>
    <cellStyle name="Денежный 2 6 2 4" xfId="28842" xr:uid="{00000000-0005-0000-0000-0000A9700000}"/>
    <cellStyle name="Денежный 2 6 2 4 2" xfId="28843" xr:uid="{00000000-0005-0000-0000-0000AA700000}"/>
    <cellStyle name="Денежный 2 6 2 5" xfId="28844" xr:uid="{00000000-0005-0000-0000-0000AB700000}"/>
    <cellStyle name="Денежный 2 6 3" xfId="28845" xr:uid="{00000000-0005-0000-0000-0000AC700000}"/>
    <cellStyle name="Денежный 2 6 3 2" xfId="28846" xr:uid="{00000000-0005-0000-0000-0000AD700000}"/>
    <cellStyle name="Денежный 2 6 3 2 2" xfId="28847" xr:uid="{00000000-0005-0000-0000-0000AE700000}"/>
    <cellStyle name="Денежный 2 6 3 2 2 2" xfId="28848" xr:uid="{00000000-0005-0000-0000-0000AF700000}"/>
    <cellStyle name="Денежный 2 6 3 2 3" xfId="28849" xr:uid="{00000000-0005-0000-0000-0000B0700000}"/>
    <cellStyle name="Денежный 2 6 3 3" xfId="28850" xr:uid="{00000000-0005-0000-0000-0000B1700000}"/>
    <cellStyle name="Денежный 2 6 3 3 2" xfId="28851" xr:uid="{00000000-0005-0000-0000-0000B2700000}"/>
    <cellStyle name="Денежный 2 6 3 4" xfId="28852" xr:uid="{00000000-0005-0000-0000-0000B3700000}"/>
    <cellStyle name="Денежный 2 6 3 4 2" xfId="28853" xr:uid="{00000000-0005-0000-0000-0000B4700000}"/>
    <cellStyle name="Денежный 2 6 3 5" xfId="28854" xr:uid="{00000000-0005-0000-0000-0000B5700000}"/>
    <cellStyle name="Денежный 2 6 4" xfId="28855" xr:uid="{00000000-0005-0000-0000-0000B6700000}"/>
    <cellStyle name="Денежный 2 6 4 2" xfId="28856" xr:uid="{00000000-0005-0000-0000-0000B7700000}"/>
    <cellStyle name="Денежный 2 6 4 2 2" xfId="28857" xr:uid="{00000000-0005-0000-0000-0000B8700000}"/>
    <cellStyle name="Денежный 2 6 4 2 2 2" xfId="28858" xr:uid="{00000000-0005-0000-0000-0000B9700000}"/>
    <cellStyle name="Денежный 2 6 4 2 3" xfId="28859" xr:uid="{00000000-0005-0000-0000-0000BA700000}"/>
    <cellStyle name="Денежный 2 6 4 3" xfId="28860" xr:uid="{00000000-0005-0000-0000-0000BB700000}"/>
    <cellStyle name="Денежный 2 6 4 3 2" xfId="28861" xr:uid="{00000000-0005-0000-0000-0000BC700000}"/>
    <cellStyle name="Денежный 2 6 4 4" xfId="28862" xr:uid="{00000000-0005-0000-0000-0000BD700000}"/>
    <cellStyle name="Денежный 2 6 4 4 2" xfId="28863" xr:uid="{00000000-0005-0000-0000-0000BE700000}"/>
    <cellStyle name="Денежный 2 6 4 5" xfId="28864" xr:uid="{00000000-0005-0000-0000-0000BF700000}"/>
    <cellStyle name="Денежный 2 6 5" xfId="28865" xr:uid="{00000000-0005-0000-0000-0000C0700000}"/>
    <cellStyle name="Денежный 2 6 5 2" xfId="28866" xr:uid="{00000000-0005-0000-0000-0000C1700000}"/>
    <cellStyle name="Денежный 2 6 5 2 2" xfId="28867" xr:uid="{00000000-0005-0000-0000-0000C2700000}"/>
    <cellStyle name="Денежный 2 6 5 2 2 2" xfId="28868" xr:uid="{00000000-0005-0000-0000-0000C3700000}"/>
    <cellStyle name="Денежный 2 6 5 2 3" xfId="28869" xr:uid="{00000000-0005-0000-0000-0000C4700000}"/>
    <cellStyle name="Денежный 2 6 5 3" xfId="28870" xr:uid="{00000000-0005-0000-0000-0000C5700000}"/>
    <cellStyle name="Денежный 2 6 5 3 2" xfId="28871" xr:uid="{00000000-0005-0000-0000-0000C6700000}"/>
    <cellStyle name="Денежный 2 6 5 4" xfId="28872" xr:uid="{00000000-0005-0000-0000-0000C7700000}"/>
    <cellStyle name="Денежный 2 6 5 4 2" xfId="28873" xr:uid="{00000000-0005-0000-0000-0000C8700000}"/>
    <cellStyle name="Денежный 2 6 5 5" xfId="28874" xr:uid="{00000000-0005-0000-0000-0000C9700000}"/>
    <cellStyle name="Денежный 2 6 6" xfId="28875" xr:uid="{00000000-0005-0000-0000-0000CA700000}"/>
    <cellStyle name="Денежный 2 6 6 2" xfId="28876" xr:uid="{00000000-0005-0000-0000-0000CB700000}"/>
    <cellStyle name="Денежный 2 6 6 2 2" xfId="28877" xr:uid="{00000000-0005-0000-0000-0000CC700000}"/>
    <cellStyle name="Денежный 2 6 6 3" xfId="28878" xr:uid="{00000000-0005-0000-0000-0000CD700000}"/>
    <cellStyle name="Денежный 2 6 7" xfId="28879" xr:uid="{00000000-0005-0000-0000-0000CE700000}"/>
    <cellStyle name="Денежный 2 6 7 2" xfId="28880" xr:uid="{00000000-0005-0000-0000-0000CF700000}"/>
    <cellStyle name="Денежный 2 6 8" xfId="28881" xr:uid="{00000000-0005-0000-0000-0000D0700000}"/>
    <cellStyle name="Денежный 2 6 8 2" xfId="28882" xr:uid="{00000000-0005-0000-0000-0000D1700000}"/>
    <cellStyle name="Денежный 2 6 9" xfId="28883" xr:uid="{00000000-0005-0000-0000-0000D2700000}"/>
    <cellStyle name="Денежный 2 7" xfId="28884" xr:uid="{00000000-0005-0000-0000-0000D3700000}"/>
    <cellStyle name="Денежный 2 7 10" xfId="28885" xr:uid="{00000000-0005-0000-0000-0000D4700000}"/>
    <cellStyle name="Денежный 2 7 2" xfId="28886" xr:uid="{00000000-0005-0000-0000-0000D5700000}"/>
    <cellStyle name="Денежный 2 7 2 2" xfId="28887" xr:uid="{00000000-0005-0000-0000-0000D6700000}"/>
    <cellStyle name="Денежный 2 7 2 2 2" xfId="28888" xr:uid="{00000000-0005-0000-0000-0000D7700000}"/>
    <cellStyle name="Денежный 2 7 2 2 2 2" xfId="28889" xr:uid="{00000000-0005-0000-0000-0000D8700000}"/>
    <cellStyle name="Денежный 2 7 2 2 3" xfId="28890" xr:uid="{00000000-0005-0000-0000-0000D9700000}"/>
    <cellStyle name="Денежный 2 7 2 3" xfId="28891" xr:uid="{00000000-0005-0000-0000-0000DA700000}"/>
    <cellStyle name="Денежный 2 7 2 3 2" xfId="28892" xr:uid="{00000000-0005-0000-0000-0000DB700000}"/>
    <cellStyle name="Денежный 2 7 2 4" xfId="28893" xr:uid="{00000000-0005-0000-0000-0000DC700000}"/>
    <cellStyle name="Денежный 2 7 2 4 2" xfId="28894" xr:uid="{00000000-0005-0000-0000-0000DD700000}"/>
    <cellStyle name="Денежный 2 7 2 5" xfId="28895" xr:uid="{00000000-0005-0000-0000-0000DE700000}"/>
    <cellStyle name="Денежный 2 7 3" xfId="28896" xr:uid="{00000000-0005-0000-0000-0000DF700000}"/>
    <cellStyle name="Денежный 2 7 3 2" xfId="28897" xr:uid="{00000000-0005-0000-0000-0000E0700000}"/>
    <cellStyle name="Денежный 2 7 3 2 2" xfId="28898" xr:uid="{00000000-0005-0000-0000-0000E1700000}"/>
    <cellStyle name="Денежный 2 7 3 2 2 2" xfId="28899" xr:uid="{00000000-0005-0000-0000-0000E2700000}"/>
    <cellStyle name="Денежный 2 7 3 2 3" xfId="28900" xr:uid="{00000000-0005-0000-0000-0000E3700000}"/>
    <cellStyle name="Денежный 2 7 3 3" xfId="28901" xr:uid="{00000000-0005-0000-0000-0000E4700000}"/>
    <cellStyle name="Денежный 2 7 3 3 2" xfId="28902" xr:uid="{00000000-0005-0000-0000-0000E5700000}"/>
    <cellStyle name="Денежный 2 7 3 4" xfId="28903" xr:uid="{00000000-0005-0000-0000-0000E6700000}"/>
    <cellStyle name="Денежный 2 7 3 4 2" xfId="28904" xr:uid="{00000000-0005-0000-0000-0000E7700000}"/>
    <cellStyle name="Денежный 2 7 3 5" xfId="28905" xr:uid="{00000000-0005-0000-0000-0000E8700000}"/>
    <cellStyle name="Денежный 2 7 4" xfId="28906" xr:uid="{00000000-0005-0000-0000-0000E9700000}"/>
    <cellStyle name="Денежный 2 7 4 2" xfId="28907" xr:uid="{00000000-0005-0000-0000-0000EA700000}"/>
    <cellStyle name="Денежный 2 7 4 2 2" xfId="28908" xr:uid="{00000000-0005-0000-0000-0000EB700000}"/>
    <cellStyle name="Денежный 2 7 4 2 2 2" xfId="28909" xr:uid="{00000000-0005-0000-0000-0000EC700000}"/>
    <cellStyle name="Денежный 2 7 4 2 3" xfId="28910" xr:uid="{00000000-0005-0000-0000-0000ED700000}"/>
    <cellStyle name="Денежный 2 7 4 3" xfId="28911" xr:uid="{00000000-0005-0000-0000-0000EE700000}"/>
    <cellStyle name="Денежный 2 7 4 3 2" xfId="28912" xr:uid="{00000000-0005-0000-0000-0000EF700000}"/>
    <cellStyle name="Денежный 2 7 4 4" xfId="28913" xr:uid="{00000000-0005-0000-0000-0000F0700000}"/>
    <cellStyle name="Денежный 2 7 4 4 2" xfId="28914" xr:uid="{00000000-0005-0000-0000-0000F1700000}"/>
    <cellStyle name="Денежный 2 7 4 5" xfId="28915" xr:uid="{00000000-0005-0000-0000-0000F2700000}"/>
    <cellStyle name="Денежный 2 7 5" xfId="28916" xr:uid="{00000000-0005-0000-0000-0000F3700000}"/>
    <cellStyle name="Денежный 2 7 5 2" xfId="28917" xr:uid="{00000000-0005-0000-0000-0000F4700000}"/>
    <cellStyle name="Денежный 2 7 5 2 2" xfId="28918" xr:uid="{00000000-0005-0000-0000-0000F5700000}"/>
    <cellStyle name="Денежный 2 7 5 2 2 2" xfId="28919" xr:uid="{00000000-0005-0000-0000-0000F6700000}"/>
    <cellStyle name="Денежный 2 7 5 2 3" xfId="28920" xr:uid="{00000000-0005-0000-0000-0000F7700000}"/>
    <cellStyle name="Денежный 2 7 5 3" xfId="28921" xr:uid="{00000000-0005-0000-0000-0000F8700000}"/>
    <cellStyle name="Денежный 2 7 5 3 2" xfId="28922" xr:uid="{00000000-0005-0000-0000-0000F9700000}"/>
    <cellStyle name="Денежный 2 7 5 4" xfId="28923" xr:uid="{00000000-0005-0000-0000-0000FA700000}"/>
    <cellStyle name="Денежный 2 7 5 4 2" xfId="28924" xr:uid="{00000000-0005-0000-0000-0000FB700000}"/>
    <cellStyle name="Денежный 2 7 5 5" xfId="28925" xr:uid="{00000000-0005-0000-0000-0000FC700000}"/>
    <cellStyle name="Денежный 2 7 6" xfId="28926" xr:uid="{00000000-0005-0000-0000-0000FD700000}"/>
    <cellStyle name="Денежный 2 7 6 2" xfId="28927" xr:uid="{00000000-0005-0000-0000-0000FE700000}"/>
    <cellStyle name="Денежный 2 7 6 2 2" xfId="28928" xr:uid="{00000000-0005-0000-0000-0000FF700000}"/>
    <cellStyle name="Денежный 2 7 6 3" xfId="28929" xr:uid="{00000000-0005-0000-0000-000000710000}"/>
    <cellStyle name="Денежный 2 7 7" xfId="28930" xr:uid="{00000000-0005-0000-0000-000001710000}"/>
    <cellStyle name="Денежный 2 7 7 2" xfId="28931" xr:uid="{00000000-0005-0000-0000-000002710000}"/>
    <cellStyle name="Денежный 2 7 8" xfId="28932" xr:uid="{00000000-0005-0000-0000-000003710000}"/>
    <cellStyle name="Денежный 2 7 8 2" xfId="28933" xr:uid="{00000000-0005-0000-0000-000004710000}"/>
    <cellStyle name="Денежный 2 7 9" xfId="28934" xr:uid="{00000000-0005-0000-0000-000005710000}"/>
    <cellStyle name="Денежный 2 8" xfId="28935" xr:uid="{00000000-0005-0000-0000-000006710000}"/>
    <cellStyle name="Денежный 2 8 10" xfId="28936" xr:uid="{00000000-0005-0000-0000-000007710000}"/>
    <cellStyle name="Денежный 2 8 2" xfId="28937" xr:uid="{00000000-0005-0000-0000-000008710000}"/>
    <cellStyle name="Денежный 2 8 2 2" xfId="28938" xr:uid="{00000000-0005-0000-0000-000009710000}"/>
    <cellStyle name="Денежный 2 8 2 2 2" xfId="28939" xr:uid="{00000000-0005-0000-0000-00000A710000}"/>
    <cellStyle name="Денежный 2 8 2 2 2 2" xfId="28940" xr:uid="{00000000-0005-0000-0000-00000B710000}"/>
    <cellStyle name="Денежный 2 8 2 2 3" xfId="28941" xr:uid="{00000000-0005-0000-0000-00000C710000}"/>
    <cellStyle name="Денежный 2 8 2 3" xfId="28942" xr:uid="{00000000-0005-0000-0000-00000D710000}"/>
    <cellStyle name="Денежный 2 8 2 3 2" xfId="28943" xr:uid="{00000000-0005-0000-0000-00000E710000}"/>
    <cellStyle name="Денежный 2 8 2 4" xfId="28944" xr:uid="{00000000-0005-0000-0000-00000F710000}"/>
    <cellStyle name="Денежный 2 8 2 4 2" xfId="28945" xr:uid="{00000000-0005-0000-0000-000010710000}"/>
    <cellStyle name="Денежный 2 8 2 5" xfId="28946" xr:uid="{00000000-0005-0000-0000-000011710000}"/>
    <cellStyle name="Денежный 2 8 3" xfId="28947" xr:uid="{00000000-0005-0000-0000-000012710000}"/>
    <cellStyle name="Денежный 2 8 3 2" xfId="28948" xr:uid="{00000000-0005-0000-0000-000013710000}"/>
    <cellStyle name="Денежный 2 8 3 2 2" xfId="28949" xr:uid="{00000000-0005-0000-0000-000014710000}"/>
    <cellStyle name="Денежный 2 8 3 2 2 2" xfId="28950" xr:uid="{00000000-0005-0000-0000-000015710000}"/>
    <cellStyle name="Денежный 2 8 3 2 3" xfId="28951" xr:uid="{00000000-0005-0000-0000-000016710000}"/>
    <cellStyle name="Денежный 2 8 3 3" xfId="28952" xr:uid="{00000000-0005-0000-0000-000017710000}"/>
    <cellStyle name="Денежный 2 8 3 3 2" xfId="28953" xr:uid="{00000000-0005-0000-0000-000018710000}"/>
    <cellStyle name="Денежный 2 8 3 4" xfId="28954" xr:uid="{00000000-0005-0000-0000-000019710000}"/>
    <cellStyle name="Денежный 2 8 3 4 2" xfId="28955" xr:uid="{00000000-0005-0000-0000-00001A710000}"/>
    <cellStyle name="Денежный 2 8 3 5" xfId="28956" xr:uid="{00000000-0005-0000-0000-00001B710000}"/>
    <cellStyle name="Денежный 2 8 4" xfId="28957" xr:uid="{00000000-0005-0000-0000-00001C710000}"/>
    <cellStyle name="Денежный 2 8 4 2" xfId="28958" xr:uid="{00000000-0005-0000-0000-00001D710000}"/>
    <cellStyle name="Денежный 2 8 4 2 2" xfId="28959" xr:uid="{00000000-0005-0000-0000-00001E710000}"/>
    <cellStyle name="Денежный 2 8 4 2 2 2" xfId="28960" xr:uid="{00000000-0005-0000-0000-00001F710000}"/>
    <cellStyle name="Денежный 2 8 4 2 3" xfId="28961" xr:uid="{00000000-0005-0000-0000-000020710000}"/>
    <cellStyle name="Денежный 2 8 4 3" xfId="28962" xr:uid="{00000000-0005-0000-0000-000021710000}"/>
    <cellStyle name="Денежный 2 8 4 3 2" xfId="28963" xr:uid="{00000000-0005-0000-0000-000022710000}"/>
    <cellStyle name="Денежный 2 8 4 4" xfId="28964" xr:uid="{00000000-0005-0000-0000-000023710000}"/>
    <cellStyle name="Денежный 2 8 4 4 2" xfId="28965" xr:uid="{00000000-0005-0000-0000-000024710000}"/>
    <cellStyle name="Денежный 2 8 4 5" xfId="28966" xr:uid="{00000000-0005-0000-0000-000025710000}"/>
    <cellStyle name="Денежный 2 8 5" xfId="28967" xr:uid="{00000000-0005-0000-0000-000026710000}"/>
    <cellStyle name="Денежный 2 8 5 2" xfId="28968" xr:uid="{00000000-0005-0000-0000-000027710000}"/>
    <cellStyle name="Денежный 2 8 5 2 2" xfId="28969" xr:uid="{00000000-0005-0000-0000-000028710000}"/>
    <cellStyle name="Денежный 2 8 5 2 2 2" xfId="28970" xr:uid="{00000000-0005-0000-0000-000029710000}"/>
    <cellStyle name="Денежный 2 8 5 2 3" xfId="28971" xr:uid="{00000000-0005-0000-0000-00002A710000}"/>
    <cellStyle name="Денежный 2 8 5 3" xfId="28972" xr:uid="{00000000-0005-0000-0000-00002B710000}"/>
    <cellStyle name="Денежный 2 8 5 3 2" xfId="28973" xr:uid="{00000000-0005-0000-0000-00002C710000}"/>
    <cellStyle name="Денежный 2 8 5 4" xfId="28974" xr:uid="{00000000-0005-0000-0000-00002D710000}"/>
    <cellStyle name="Денежный 2 8 5 4 2" xfId="28975" xr:uid="{00000000-0005-0000-0000-00002E710000}"/>
    <cellStyle name="Денежный 2 8 5 5" xfId="28976" xr:uid="{00000000-0005-0000-0000-00002F710000}"/>
    <cellStyle name="Денежный 2 8 6" xfId="28977" xr:uid="{00000000-0005-0000-0000-000030710000}"/>
    <cellStyle name="Денежный 2 8 6 2" xfId="28978" xr:uid="{00000000-0005-0000-0000-000031710000}"/>
    <cellStyle name="Денежный 2 8 6 2 2" xfId="28979" xr:uid="{00000000-0005-0000-0000-000032710000}"/>
    <cellStyle name="Денежный 2 8 6 3" xfId="28980" xr:uid="{00000000-0005-0000-0000-000033710000}"/>
    <cellStyle name="Денежный 2 8 7" xfId="28981" xr:uid="{00000000-0005-0000-0000-000034710000}"/>
    <cellStyle name="Денежный 2 8 7 2" xfId="28982" xr:uid="{00000000-0005-0000-0000-000035710000}"/>
    <cellStyle name="Денежный 2 8 8" xfId="28983" xr:uid="{00000000-0005-0000-0000-000036710000}"/>
    <cellStyle name="Денежный 2 8 8 2" xfId="28984" xr:uid="{00000000-0005-0000-0000-000037710000}"/>
    <cellStyle name="Денежный 2 8 9" xfId="28985" xr:uid="{00000000-0005-0000-0000-000038710000}"/>
    <cellStyle name="Денежный 2 9" xfId="28986" xr:uid="{00000000-0005-0000-0000-000039710000}"/>
    <cellStyle name="Денежный 2 9 2" xfId="28987" xr:uid="{00000000-0005-0000-0000-00003A710000}"/>
    <cellStyle name="Денежный 2 9 2 2" xfId="28988" xr:uid="{00000000-0005-0000-0000-00003B710000}"/>
    <cellStyle name="Денежный 2 9 2 2 2" xfId="28989" xr:uid="{00000000-0005-0000-0000-00003C710000}"/>
    <cellStyle name="Денежный 2 9 2 2 2 2" xfId="28990" xr:uid="{00000000-0005-0000-0000-00003D710000}"/>
    <cellStyle name="Денежный 2 9 2 2 3" xfId="28991" xr:uid="{00000000-0005-0000-0000-00003E710000}"/>
    <cellStyle name="Денежный 2 9 2 3" xfId="28992" xr:uid="{00000000-0005-0000-0000-00003F710000}"/>
    <cellStyle name="Денежный 2 9 2 3 2" xfId="28993" xr:uid="{00000000-0005-0000-0000-000040710000}"/>
    <cellStyle name="Денежный 2 9 2 4" xfId="28994" xr:uid="{00000000-0005-0000-0000-000041710000}"/>
    <cellStyle name="Денежный 2 9 2 4 2" xfId="28995" xr:uid="{00000000-0005-0000-0000-000042710000}"/>
    <cellStyle name="Денежный 2 9 2 5" xfId="28996" xr:uid="{00000000-0005-0000-0000-000043710000}"/>
    <cellStyle name="Денежный 2 9 3" xfId="28997" xr:uid="{00000000-0005-0000-0000-000044710000}"/>
    <cellStyle name="Денежный 2 9 3 2" xfId="28998" xr:uid="{00000000-0005-0000-0000-000045710000}"/>
    <cellStyle name="Денежный 2 9 3 2 2" xfId="28999" xr:uid="{00000000-0005-0000-0000-000046710000}"/>
    <cellStyle name="Денежный 2 9 3 2 2 2" xfId="29000" xr:uid="{00000000-0005-0000-0000-000047710000}"/>
    <cellStyle name="Денежный 2 9 3 2 3" xfId="29001" xr:uid="{00000000-0005-0000-0000-000048710000}"/>
    <cellStyle name="Денежный 2 9 3 3" xfId="29002" xr:uid="{00000000-0005-0000-0000-000049710000}"/>
    <cellStyle name="Денежный 2 9 3 3 2" xfId="29003" xr:uid="{00000000-0005-0000-0000-00004A710000}"/>
    <cellStyle name="Денежный 2 9 3 4" xfId="29004" xr:uid="{00000000-0005-0000-0000-00004B710000}"/>
    <cellStyle name="Денежный 2 9 3 4 2" xfId="29005" xr:uid="{00000000-0005-0000-0000-00004C710000}"/>
    <cellStyle name="Денежный 2 9 3 5" xfId="29006" xr:uid="{00000000-0005-0000-0000-00004D710000}"/>
    <cellStyle name="Денежный 2 9 4" xfId="29007" xr:uid="{00000000-0005-0000-0000-00004E710000}"/>
    <cellStyle name="Денежный 2 9 4 2" xfId="29008" xr:uid="{00000000-0005-0000-0000-00004F710000}"/>
    <cellStyle name="Денежный 2 9 4 2 2" xfId="29009" xr:uid="{00000000-0005-0000-0000-000050710000}"/>
    <cellStyle name="Денежный 2 9 4 3" xfId="29010" xr:uid="{00000000-0005-0000-0000-000051710000}"/>
    <cellStyle name="Денежный 2 9 5" xfId="29011" xr:uid="{00000000-0005-0000-0000-000052710000}"/>
    <cellStyle name="Денежный 2 9 5 2" xfId="29012" xr:uid="{00000000-0005-0000-0000-000053710000}"/>
    <cellStyle name="Денежный 2 9 6" xfId="29013" xr:uid="{00000000-0005-0000-0000-000054710000}"/>
    <cellStyle name="Денежный 2 9 6 2" xfId="29014" xr:uid="{00000000-0005-0000-0000-000055710000}"/>
    <cellStyle name="Денежный 2 9 7" xfId="29015" xr:uid="{00000000-0005-0000-0000-000056710000}"/>
    <cellStyle name="Денежный 3" xfId="29016" xr:uid="{00000000-0005-0000-0000-000057710000}"/>
    <cellStyle name="Денежный 3 10" xfId="29017" xr:uid="{00000000-0005-0000-0000-000058710000}"/>
    <cellStyle name="Денежный 3 10 2" xfId="29018" xr:uid="{00000000-0005-0000-0000-000059710000}"/>
    <cellStyle name="Денежный 3 10 2 2" xfId="29019" xr:uid="{00000000-0005-0000-0000-00005A710000}"/>
    <cellStyle name="Денежный 3 10 2 2 2" xfId="29020" xr:uid="{00000000-0005-0000-0000-00005B710000}"/>
    <cellStyle name="Денежный 3 10 2 3" xfId="29021" xr:uid="{00000000-0005-0000-0000-00005C710000}"/>
    <cellStyle name="Денежный 3 10 3" xfId="29022" xr:uid="{00000000-0005-0000-0000-00005D710000}"/>
    <cellStyle name="Денежный 3 10 3 2" xfId="29023" xr:uid="{00000000-0005-0000-0000-00005E710000}"/>
    <cellStyle name="Денежный 3 10 4" xfId="29024" xr:uid="{00000000-0005-0000-0000-00005F710000}"/>
    <cellStyle name="Денежный 3 10 4 2" xfId="29025" xr:uid="{00000000-0005-0000-0000-000060710000}"/>
    <cellStyle name="Денежный 3 10 5" xfId="29026" xr:uid="{00000000-0005-0000-0000-000061710000}"/>
    <cellStyle name="Денежный 3 11" xfId="29027" xr:uid="{00000000-0005-0000-0000-000062710000}"/>
    <cellStyle name="Денежный 3 11 2" xfId="29028" xr:uid="{00000000-0005-0000-0000-000063710000}"/>
    <cellStyle name="Денежный 3 11 2 2" xfId="29029" xr:uid="{00000000-0005-0000-0000-000064710000}"/>
    <cellStyle name="Денежный 3 11 2 2 2" xfId="29030" xr:uid="{00000000-0005-0000-0000-000065710000}"/>
    <cellStyle name="Денежный 3 11 2 3" xfId="29031" xr:uid="{00000000-0005-0000-0000-000066710000}"/>
    <cellStyle name="Денежный 3 11 3" xfId="29032" xr:uid="{00000000-0005-0000-0000-000067710000}"/>
    <cellStyle name="Денежный 3 11 3 2" xfId="29033" xr:uid="{00000000-0005-0000-0000-000068710000}"/>
    <cellStyle name="Денежный 3 11 4" xfId="29034" xr:uid="{00000000-0005-0000-0000-000069710000}"/>
    <cellStyle name="Денежный 3 11 4 2" xfId="29035" xr:uid="{00000000-0005-0000-0000-00006A710000}"/>
    <cellStyle name="Денежный 3 11 5" xfId="29036" xr:uid="{00000000-0005-0000-0000-00006B710000}"/>
    <cellStyle name="Денежный 3 12" xfId="29037" xr:uid="{00000000-0005-0000-0000-00006C710000}"/>
    <cellStyle name="Денежный 3 12 2" xfId="29038" xr:uid="{00000000-0005-0000-0000-00006D710000}"/>
    <cellStyle name="Денежный 3 12 2 2" xfId="29039" xr:uid="{00000000-0005-0000-0000-00006E710000}"/>
    <cellStyle name="Денежный 3 12 2 2 2" xfId="29040" xr:uid="{00000000-0005-0000-0000-00006F710000}"/>
    <cellStyle name="Денежный 3 12 2 3" xfId="29041" xr:uid="{00000000-0005-0000-0000-000070710000}"/>
    <cellStyle name="Денежный 3 12 3" xfId="29042" xr:uid="{00000000-0005-0000-0000-000071710000}"/>
    <cellStyle name="Денежный 3 12 3 2" xfId="29043" xr:uid="{00000000-0005-0000-0000-000072710000}"/>
    <cellStyle name="Денежный 3 12 4" xfId="29044" xr:uid="{00000000-0005-0000-0000-000073710000}"/>
    <cellStyle name="Денежный 3 12 4 2" xfId="29045" xr:uid="{00000000-0005-0000-0000-000074710000}"/>
    <cellStyle name="Денежный 3 12 5" xfId="29046" xr:uid="{00000000-0005-0000-0000-000075710000}"/>
    <cellStyle name="Денежный 3 13" xfId="29047" xr:uid="{00000000-0005-0000-0000-000076710000}"/>
    <cellStyle name="Денежный 3 13 2" xfId="29048" xr:uid="{00000000-0005-0000-0000-000077710000}"/>
    <cellStyle name="Денежный 3 13 2 2" xfId="29049" xr:uid="{00000000-0005-0000-0000-000078710000}"/>
    <cellStyle name="Денежный 3 13 3" xfId="29050" xr:uid="{00000000-0005-0000-0000-000079710000}"/>
    <cellStyle name="Денежный 3 14" xfId="29051" xr:uid="{00000000-0005-0000-0000-00007A710000}"/>
    <cellStyle name="Денежный 3 14 2" xfId="29052" xr:uid="{00000000-0005-0000-0000-00007B710000}"/>
    <cellStyle name="Денежный 3 15" xfId="29053" xr:uid="{00000000-0005-0000-0000-00007C710000}"/>
    <cellStyle name="Денежный 3 15 2" xfId="29054" xr:uid="{00000000-0005-0000-0000-00007D710000}"/>
    <cellStyle name="Денежный 3 16" xfId="29055" xr:uid="{00000000-0005-0000-0000-00007E710000}"/>
    <cellStyle name="Денежный 3 17" xfId="29056" xr:uid="{00000000-0005-0000-0000-00007F710000}"/>
    <cellStyle name="Денежный 3 2" xfId="29057" xr:uid="{00000000-0005-0000-0000-000080710000}"/>
    <cellStyle name="Денежный 3 2 10" xfId="29058" xr:uid="{00000000-0005-0000-0000-000081710000}"/>
    <cellStyle name="Денежный 3 2 10 2" xfId="29059" xr:uid="{00000000-0005-0000-0000-000082710000}"/>
    <cellStyle name="Денежный 3 2 10 2 2" xfId="29060" xr:uid="{00000000-0005-0000-0000-000083710000}"/>
    <cellStyle name="Денежный 3 2 10 2 2 2" xfId="29061" xr:uid="{00000000-0005-0000-0000-000084710000}"/>
    <cellStyle name="Денежный 3 2 10 2 3" xfId="29062" xr:uid="{00000000-0005-0000-0000-000085710000}"/>
    <cellStyle name="Денежный 3 2 10 3" xfId="29063" xr:uid="{00000000-0005-0000-0000-000086710000}"/>
    <cellStyle name="Денежный 3 2 10 3 2" xfId="29064" xr:uid="{00000000-0005-0000-0000-000087710000}"/>
    <cellStyle name="Денежный 3 2 10 4" xfId="29065" xr:uid="{00000000-0005-0000-0000-000088710000}"/>
    <cellStyle name="Денежный 3 2 10 4 2" xfId="29066" xr:uid="{00000000-0005-0000-0000-000089710000}"/>
    <cellStyle name="Денежный 3 2 10 5" xfId="29067" xr:uid="{00000000-0005-0000-0000-00008A710000}"/>
    <cellStyle name="Денежный 3 2 11" xfId="29068" xr:uid="{00000000-0005-0000-0000-00008B710000}"/>
    <cellStyle name="Денежный 3 2 11 2" xfId="29069" xr:uid="{00000000-0005-0000-0000-00008C710000}"/>
    <cellStyle name="Денежный 3 2 11 2 2" xfId="29070" xr:uid="{00000000-0005-0000-0000-00008D710000}"/>
    <cellStyle name="Денежный 3 2 11 3" xfId="29071" xr:uid="{00000000-0005-0000-0000-00008E710000}"/>
    <cellStyle name="Денежный 3 2 12" xfId="29072" xr:uid="{00000000-0005-0000-0000-00008F710000}"/>
    <cellStyle name="Денежный 3 2 12 2" xfId="29073" xr:uid="{00000000-0005-0000-0000-000090710000}"/>
    <cellStyle name="Денежный 3 2 13" xfId="29074" xr:uid="{00000000-0005-0000-0000-000091710000}"/>
    <cellStyle name="Денежный 3 2 13 2" xfId="29075" xr:uid="{00000000-0005-0000-0000-000092710000}"/>
    <cellStyle name="Денежный 3 2 14" xfId="29076" xr:uid="{00000000-0005-0000-0000-000093710000}"/>
    <cellStyle name="Денежный 3 2 15" xfId="29077" xr:uid="{00000000-0005-0000-0000-000094710000}"/>
    <cellStyle name="Денежный 3 2 2" xfId="29078" xr:uid="{00000000-0005-0000-0000-000095710000}"/>
    <cellStyle name="Денежный 3 2 2 10" xfId="29079" xr:uid="{00000000-0005-0000-0000-000096710000}"/>
    <cellStyle name="Денежный 3 2 2 2" xfId="29080" xr:uid="{00000000-0005-0000-0000-000097710000}"/>
    <cellStyle name="Денежный 3 2 2 2 2" xfId="29081" xr:uid="{00000000-0005-0000-0000-000098710000}"/>
    <cellStyle name="Денежный 3 2 2 2 2 2" xfId="29082" xr:uid="{00000000-0005-0000-0000-000099710000}"/>
    <cellStyle name="Денежный 3 2 2 2 2 2 2" xfId="29083" xr:uid="{00000000-0005-0000-0000-00009A710000}"/>
    <cellStyle name="Денежный 3 2 2 2 2 3" xfId="29084" xr:uid="{00000000-0005-0000-0000-00009B710000}"/>
    <cellStyle name="Денежный 3 2 2 2 3" xfId="29085" xr:uid="{00000000-0005-0000-0000-00009C710000}"/>
    <cellStyle name="Денежный 3 2 2 2 3 2" xfId="29086" xr:uid="{00000000-0005-0000-0000-00009D710000}"/>
    <cellStyle name="Денежный 3 2 2 2 4" xfId="29087" xr:uid="{00000000-0005-0000-0000-00009E710000}"/>
    <cellStyle name="Денежный 3 2 2 2 4 2" xfId="29088" xr:uid="{00000000-0005-0000-0000-00009F710000}"/>
    <cellStyle name="Денежный 3 2 2 2 5" xfId="29089" xr:uid="{00000000-0005-0000-0000-0000A0710000}"/>
    <cellStyle name="Денежный 3 2 2 3" xfId="29090" xr:uid="{00000000-0005-0000-0000-0000A1710000}"/>
    <cellStyle name="Денежный 3 2 2 3 2" xfId="29091" xr:uid="{00000000-0005-0000-0000-0000A2710000}"/>
    <cellStyle name="Денежный 3 2 2 3 2 2" xfId="29092" xr:uid="{00000000-0005-0000-0000-0000A3710000}"/>
    <cellStyle name="Денежный 3 2 2 3 2 2 2" xfId="29093" xr:uid="{00000000-0005-0000-0000-0000A4710000}"/>
    <cellStyle name="Денежный 3 2 2 3 2 3" xfId="29094" xr:uid="{00000000-0005-0000-0000-0000A5710000}"/>
    <cellStyle name="Денежный 3 2 2 3 3" xfId="29095" xr:uid="{00000000-0005-0000-0000-0000A6710000}"/>
    <cellStyle name="Денежный 3 2 2 3 3 2" xfId="29096" xr:uid="{00000000-0005-0000-0000-0000A7710000}"/>
    <cellStyle name="Денежный 3 2 2 3 4" xfId="29097" xr:uid="{00000000-0005-0000-0000-0000A8710000}"/>
    <cellStyle name="Денежный 3 2 2 3 4 2" xfId="29098" xr:uid="{00000000-0005-0000-0000-0000A9710000}"/>
    <cellStyle name="Денежный 3 2 2 3 5" xfId="29099" xr:uid="{00000000-0005-0000-0000-0000AA710000}"/>
    <cellStyle name="Денежный 3 2 2 4" xfId="29100" xr:uid="{00000000-0005-0000-0000-0000AB710000}"/>
    <cellStyle name="Денежный 3 2 2 4 2" xfId="29101" xr:uid="{00000000-0005-0000-0000-0000AC710000}"/>
    <cellStyle name="Денежный 3 2 2 4 2 2" xfId="29102" xr:uid="{00000000-0005-0000-0000-0000AD710000}"/>
    <cellStyle name="Денежный 3 2 2 4 2 2 2" xfId="29103" xr:uid="{00000000-0005-0000-0000-0000AE710000}"/>
    <cellStyle name="Денежный 3 2 2 4 2 3" xfId="29104" xr:uid="{00000000-0005-0000-0000-0000AF710000}"/>
    <cellStyle name="Денежный 3 2 2 4 3" xfId="29105" xr:uid="{00000000-0005-0000-0000-0000B0710000}"/>
    <cellStyle name="Денежный 3 2 2 4 3 2" xfId="29106" xr:uid="{00000000-0005-0000-0000-0000B1710000}"/>
    <cellStyle name="Денежный 3 2 2 4 4" xfId="29107" xr:uid="{00000000-0005-0000-0000-0000B2710000}"/>
    <cellStyle name="Денежный 3 2 2 4 4 2" xfId="29108" xr:uid="{00000000-0005-0000-0000-0000B3710000}"/>
    <cellStyle name="Денежный 3 2 2 4 5" xfId="29109" xr:uid="{00000000-0005-0000-0000-0000B4710000}"/>
    <cellStyle name="Денежный 3 2 2 5" xfId="29110" xr:uid="{00000000-0005-0000-0000-0000B5710000}"/>
    <cellStyle name="Денежный 3 2 2 5 2" xfId="29111" xr:uid="{00000000-0005-0000-0000-0000B6710000}"/>
    <cellStyle name="Денежный 3 2 2 5 2 2" xfId="29112" xr:uid="{00000000-0005-0000-0000-0000B7710000}"/>
    <cellStyle name="Денежный 3 2 2 5 2 2 2" xfId="29113" xr:uid="{00000000-0005-0000-0000-0000B8710000}"/>
    <cellStyle name="Денежный 3 2 2 5 2 3" xfId="29114" xr:uid="{00000000-0005-0000-0000-0000B9710000}"/>
    <cellStyle name="Денежный 3 2 2 5 3" xfId="29115" xr:uid="{00000000-0005-0000-0000-0000BA710000}"/>
    <cellStyle name="Денежный 3 2 2 5 3 2" xfId="29116" xr:uid="{00000000-0005-0000-0000-0000BB710000}"/>
    <cellStyle name="Денежный 3 2 2 5 4" xfId="29117" xr:uid="{00000000-0005-0000-0000-0000BC710000}"/>
    <cellStyle name="Денежный 3 2 2 5 4 2" xfId="29118" xr:uid="{00000000-0005-0000-0000-0000BD710000}"/>
    <cellStyle name="Денежный 3 2 2 5 5" xfId="29119" xr:uid="{00000000-0005-0000-0000-0000BE710000}"/>
    <cellStyle name="Денежный 3 2 2 6" xfId="29120" xr:uid="{00000000-0005-0000-0000-0000BF710000}"/>
    <cellStyle name="Денежный 3 2 2 6 2" xfId="29121" xr:uid="{00000000-0005-0000-0000-0000C0710000}"/>
    <cellStyle name="Денежный 3 2 2 6 2 2" xfId="29122" xr:uid="{00000000-0005-0000-0000-0000C1710000}"/>
    <cellStyle name="Денежный 3 2 2 6 3" xfId="29123" xr:uid="{00000000-0005-0000-0000-0000C2710000}"/>
    <cellStyle name="Денежный 3 2 2 7" xfId="29124" xr:uid="{00000000-0005-0000-0000-0000C3710000}"/>
    <cellStyle name="Денежный 3 2 2 7 2" xfId="29125" xr:uid="{00000000-0005-0000-0000-0000C4710000}"/>
    <cellStyle name="Денежный 3 2 2 8" xfId="29126" xr:uid="{00000000-0005-0000-0000-0000C5710000}"/>
    <cellStyle name="Денежный 3 2 2 8 2" xfId="29127" xr:uid="{00000000-0005-0000-0000-0000C6710000}"/>
    <cellStyle name="Денежный 3 2 2 9" xfId="29128" xr:uid="{00000000-0005-0000-0000-0000C7710000}"/>
    <cellStyle name="Денежный 3 2 3" xfId="29129" xr:uid="{00000000-0005-0000-0000-0000C8710000}"/>
    <cellStyle name="Денежный 3 2 3 10" xfId="29130" xr:uid="{00000000-0005-0000-0000-0000C9710000}"/>
    <cellStyle name="Денежный 3 2 3 2" xfId="29131" xr:uid="{00000000-0005-0000-0000-0000CA710000}"/>
    <cellStyle name="Денежный 3 2 3 2 2" xfId="29132" xr:uid="{00000000-0005-0000-0000-0000CB710000}"/>
    <cellStyle name="Денежный 3 2 3 2 2 2" xfId="29133" xr:uid="{00000000-0005-0000-0000-0000CC710000}"/>
    <cellStyle name="Денежный 3 2 3 2 2 2 2" xfId="29134" xr:uid="{00000000-0005-0000-0000-0000CD710000}"/>
    <cellStyle name="Денежный 3 2 3 2 2 3" xfId="29135" xr:uid="{00000000-0005-0000-0000-0000CE710000}"/>
    <cellStyle name="Денежный 3 2 3 2 3" xfId="29136" xr:uid="{00000000-0005-0000-0000-0000CF710000}"/>
    <cellStyle name="Денежный 3 2 3 2 3 2" xfId="29137" xr:uid="{00000000-0005-0000-0000-0000D0710000}"/>
    <cellStyle name="Денежный 3 2 3 2 4" xfId="29138" xr:uid="{00000000-0005-0000-0000-0000D1710000}"/>
    <cellStyle name="Денежный 3 2 3 2 4 2" xfId="29139" xr:uid="{00000000-0005-0000-0000-0000D2710000}"/>
    <cellStyle name="Денежный 3 2 3 2 5" xfId="29140" xr:uid="{00000000-0005-0000-0000-0000D3710000}"/>
    <cellStyle name="Денежный 3 2 3 3" xfId="29141" xr:uid="{00000000-0005-0000-0000-0000D4710000}"/>
    <cellStyle name="Денежный 3 2 3 3 2" xfId="29142" xr:uid="{00000000-0005-0000-0000-0000D5710000}"/>
    <cellStyle name="Денежный 3 2 3 3 2 2" xfId="29143" xr:uid="{00000000-0005-0000-0000-0000D6710000}"/>
    <cellStyle name="Денежный 3 2 3 3 2 2 2" xfId="29144" xr:uid="{00000000-0005-0000-0000-0000D7710000}"/>
    <cellStyle name="Денежный 3 2 3 3 2 3" xfId="29145" xr:uid="{00000000-0005-0000-0000-0000D8710000}"/>
    <cellStyle name="Денежный 3 2 3 3 3" xfId="29146" xr:uid="{00000000-0005-0000-0000-0000D9710000}"/>
    <cellStyle name="Денежный 3 2 3 3 3 2" xfId="29147" xr:uid="{00000000-0005-0000-0000-0000DA710000}"/>
    <cellStyle name="Денежный 3 2 3 3 4" xfId="29148" xr:uid="{00000000-0005-0000-0000-0000DB710000}"/>
    <cellStyle name="Денежный 3 2 3 3 4 2" xfId="29149" xr:uid="{00000000-0005-0000-0000-0000DC710000}"/>
    <cellStyle name="Денежный 3 2 3 3 5" xfId="29150" xr:uid="{00000000-0005-0000-0000-0000DD710000}"/>
    <cellStyle name="Денежный 3 2 3 4" xfId="29151" xr:uid="{00000000-0005-0000-0000-0000DE710000}"/>
    <cellStyle name="Денежный 3 2 3 4 2" xfId="29152" xr:uid="{00000000-0005-0000-0000-0000DF710000}"/>
    <cellStyle name="Денежный 3 2 3 4 2 2" xfId="29153" xr:uid="{00000000-0005-0000-0000-0000E0710000}"/>
    <cellStyle name="Денежный 3 2 3 4 2 2 2" xfId="29154" xr:uid="{00000000-0005-0000-0000-0000E1710000}"/>
    <cellStyle name="Денежный 3 2 3 4 2 3" xfId="29155" xr:uid="{00000000-0005-0000-0000-0000E2710000}"/>
    <cellStyle name="Денежный 3 2 3 4 3" xfId="29156" xr:uid="{00000000-0005-0000-0000-0000E3710000}"/>
    <cellStyle name="Денежный 3 2 3 4 3 2" xfId="29157" xr:uid="{00000000-0005-0000-0000-0000E4710000}"/>
    <cellStyle name="Денежный 3 2 3 4 4" xfId="29158" xr:uid="{00000000-0005-0000-0000-0000E5710000}"/>
    <cellStyle name="Денежный 3 2 3 4 4 2" xfId="29159" xr:uid="{00000000-0005-0000-0000-0000E6710000}"/>
    <cellStyle name="Денежный 3 2 3 4 5" xfId="29160" xr:uid="{00000000-0005-0000-0000-0000E7710000}"/>
    <cellStyle name="Денежный 3 2 3 5" xfId="29161" xr:uid="{00000000-0005-0000-0000-0000E8710000}"/>
    <cellStyle name="Денежный 3 2 3 5 2" xfId="29162" xr:uid="{00000000-0005-0000-0000-0000E9710000}"/>
    <cellStyle name="Денежный 3 2 3 5 2 2" xfId="29163" xr:uid="{00000000-0005-0000-0000-0000EA710000}"/>
    <cellStyle name="Денежный 3 2 3 5 2 2 2" xfId="29164" xr:uid="{00000000-0005-0000-0000-0000EB710000}"/>
    <cellStyle name="Денежный 3 2 3 5 2 3" xfId="29165" xr:uid="{00000000-0005-0000-0000-0000EC710000}"/>
    <cellStyle name="Денежный 3 2 3 5 3" xfId="29166" xr:uid="{00000000-0005-0000-0000-0000ED710000}"/>
    <cellStyle name="Денежный 3 2 3 5 3 2" xfId="29167" xr:uid="{00000000-0005-0000-0000-0000EE710000}"/>
    <cellStyle name="Денежный 3 2 3 5 4" xfId="29168" xr:uid="{00000000-0005-0000-0000-0000EF710000}"/>
    <cellStyle name="Денежный 3 2 3 5 4 2" xfId="29169" xr:uid="{00000000-0005-0000-0000-0000F0710000}"/>
    <cellStyle name="Денежный 3 2 3 5 5" xfId="29170" xr:uid="{00000000-0005-0000-0000-0000F1710000}"/>
    <cellStyle name="Денежный 3 2 3 6" xfId="29171" xr:uid="{00000000-0005-0000-0000-0000F2710000}"/>
    <cellStyle name="Денежный 3 2 3 6 2" xfId="29172" xr:uid="{00000000-0005-0000-0000-0000F3710000}"/>
    <cellStyle name="Денежный 3 2 3 6 2 2" xfId="29173" xr:uid="{00000000-0005-0000-0000-0000F4710000}"/>
    <cellStyle name="Денежный 3 2 3 6 3" xfId="29174" xr:uid="{00000000-0005-0000-0000-0000F5710000}"/>
    <cellStyle name="Денежный 3 2 3 7" xfId="29175" xr:uid="{00000000-0005-0000-0000-0000F6710000}"/>
    <cellStyle name="Денежный 3 2 3 7 2" xfId="29176" xr:uid="{00000000-0005-0000-0000-0000F7710000}"/>
    <cellStyle name="Денежный 3 2 3 8" xfId="29177" xr:uid="{00000000-0005-0000-0000-0000F8710000}"/>
    <cellStyle name="Денежный 3 2 3 8 2" xfId="29178" xr:uid="{00000000-0005-0000-0000-0000F9710000}"/>
    <cellStyle name="Денежный 3 2 3 9" xfId="29179" xr:uid="{00000000-0005-0000-0000-0000FA710000}"/>
    <cellStyle name="Денежный 3 2 4" xfId="29180" xr:uid="{00000000-0005-0000-0000-0000FB710000}"/>
    <cellStyle name="Денежный 3 2 4 10" xfId="29181" xr:uid="{00000000-0005-0000-0000-0000FC710000}"/>
    <cellStyle name="Денежный 3 2 4 2" xfId="29182" xr:uid="{00000000-0005-0000-0000-0000FD710000}"/>
    <cellStyle name="Денежный 3 2 4 2 2" xfId="29183" xr:uid="{00000000-0005-0000-0000-0000FE710000}"/>
    <cellStyle name="Денежный 3 2 4 2 2 2" xfId="29184" xr:uid="{00000000-0005-0000-0000-0000FF710000}"/>
    <cellStyle name="Денежный 3 2 4 2 2 2 2" xfId="29185" xr:uid="{00000000-0005-0000-0000-000000720000}"/>
    <cellStyle name="Денежный 3 2 4 2 2 3" xfId="29186" xr:uid="{00000000-0005-0000-0000-000001720000}"/>
    <cellStyle name="Денежный 3 2 4 2 3" xfId="29187" xr:uid="{00000000-0005-0000-0000-000002720000}"/>
    <cellStyle name="Денежный 3 2 4 2 3 2" xfId="29188" xr:uid="{00000000-0005-0000-0000-000003720000}"/>
    <cellStyle name="Денежный 3 2 4 2 4" xfId="29189" xr:uid="{00000000-0005-0000-0000-000004720000}"/>
    <cellStyle name="Денежный 3 2 4 2 4 2" xfId="29190" xr:uid="{00000000-0005-0000-0000-000005720000}"/>
    <cellStyle name="Денежный 3 2 4 2 5" xfId="29191" xr:uid="{00000000-0005-0000-0000-000006720000}"/>
    <cellStyle name="Денежный 3 2 4 3" xfId="29192" xr:uid="{00000000-0005-0000-0000-000007720000}"/>
    <cellStyle name="Денежный 3 2 4 3 2" xfId="29193" xr:uid="{00000000-0005-0000-0000-000008720000}"/>
    <cellStyle name="Денежный 3 2 4 3 2 2" xfId="29194" xr:uid="{00000000-0005-0000-0000-000009720000}"/>
    <cellStyle name="Денежный 3 2 4 3 2 2 2" xfId="29195" xr:uid="{00000000-0005-0000-0000-00000A720000}"/>
    <cellStyle name="Денежный 3 2 4 3 2 3" xfId="29196" xr:uid="{00000000-0005-0000-0000-00000B720000}"/>
    <cellStyle name="Денежный 3 2 4 3 3" xfId="29197" xr:uid="{00000000-0005-0000-0000-00000C720000}"/>
    <cellStyle name="Денежный 3 2 4 3 3 2" xfId="29198" xr:uid="{00000000-0005-0000-0000-00000D720000}"/>
    <cellStyle name="Денежный 3 2 4 3 4" xfId="29199" xr:uid="{00000000-0005-0000-0000-00000E720000}"/>
    <cellStyle name="Денежный 3 2 4 3 4 2" xfId="29200" xr:uid="{00000000-0005-0000-0000-00000F720000}"/>
    <cellStyle name="Денежный 3 2 4 3 5" xfId="29201" xr:uid="{00000000-0005-0000-0000-000010720000}"/>
    <cellStyle name="Денежный 3 2 4 4" xfId="29202" xr:uid="{00000000-0005-0000-0000-000011720000}"/>
    <cellStyle name="Денежный 3 2 4 4 2" xfId="29203" xr:uid="{00000000-0005-0000-0000-000012720000}"/>
    <cellStyle name="Денежный 3 2 4 4 2 2" xfId="29204" xr:uid="{00000000-0005-0000-0000-000013720000}"/>
    <cellStyle name="Денежный 3 2 4 4 2 2 2" xfId="29205" xr:uid="{00000000-0005-0000-0000-000014720000}"/>
    <cellStyle name="Денежный 3 2 4 4 2 3" xfId="29206" xr:uid="{00000000-0005-0000-0000-000015720000}"/>
    <cellStyle name="Денежный 3 2 4 4 3" xfId="29207" xr:uid="{00000000-0005-0000-0000-000016720000}"/>
    <cellStyle name="Денежный 3 2 4 4 3 2" xfId="29208" xr:uid="{00000000-0005-0000-0000-000017720000}"/>
    <cellStyle name="Денежный 3 2 4 4 4" xfId="29209" xr:uid="{00000000-0005-0000-0000-000018720000}"/>
    <cellStyle name="Денежный 3 2 4 4 4 2" xfId="29210" xr:uid="{00000000-0005-0000-0000-000019720000}"/>
    <cellStyle name="Денежный 3 2 4 4 5" xfId="29211" xr:uid="{00000000-0005-0000-0000-00001A720000}"/>
    <cellStyle name="Денежный 3 2 4 5" xfId="29212" xr:uid="{00000000-0005-0000-0000-00001B720000}"/>
    <cellStyle name="Денежный 3 2 4 5 2" xfId="29213" xr:uid="{00000000-0005-0000-0000-00001C720000}"/>
    <cellStyle name="Денежный 3 2 4 5 2 2" xfId="29214" xr:uid="{00000000-0005-0000-0000-00001D720000}"/>
    <cellStyle name="Денежный 3 2 4 5 2 2 2" xfId="29215" xr:uid="{00000000-0005-0000-0000-00001E720000}"/>
    <cellStyle name="Денежный 3 2 4 5 2 3" xfId="29216" xr:uid="{00000000-0005-0000-0000-00001F720000}"/>
    <cellStyle name="Денежный 3 2 4 5 3" xfId="29217" xr:uid="{00000000-0005-0000-0000-000020720000}"/>
    <cellStyle name="Денежный 3 2 4 5 3 2" xfId="29218" xr:uid="{00000000-0005-0000-0000-000021720000}"/>
    <cellStyle name="Денежный 3 2 4 5 4" xfId="29219" xr:uid="{00000000-0005-0000-0000-000022720000}"/>
    <cellStyle name="Денежный 3 2 4 5 4 2" xfId="29220" xr:uid="{00000000-0005-0000-0000-000023720000}"/>
    <cellStyle name="Денежный 3 2 4 5 5" xfId="29221" xr:uid="{00000000-0005-0000-0000-000024720000}"/>
    <cellStyle name="Денежный 3 2 4 6" xfId="29222" xr:uid="{00000000-0005-0000-0000-000025720000}"/>
    <cellStyle name="Денежный 3 2 4 6 2" xfId="29223" xr:uid="{00000000-0005-0000-0000-000026720000}"/>
    <cellStyle name="Денежный 3 2 4 6 2 2" xfId="29224" xr:uid="{00000000-0005-0000-0000-000027720000}"/>
    <cellStyle name="Денежный 3 2 4 6 3" xfId="29225" xr:uid="{00000000-0005-0000-0000-000028720000}"/>
    <cellStyle name="Денежный 3 2 4 7" xfId="29226" xr:uid="{00000000-0005-0000-0000-000029720000}"/>
    <cellStyle name="Денежный 3 2 4 7 2" xfId="29227" xr:uid="{00000000-0005-0000-0000-00002A720000}"/>
    <cellStyle name="Денежный 3 2 4 8" xfId="29228" xr:uid="{00000000-0005-0000-0000-00002B720000}"/>
    <cellStyle name="Денежный 3 2 4 8 2" xfId="29229" xr:uid="{00000000-0005-0000-0000-00002C720000}"/>
    <cellStyle name="Денежный 3 2 4 9" xfId="29230" xr:uid="{00000000-0005-0000-0000-00002D720000}"/>
    <cellStyle name="Денежный 3 2 5" xfId="29231" xr:uid="{00000000-0005-0000-0000-00002E720000}"/>
    <cellStyle name="Денежный 3 2 5 10" xfId="29232" xr:uid="{00000000-0005-0000-0000-00002F720000}"/>
    <cellStyle name="Денежный 3 2 5 2" xfId="29233" xr:uid="{00000000-0005-0000-0000-000030720000}"/>
    <cellStyle name="Денежный 3 2 5 2 2" xfId="29234" xr:uid="{00000000-0005-0000-0000-000031720000}"/>
    <cellStyle name="Денежный 3 2 5 2 2 2" xfId="29235" xr:uid="{00000000-0005-0000-0000-000032720000}"/>
    <cellStyle name="Денежный 3 2 5 2 2 2 2" xfId="29236" xr:uid="{00000000-0005-0000-0000-000033720000}"/>
    <cellStyle name="Денежный 3 2 5 2 2 3" xfId="29237" xr:uid="{00000000-0005-0000-0000-000034720000}"/>
    <cellStyle name="Денежный 3 2 5 2 3" xfId="29238" xr:uid="{00000000-0005-0000-0000-000035720000}"/>
    <cellStyle name="Денежный 3 2 5 2 3 2" xfId="29239" xr:uid="{00000000-0005-0000-0000-000036720000}"/>
    <cellStyle name="Денежный 3 2 5 2 4" xfId="29240" xr:uid="{00000000-0005-0000-0000-000037720000}"/>
    <cellStyle name="Денежный 3 2 5 2 4 2" xfId="29241" xr:uid="{00000000-0005-0000-0000-000038720000}"/>
    <cellStyle name="Денежный 3 2 5 2 5" xfId="29242" xr:uid="{00000000-0005-0000-0000-000039720000}"/>
    <cellStyle name="Денежный 3 2 5 3" xfId="29243" xr:uid="{00000000-0005-0000-0000-00003A720000}"/>
    <cellStyle name="Денежный 3 2 5 3 2" xfId="29244" xr:uid="{00000000-0005-0000-0000-00003B720000}"/>
    <cellStyle name="Денежный 3 2 5 3 2 2" xfId="29245" xr:uid="{00000000-0005-0000-0000-00003C720000}"/>
    <cellStyle name="Денежный 3 2 5 3 2 2 2" xfId="29246" xr:uid="{00000000-0005-0000-0000-00003D720000}"/>
    <cellStyle name="Денежный 3 2 5 3 2 3" xfId="29247" xr:uid="{00000000-0005-0000-0000-00003E720000}"/>
    <cellStyle name="Денежный 3 2 5 3 3" xfId="29248" xr:uid="{00000000-0005-0000-0000-00003F720000}"/>
    <cellStyle name="Денежный 3 2 5 3 3 2" xfId="29249" xr:uid="{00000000-0005-0000-0000-000040720000}"/>
    <cellStyle name="Денежный 3 2 5 3 4" xfId="29250" xr:uid="{00000000-0005-0000-0000-000041720000}"/>
    <cellStyle name="Денежный 3 2 5 3 4 2" xfId="29251" xr:uid="{00000000-0005-0000-0000-000042720000}"/>
    <cellStyle name="Денежный 3 2 5 3 5" xfId="29252" xr:uid="{00000000-0005-0000-0000-000043720000}"/>
    <cellStyle name="Денежный 3 2 5 4" xfId="29253" xr:uid="{00000000-0005-0000-0000-000044720000}"/>
    <cellStyle name="Денежный 3 2 5 4 2" xfId="29254" xr:uid="{00000000-0005-0000-0000-000045720000}"/>
    <cellStyle name="Денежный 3 2 5 4 2 2" xfId="29255" xr:uid="{00000000-0005-0000-0000-000046720000}"/>
    <cellStyle name="Денежный 3 2 5 4 2 2 2" xfId="29256" xr:uid="{00000000-0005-0000-0000-000047720000}"/>
    <cellStyle name="Денежный 3 2 5 4 2 3" xfId="29257" xr:uid="{00000000-0005-0000-0000-000048720000}"/>
    <cellStyle name="Денежный 3 2 5 4 3" xfId="29258" xr:uid="{00000000-0005-0000-0000-000049720000}"/>
    <cellStyle name="Денежный 3 2 5 4 3 2" xfId="29259" xr:uid="{00000000-0005-0000-0000-00004A720000}"/>
    <cellStyle name="Денежный 3 2 5 4 4" xfId="29260" xr:uid="{00000000-0005-0000-0000-00004B720000}"/>
    <cellStyle name="Денежный 3 2 5 4 4 2" xfId="29261" xr:uid="{00000000-0005-0000-0000-00004C720000}"/>
    <cellStyle name="Денежный 3 2 5 4 5" xfId="29262" xr:uid="{00000000-0005-0000-0000-00004D720000}"/>
    <cellStyle name="Денежный 3 2 5 5" xfId="29263" xr:uid="{00000000-0005-0000-0000-00004E720000}"/>
    <cellStyle name="Денежный 3 2 5 5 2" xfId="29264" xr:uid="{00000000-0005-0000-0000-00004F720000}"/>
    <cellStyle name="Денежный 3 2 5 5 2 2" xfId="29265" xr:uid="{00000000-0005-0000-0000-000050720000}"/>
    <cellStyle name="Денежный 3 2 5 5 2 2 2" xfId="29266" xr:uid="{00000000-0005-0000-0000-000051720000}"/>
    <cellStyle name="Денежный 3 2 5 5 2 3" xfId="29267" xr:uid="{00000000-0005-0000-0000-000052720000}"/>
    <cellStyle name="Денежный 3 2 5 5 3" xfId="29268" xr:uid="{00000000-0005-0000-0000-000053720000}"/>
    <cellStyle name="Денежный 3 2 5 5 3 2" xfId="29269" xr:uid="{00000000-0005-0000-0000-000054720000}"/>
    <cellStyle name="Денежный 3 2 5 5 4" xfId="29270" xr:uid="{00000000-0005-0000-0000-000055720000}"/>
    <cellStyle name="Денежный 3 2 5 5 4 2" xfId="29271" xr:uid="{00000000-0005-0000-0000-000056720000}"/>
    <cellStyle name="Денежный 3 2 5 5 5" xfId="29272" xr:uid="{00000000-0005-0000-0000-000057720000}"/>
    <cellStyle name="Денежный 3 2 5 6" xfId="29273" xr:uid="{00000000-0005-0000-0000-000058720000}"/>
    <cellStyle name="Денежный 3 2 5 6 2" xfId="29274" xr:uid="{00000000-0005-0000-0000-000059720000}"/>
    <cellStyle name="Денежный 3 2 5 6 2 2" xfId="29275" xr:uid="{00000000-0005-0000-0000-00005A720000}"/>
    <cellStyle name="Денежный 3 2 5 6 3" xfId="29276" xr:uid="{00000000-0005-0000-0000-00005B720000}"/>
    <cellStyle name="Денежный 3 2 5 7" xfId="29277" xr:uid="{00000000-0005-0000-0000-00005C720000}"/>
    <cellStyle name="Денежный 3 2 5 7 2" xfId="29278" xr:uid="{00000000-0005-0000-0000-00005D720000}"/>
    <cellStyle name="Денежный 3 2 5 8" xfId="29279" xr:uid="{00000000-0005-0000-0000-00005E720000}"/>
    <cellStyle name="Денежный 3 2 5 8 2" xfId="29280" xr:uid="{00000000-0005-0000-0000-00005F720000}"/>
    <cellStyle name="Денежный 3 2 5 9" xfId="29281" xr:uid="{00000000-0005-0000-0000-000060720000}"/>
    <cellStyle name="Денежный 3 2 6" xfId="29282" xr:uid="{00000000-0005-0000-0000-000061720000}"/>
    <cellStyle name="Денежный 3 2 6 10" xfId="29283" xr:uid="{00000000-0005-0000-0000-000062720000}"/>
    <cellStyle name="Денежный 3 2 6 2" xfId="29284" xr:uid="{00000000-0005-0000-0000-000063720000}"/>
    <cellStyle name="Денежный 3 2 6 2 2" xfId="29285" xr:uid="{00000000-0005-0000-0000-000064720000}"/>
    <cellStyle name="Денежный 3 2 6 2 2 2" xfId="29286" xr:uid="{00000000-0005-0000-0000-000065720000}"/>
    <cellStyle name="Денежный 3 2 6 2 2 2 2" xfId="29287" xr:uid="{00000000-0005-0000-0000-000066720000}"/>
    <cellStyle name="Денежный 3 2 6 2 2 3" xfId="29288" xr:uid="{00000000-0005-0000-0000-000067720000}"/>
    <cellStyle name="Денежный 3 2 6 2 3" xfId="29289" xr:uid="{00000000-0005-0000-0000-000068720000}"/>
    <cellStyle name="Денежный 3 2 6 2 3 2" xfId="29290" xr:uid="{00000000-0005-0000-0000-000069720000}"/>
    <cellStyle name="Денежный 3 2 6 2 4" xfId="29291" xr:uid="{00000000-0005-0000-0000-00006A720000}"/>
    <cellStyle name="Денежный 3 2 6 2 4 2" xfId="29292" xr:uid="{00000000-0005-0000-0000-00006B720000}"/>
    <cellStyle name="Денежный 3 2 6 2 5" xfId="29293" xr:uid="{00000000-0005-0000-0000-00006C720000}"/>
    <cellStyle name="Денежный 3 2 6 3" xfId="29294" xr:uid="{00000000-0005-0000-0000-00006D720000}"/>
    <cellStyle name="Денежный 3 2 6 3 2" xfId="29295" xr:uid="{00000000-0005-0000-0000-00006E720000}"/>
    <cellStyle name="Денежный 3 2 6 3 2 2" xfId="29296" xr:uid="{00000000-0005-0000-0000-00006F720000}"/>
    <cellStyle name="Денежный 3 2 6 3 2 2 2" xfId="29297" xr:uid="{00000000-0005-0000-0000-000070720000}"/>
    <cellStyle name="Денежный 3 2 6 3 2 3" xfId="29298" xr:uid="{00000000-0005-0000-0000-000071720000}"/>
    <cellStyle name="Денежный 3 2 6 3 3" xfId="29299" xr:uid="{00000000-0005-0000-0000-000072720000}"/>
    <cellStyle name="Денежный 3 2 6 3 3 2" xfId="29300" xr:uid="{00000000-0005-0000-0000-000073720000}"/>
    <cellStyle name="Денежный 3 2 6 3 4" xfId="29301" xr:uid="{00000000-0005-0000-0000-000074720000}"/>
    <cellStyle name="Денежный 3 2 6 3 4 2" xfId="29302" xr:uid="{00000000-0005-0000-0000-000075720000}"/>
    <cellStyle name="Денежный 3 2 6 3 5" xfId="29303" xr:uid="{00000000-0005-0000-0000-000076720000}"/>
    <cellStyle name="Денежный 3 2 6 4" xfId="29304" xr:uid="{00000000-0005-0000-0000-000077720000}"/>
    <cellStyle name="Денежный 3 2 6 4 2" xfId="29305" xr:uid="{00000000-0005-0000-0000-000078720000}"/>
    <cellStyle name="Денежный 3 2 6 4 2 2" xfId="29306" xr:uid="{00000000-0005-0000-0000-000079720000}"/>
    <cellStyle name="Денежный 3 2 6 4 2 2 2" xfId="29307" xr:uid="{00000000-0005-0000-0000-00007A720000}"/>
    <cellStyle name="Денежный 3 2 6 4 2 3" xfId="29308" xr:uid="{00000000-0005-0000-0000-00007B720000}"/>
    <cellStyle name="Денежный 3 2 6 4 3" xfId="29309" xr:uid="{00000000-0005-0000-0000-00007C720000}"/>
    <cellStyle name="Денежный 3 2 6 4 3 2" xfId="29310" xr:uid="{00000000-0005-0000-0000-00007D720000}"/>
    <cellStyle name="Денежный 3 2 6 4 4" xfId="29311" xr:uid="{00000000-0005-0000-0000-00007E720000}"/>
    <cellStyle name="Денежный 3 2 6 4 4 2" xfId="29312" xr:uid="{00000000-0005-0000-0000-00007F720000}"/>
    <cellStyle name="Денежный 3 2 6 4 5" xfId="29313" xr:uid="{00000000-0005-0000-0000-000080720000}"/>
    <cellStyle name="Денежный 3 2 6 5" xfId="29314" xr:uid="{00000000-0005-0000-0000-000081720000}"/>
    <cellStyle name="Денежный 3 2 6 5 2" xfId="29315" xr:uid="{00000000-0005-0000-0000-000082720000}"/>
    <cellStyle name="Денежный 3 2 6 5 2 2" xfId="29316" xr:uid="{00000000-0005-0000-0000-000083720000}"/>
    <cellStyle name="Денежный 3 2 6 5 2 2 2" xfId="29317" xr:uid="{00000000-0005-0000-0000-000084720000}"/>
    <cellStyle name="Денежный 3 2 6 5 2 3" xfId="29318" xr:uid="{00000000-0005-0000-0000-000085720000}"/>
    <cellStyle name="Денежный 3 2 6 5 3" xfId="29319" xr:uid="{00000000-0005-0000-0000-000086720000}"/>
    <cellStyle name="Денежный 3 2 6 5 3 2" xfId="29320" xr:uid="{00000000-0005-0000-0000-000087720000}"/>
    <cellStyle name="Денежный 3 2 6 5 4" xfId="29321" xr:uid="{00000000-0005-0000-0000-000088720000}"/>
    <cellStyle name="Денежный 3 2 6 5 4 2" xfId="29322" xr:uid="{00000000-0005-0000-0000-000089720000}"/>
    <cellStyle name="Денежный 3 2 6 5 5" xfId="29323" xr:uid="{00000000-0005-0000-0000-00008A720000}"/>
    <cellStyle name="Денежный 3 2 6 6" xfId="29324" xr:uid="{00000000-0005-0000-0000-00008B720000}"/>
    <cellStyle name="Денежный 3 2 6 6 2" xfId="29325" xr:uid="{00000000-0005-0000-0000-00008C720000}"/>
    <cellStyle name="Денежный 3 2 6 6 2 2" xfId="29326" xr:uid="{00000000-0005-0000-0000-00008D720000}"/>
    <cellStyle name="Денежный 3 2 6 6 3" xfId="29327" xr:uid="{00000000-0005-0000-0000-00008E720000}"/>
    <cellStyle name="Денежный 3 2 6 7" xfId="29328" xr:uid="{00000000-0005-0000-0000-00008F720000}"/>
    <cellStyle name="Денежный 3 2 6 7 2" xfId="29329" xr:uid="{00000000-0005-0000-0000-000090720000}"/>
    <cellStyle name="Денежный 3 2 6 8" xfId="29330" xr:uid="{00000000-0005-0000-0000-000091720000}"/>
    <cellStyle name="Денежный 3 2 6 8 2" xfId="29331" xr:uid="{00000000-0005-0000-0000-000092720000}"/>
    <cellStyle name="Денежный 3 2 6 9" xfId="29332" xr:uid="{00000000-0005-0000-0000-000093720000}"/>
    <cellStyle name="Денежный 3 2 7" xfId="29333" xr:uid="{00000000-0005-0000-0000-000094720000}"/>
    <cellStyle name="Денежный 3 2 7 2" xfId="29334" xr:uid="{00000000-0005-0000-0000-000095720000}"/>
    <cellStyle name="Денежный 3 2 7 2 2" xfId="29335" xr:uid="{00000000-0005-0000-0000-000096720000}"/>
    <cellStyle name="Денежный 3 2 7 2 2 2" xfId="29336" xr:uid="{00000000-0005-0000-0000-000097720000}"/>
    <cellStyle name="Денежный 3 2 7 2 3" xfId="29337" xr:uid="{00000000-0005-0000-0000-000098720000}"/>
    <cellStyle name="Денежный 3 2 7 3" xfId="29338" xr:uid="{00000000-0005-0000-0000-000099720000}"/>
    <cellStyle name="Денежный 3 2 7 3 2" xfId="29339" xr:uid="{00000000-0005-0000-0000-00009A720000}"/>
    <cellStyle name="Денежный 3 2 7 4" xfId="29340" xr:uid="{00000000-0005-0000-0000-00009B720000}"/>
    <cellStyle name="Денежный 3 2 7 4 2" xfId="29341" xr:uid="{00000000-0005-0000-0000-00009C720000}"/>
    <cellStyle name="Денежный 3 2 7 5" xfId="29342" xr:uid="{00000000-0005-0000-0000-00009D720000}"/>
    <cellStyle name="Денежный 3 2 8" xfId="29343" xr:uid="{00000000-0005-0000-0000-00009E720000}"/>
    <cellStyle name="Денежный 3 2 8 2" xfId="29344" xr:uid="{00000000-0005-0000-0000-00009F720000}"/>
    <cellStyle name="Денежный 3 2 8 2 2" xfId="29345" xr:uid="{00000000-0005-0000-0000-0000A0720000}"/>
    <cellStyle name="Денежный 3 2 8 2 2 2" xfId="29346" xr:uid="{00000000-0005-0000-0000-0000A1720000}"/>
    <cellStyle name="Денежный 3 2 8 2 3" xfId="29347" xr:uid="{00000000-0005-0000-0000-0000A2720000}"/>
    <cellStyle name="Денежный 3 2 8 3" xfId="29348" xr:uid="{00000000-0005-0000-0000-0000A3720000}"/>
    <cellStyle name="Денежный 3 2 8 3 2" xfId="29349" xr:uid="{00000000-0005-0000-0000-0000A4720000}"/>
    <cellStyle name="Денежный 3 2 8 4" xfId="29350" xr:uid="{00000000-0005-0000-0000-0000A5720000}"/>
    <cellStyle name="Денежный 3 2 8 4 2" xfId="29351" xr:uid="{00000000-0005-0000-0000-0000A6720000}"/>
    <cellStyle name="Денежный 3 2 8 5" xfId="29352" xr:uid="{00000000-0005-0000-0000-0000A7720000}"/>
    <cellStyle name="Денежный 3 2 9" xfId="29353" xr:uid="{00000000-0005-0000-0000-0000A8720000}"/>
    <cellStyle name="Денежный 3 2 9 2" xfId="29354" xr:uid="{00000000-0005-0000-0000-0000A9720000}"/>
    <cellStyle name="Денежный 3 2 9 2 2" xfId="29355" xr:uid="{00000000-0005-0000-0000-0000AA720000}"/>
    <cellStyle name="Денежный 3 2 9 2 2 2" xfId="29356" xr:uid="{00000000-0005-0000-0000-0000AB720000}"/>
    <cellStyle name="Денежный 3 2 9 2 3" xfId="29357" xr:uid="{00000000-0005-0000-0000-0000AC720000}"/>
    <cellStyle name="Денежный 3 2 9 3" xfId="29358" xr:uid="{00000000-0005-0000-0000-0000AD720000}"/>
    <cellStyle name="Денежный 3 2 9 3 2" xfId="29359" xr:uid="{00000000-0005-0000-0000-0000AE720000}"/>
    <cellStyle name="Денежный 3 2 9 4" xfId="29360" xr:uid="{00000000-0005-0000-0000-0000AF720000}"/>
    <cellStyle name="Денежный 3 2 9 4 2" xfId="29361" xr:uid="{00000000-0005-0000-0000-0000B0720000}"/>
    <cellStyle name="Денежный 3 2 9 5" xfId="29362" xr:uid="{00000000-0005-0000-0000-0000B1720000}"/>
    <cellStyle name="Денежный 3 3" xfId="29363" xr:uid="{00000000-0005-0000-0000-0000B2720000}"/>
    <cellStyle name="Денежный 3 3 10" xfId="29364" xr:uid="{00000000-0005-0000-0000-0000B3720000}"/>
    <cellStyle name="Денежный 3 3 2" xfId="29365" xr:uid="{00000000-0005-0000-0000-0000B4720000}"/>
    <cellStyle name="Денежный 3 3 2 2" xfId="29366" xr:uid="{00000000-0005-0000-0000-0000B5720000}"/>
    <cellStyle name="Денежный 3 3 2 2 2" xfId="29367" xr:uid="{00000000-0005-0000-0000-0000B6720000}"/>
    <cellStyle name="Денежный 3 3 2 2 2 2" xfId="29368" xr:uid="{00000000-0005-0000-0000-0000B7720000}"/>
    <cellStyle name="Денежный 3 3 2 2 3" xfId="29369" xr:uid="{00000000-0005-0000-0000-0000B8720000}"/>
    <cellStyle name="Денежный 3 3 2 3" xfId="29370" xr:uid="{00000000-0005-0000-0000-0000B9720000}"/>
    <cellStyle name="Денежный 3 3 2 3 2" xfId="29371" xr:uid="{00000000-0005-0000-0000-0000BA720000}"/>
    <cellStyle name="Денежный 3 3 2 4" xfId="29372" xr:uid="{00000000-0005-0000-0000-0000BB720000}"/>
    <cellStyle name="Денежный 3 3 2 4 2" xfId="29373" xr:uid="{00000000-0005-0000-0000-0000BC720000}"/>
    <cellStyle name="Денежный 3 3 2 5" xfId="29374" xr:uid="{00000000-0005-0000-0000-0000BD720000}"/>
    <cellStyle name="Денежный 3 3 3" xfId="29375" xr:uid="{00000000-0005-0000-0000-0000BE720000}"/>
    <cellStyle name="Денежный 3 3 3 2" xfId="29376" xr:uid="{00000000-0005-0000-0000-0000BF720000}"/>
    <cellStyle name="Денежный 3 3 3 2 2" xfId="29377" xr:uid="{00000000-0005-0000-0000-0000C0720000}"/>
    <cellStyle name="Денежный 3 3 3 2 2 2" xfId="29378" xr:uid="{00000000-0005-0000-0000-0000C1720000}"/>
    <cellStyle name="Денежный 3 3 3 2 3" xfId="29379" xr:uid="{00000000-0005-0000-0000-0000C2720000}"/>
    <cellStyle name="Денежный 3 3 3 3" xfId="29380" xr:uid="{00000000-0005-0000-0000-0000C3720000}"/>
    <cellStyle name="Денежный 3 3 3 3 2" xfId="29381" xr:uid="{00000000-0005-0000-0000-0000C4720000}"/>
    <cellStyle name="Денежный 3 3 3 4" xfId="29382" xr:uid="{00000000-0005-0000-0000-0000C5720000}"/>
    <cellStyle name="Денежный 3 3 3 4 2" xfId="29383" xr:uid="{00000000-0005-0000-0000-0000C6720000}"/>
    <cellStyle name="Денежный 3 3 3 5" xfId="29384" xr:uid="{00000000-0005-0000-0000-0000C7720000}"/>
    <cellStyle name="Денежный 3 3 4" xfId="29385" xr:uid="{00000000-0005-0000-0000-0000C8720000}"/>
    <cellStyle name="Денежный 3 3 4 2" xfId="29386" xr:uid="{00000000-0005-0000-0000-0000C9720000}"/>
    <cellStyle name="Денежный 3 3 4 2 2" xfId="29387" xr:uid="{00000000-0005-0000-0000-0000CA720000}"/>
    <cellStyle name="Денежный 3 3 4 2 2 2" xfId="29388" xr:uid="{00000000-0005-0000-0000-0000CB720000}"/>
    <cellStyle name="Денежный 3 3 4 2 3" xfId="29389" xr:uid="{00000000-0005-0000-0000-0000CC720000}"/>
    <cellStyle name="Денежный 3 3 4 3" xfId="29390" xr:uid="{00000000-0005-0000-0000-0000CD720000}"/>
    <cellStyle name="Денежный 3 3 4 3 2" xfId="29391" xr:uid="{00000000-0005-0000-0000-0000CE720000}"/>
    <cellStyle name="Денежный 3 3 4 4" xfId="29392" xr:uid="{00000000-0005-0000-0000-0000CF720000}"/>
    <cellStyle name="Денежный 3 3 4 4 2" xfId="29393" xr:uid="{00000000-0005-0000-0000-0000D0720000}"/>
    <cellStyle name="Денежный 3 3 4 5" xfId="29394" xr:uid="{00000000-0005-0000-0000-0000D1720000}"/>
    <cellStyle name="Денежный 3 3 5" xfId="29395" xr:uid="{00000000-0005-0000-0000-0000D2720000}"/>
    <cellStyle name="Денежный 3 3 5 2" xfId="29396" xr:uid="{00000000-0005-0000-0000-0000D3720000}"/>
    <cellStyle name="Денежный 3 3 5 2 2" xfId="29397" xr:uid="{00000000-0005-0000-0000-0000D4720000}"/>
    <cellStyle name="Денежный 3 3 5 2 2 2" xfId="29398" xr:uid="{00000000-0005-0000-0000-0000D5720000}"/>
    <cellStyle name="Денежный 3 3 5 2 3" xfId="29399" xr:uid="{00000000-0005-0000-0000-0000D6720000}"/>
    <cellStyle name="Денежный 3 3 5 3" xfId="29400" xr:uid="{00000000-0005-0000-0000-0000D7720000}"/>
    <cellStyle name="Денежный 3 3 5 3 2" xfId="29401" xr:uid="{00000000-0005-0000-0000-0000D8720000}"/>
    <cellStyle name="Денежный 3 3 5 4" xfId="29402" xr:uid="{00000000-0005-0000-0000-0000D9720000}"/>
    <cellStyle name="Денежный 3 3 5 4 2" xfId="29403" xr:uid="{00000000-0005-0000-0000-0000DA720000}"/>
    <cellStyle name="Денежный 3 3 5 5" xfId="29404" xr:uid="{00000000-0005-0000-0000-0000DB720000}"/>
    <cellStyle name="Денежный 3 3 6" xfId="29405" xr:uid="{00000000-0005-0000-0000-0000DC720000}"/>
    <cellStyle name="Денежный 3 3 6 2" xfId="29406" xr:uid="{00000000-0005-0000-0000-0000DD720000}"/>
    <cellStyle name="Денежный 3 3 6 2 2" xfId="29407" xr:uid="{00000000-0005-0000-0000-0000DE720000}"/>
    <cellStyle name="Денежный 3 3 6 3" xfId="29408" xr:uid="{00000000-0005-0000-0000-0000DF720000}"/>
    <cellStyle name="Денежный 3 3 7" xfId="29409" xr:uid="{00000000-0005-0000-0000-0000E0720000}"/>
    <cellStyle name="Денежный 3 3 7 2" xfId="29410" xr:uid="{00000000-0005-0000-0000-0000E1720000}"/>
    <cellStyle name="Денежный 3 3 8" xfId="29411" xr:uid="{00000000-0005-0000-0000-0000E2720000}"/>
    <cellStyle name="Денежный 3 3 8 2" xfId="29412" xr:uid="{00000000-0005-0000-0000-0000E3720000}"/>
    <cellStyle name="Денежный 3 3 9" xfId="29413" xr:uid="{00000000-0005-0000-0000-0000E4720000}"/>
    <cellStyle name="Денежный 3 4" xfId="29414" xr:uid="{00000000-0005-0000-0000-0000E5720000}"/>
    <cellStyle name="Денежный 3 4 10" xfId="29415" xr:uid="{00000000-0005-0000-0000-0000E6720000}"/>
    <cellStyle name="Денежный 3 4 2" xfId="29416" xr:uid="{00000000-0005-0000-0000-0000E7720000}"/>
    <cellStyle name="Денежный 3 4 2 2" xfId="29417" xr:uid="{00000000-0005-0000-0000-0000E8720000}"/>
    <cellStyle name="Денежный 3 4 2 2 2" xfId="29418" xr:uid="{00000000-0005-0000-0000-0000E9720000}"/>
    <cellStyle name="Денежный 3 4 2 2 2 2" xfId="29419" xr:uid="{00000000-0005-0000-0000-0000EA720000}"/>
    <cellStyle name="Денежный 3 4 2 2 3" xfId="29420" xr:uid="{00000000-0005-0000-0000-0000EB720000}"/>
    <cellStyle name="Денежный 3 4 2 3" xfId="29421" xr:uid="{00000000-0005-0000-0000-0000EC720000}"/>
    <cellStyle name="Денежный 3 4 2 3 2" xfId="29422" xr:uid="{00000000-0005-0000-0000-0000ED720000}"/>
    <cellStyle name="Денежный 3 4 2 4" xfId="29423" xr:uid="{00000000-0005-0000-0000-0000EE720000}"/>
    <cellStyle name="Денежный 3 4 2 4 2" xfId="29424" xr:uid="{00000000-0005-0000-0000-0000EF720000}"/>
    <cellStyle name="Денежный 3 4 2 5" xfId="29425" xr:uid="{00000000-0005-0000-0000-0000F0720000}"/>
    <cellStyle name="Денежный 3 4 3" xfId="29426" xr:uid="{00000000-0005-0000-0000-0000F1720000}"/>
    <cellStyle name="Денежный 3 4 3 2" xfId="29427" xr:uid="{00000000-0005-0000-0000-0000F2720000}"/>
    <cellStyle name="Денежный 3 4 3 2 2" xfId="29428" xr:uid="{00000000-0005-0000-0000-0000F3720000}"/>
    <cellStyle name="Денежный 3 4 3 2 2 2" xfId="29429" xr:uid="{00000000-0005-0000-0000-0000F4720000}"/>
    <cellStyle name="Денежный 3 4 3 2 3" xfId="29430" xr:uid="{00000000-0005-0000-0000-0000F5720000}"/>
    <cellStyle name="Денежный 3 4 3 3" xfId="29431" xr:uid="{00000000-0005-0000-0000-0000F6720000}"/>
    <cellStyle name="Денежный 3 4 3 3 2" xfId="29432" xr:uid="{00000000-0005-0000-0000-0000F7720000}"/>
    <cellStyle name="Денежный 3 4 3 4" xfId="29433" xr:uid="{00000000-0005-0000-0000-0000F8720000}"/>
    <cellStyle name="Денежный 3 4 3 4 2" xfId="29434" xr:uid="{00000000-0005-0000-0000-0000F9720000}"/>
    <cellStyle name="Денежный 3 4 3 5" xfId="29435" xr:uid="{00000000-0005-0000-0000-0000FA720000}"/>
    <cellStyle name="Денежный 3 4 4" xfId="29436" xr:uid="{00000000-0005-0000-0000-0000FB720000}"/>
    <cellStyle name="Денежный 3 4 4 2" xfId="29437" xr:uid="{00000000-0005-0000-0000-0000FC720000}"/>
    <cellStyle name="Денежный 3 4 4 2 2" xfId="29438" xr:uid="{00000000-0005-0000-0000-0000FD720000}"/>
    <cellStyle name="Денежный 3 4 4 2 2 2" xfId="29439" xr:uid="{00000000-0005-0000-0000-0000FE720000}"/>
    <cellStyle name="Денежный 3 4 4 2 3" xfId="29440" xr:uid="{00000000-0005-0000-0000-0000FF720000}"/>
    <cellStyle name="Денежный 3 4 4 3" xfId="29441" xr:uid="{00000000-0005-0000-0000-000000730000}"/>
    <cellStyle name="Денежный 3 4 4 3 2" xfId="29442" xr:uid="{00000000-0005-0000-0000-000001730000}"/>
    <cellStyle name="Денежный 3 4 4 4" xfId="29443" xr:uid="{00000000-0005-0000-0000-000002730000}"/>
    <cellStyle name="Денежный 3 4 4 4 2" xfId="29444" xr:uid="{00000000-0005-0000-0000-000003730000}"/>
    <cellStyle name="Денежный 3 4 4 5" xfId="29445" xr:uid="{00000000-0005-0000-0000-000004730000}"/>
    <cellStyle name="Денежный 3 4 5" xfId="29446" xr:uid="{00000000-0005-0000-0000-000005730000}"/>
    <cellStyle name="Денежный 3 4 5 2" xfId="29447" xr:uid="{00000000-0005-0000-0000-000006730000}"/>
    <cellStyle name="Денежный 3 4 5 2 2" xfId="29448" xr:uid="{00000000-0005-0000-0000-000007730000}"/>
    <cellStyle name="Денежный 3 4 5 2 2 2" xfId="29449" xr:uid="{00000000-0005-0000-0000-000008730000}"/>
    <cellStyle name="Денежный 3 4 5 2 3" xfId="29450" xr:uid="{00000000-0005-0000-0000-000009730000}"/>
    <cellStyle name="Денежный 3 4 5 3" xfId="29451" xr:uid="{00000000-0005-0000-0000-00000A730000}"/>
    <cellStyle name="Денежный 3 4 5 3 2" xfId="29452" xr:uid="{00000000-0005-0000-0000-00000B730000}"/>
    <cellStyle name="Денежный 3 4 5 4" xfId="29453" xr:uid="{00000000-0005-0000-0000-00000C730000}"/>
    <cellStyle name="Денежный 3 4 5 4 2" xfId="29454" xr:uid="{00000000-0005-0000-0000-00000D730000}"/>
    <cellStyle name="Денежный 3 4 5 5" xfId="29455" xr:uid="{00000000-0005-0000-0000-00000E730000}"/>
    <cellStyle name="Денежный 3 4 6" xfId="29456" xr:uid="{00000000-0005-0000-0000-00000F730000}"/>
    <cellStyle name="Денежный 3 4 6 2" xfId="29457" xr:uid="{00000000-0005-0000-0000-000010730000}"/>
    <cellStyle name="Денежный 3 4 6 2 2" xfId="29458" xr:uid="{00000000-0005-0000-0000-000011730000}"/>
    <cellStyle name="Денежный 3 4 6 3" xfId="29459" xr:uid="{00000000-0005-0000-0000-000012730000}"/>
    <cellStyle name="Денежный 3 4 7" xfId="29460" xr:uid="{00000000-0005-0000-0000-000013730000}"/>
    <cellStyle name="Денежный 3 4 7 2" xfId="29461" xr:uid="{00000000-0005-0000-0000-000014730000}"/>
    <cellStyle name="Денежный 3 4 8" xfId="29462" xr:uid="{00000000-0005-0000-0000-000015730000}"/>
    <cellStyle name="Денежный 3 4 8 2" xfId="29463" xr:uid="{00000000-0005-0000-0000-000016730000}"/>
    <cellStyle name="Денежный 3 4 9" xfId="29464" xr:uid="{00000000-0005-0000-0000-000017730000}"/>
    <cellStyle name="Денежный 3 5" xfId="29465" xr:uid="{00000000-0005-0000-0000-000018730000}"/>
    <cellStyle name="Денежный 3 5 10" xfId="29466" xr:uid="{00000000-0005-0000-0000-000019730000}"/>
    <cellStyle name="Денежный 3 5 2" xfId="29467" xr:uid="{00000000-0005-0000-0000-00001A730000}"/>
    <cellStyle name="Денежный 3 5 2 2" xfId="29468" xr:uid="{00000000-0005-0000-0000-00001B730000}"/>
    <cellStyle name="Денежный 3 5 2 2 2" xfId="29469" xr:uid="{00000000-0005-0000-0000-00001C730000}"/>
    <cellStyle name="Денежный 3 5 2 2 2 2" xfId="29470" xr:uid="{00000000-0005-0000-0000-00001D730000}"/>
    <cellStyle name="Денежный 3 5 2 2 3" xfId="29471" xr:uid="{00000000-0005-0000-0000-00001E730000}"/>
    <cellStyle name="Денежный 3 5 2 3" xfId="29472" xr:uid="{00000000-0005-0000-0000-00001F730000}"/>
    <cellStyle name="Денежный 3 5 2 3 2" xfId="29473" xr:uid="{00000000-0005-0000-0000-000020730000}"/>
    <cellStyle name="Денежный 3 5 2 4" xfId="29474" xr:uid="{00000000-0005-0000-0000-000021730000}"/>
    <cellStyle name="Денежный 3 5 2 4 2" xfId="29475" xr:uid="{00000000-0005-0000-0000-000022730000}"/>
    <cellStyle name="Денежный 3 5 2 5" xfId="29476" xr:uid="{00000000-0005-0000-0000-000023730000}"/>
    <cellStyle name="Денежный 3 5 3" xfId="29477" xr:uid="{00000000-0005-0000-0000-000024730000}"/>
    <cellStyle name="Денежный 3 5 3 2" xfId="29478" xr:uid="{00000000-0005-0000-0000-000025730000}"/>
    <cellStyle name="Денежный 3 5 3 2 2" xfId="29479" xr:uid="{00000000-0005-0000-0000-000026730000}"/>
    <cellStyle name="Денежный 3 5 3 2 2 2" xfId="29480" xr:uid="{00000000-0005-0000-0000-000027730000}"/>
    <cellStyle name="Денежный 3 5 3 2 3" xfId="29481" xr:uid="{00000000-0005-0000-0000-000028730000}"/>
    <cellStyle name="Денежный 3 5 3 3" xfId="29482" xr:uid="{00000000-0005-0000-0000-000029730000}"/>
    <cellStyle name="Денежный 3 5 3 3 2" xfId="29483" xr:uid="{00000000-0005-0000-0000-00002A730000}"/>
    <cellStyle name="Денежный 3 5 3 4" xfId="29484" xr:uid="{00000000-0005-0000-0000-00002B730000}"/>
    <cellStyle name="Денежный 3 5 3 4 2" xfId="29485" xr:uid="{00000000-0005-0000-0000-00002C730000}"/>
    <cellStyle name="Денежный 3 5 3 5" xfId="29486" xr:uid="{00000000-0005-0000-0000-00002D730000}"/>
    <cellStyle name="Денежный 3 5 4" xfId="29487" xr:uid="{00000000-0005-0000-0000-00002E730000}"/>
    <cellStyle name="Денежный 3 5 4 2" xfId="29488" xr:uid="{00000000-0005-0000-0000-00002F730000}"/>
    <cellStyle name="Денежный 3 5 4 2 2" xfId="29489" xr:uid="{00000000-0005-0000-0000-000030730000}"/>
    <cellStyle name="Денежный 3 5 4 2 2 2" xfId="29490" xr:uid="{00000000-0005-0000-0000-000031730000}"/>
    <cellStyle name="Денежный 3 5 4 2 3" xfId="29491" xr:uid="{00000000-0005-0000-0000-000032730000}"/>
    <cellStyle name="Денежный 3 5 4 3" xfId="29492" xr:uid="{00000000-0005-0000-0000-000033730000}"/>
    <cellStyle name="Денежный 3 5 4 3 2" xfId="29493" xr:uid="{00000000-0005-0000-0000-000034730000}"/>
    <cellStyle name="Денежный 3 5 4 4" xfId="29494" xr:uid="{00000000-0005-0000-0000-000035730000}"/>
    <cellStyle name="Денежный 3 5 4 4 2" xfId="29495" xr:uid="{00000000-0005-0000-0000-000036730000}"/>
    <cellStyle name="Денежный 3 5 4 5" xfId="29496" xr:uid="{00000000-0005-0000-0000-000037730000}"/>
    <cellStyle name="Денежный 3 5 5" xfId="29497" xr:uid="{00000000-0005-0000-0000-000038730000}"/>
    <cellStyle name="Денежный 3 5 5 2" xfId="29498" xr:uid="{00000000-0005-0000-0000-000039730000}"/>
    <cellStyle name="Денежный 3 5 5 2 2" xfId="29499" xr:uid="{00000000-0005-0000-0000-00003A730000}"/>
    <cellStyle name="Денежный 3 5 5 2 2 2" xfId="29500" xr:uid="{00000000-0005-0000-0000-00003B730000}"/>
    <cellStyle name="Денежный 3 5 5 2 3" xfId="29501" xr:uid="{00000000-0005-0000-0000-00003C730000}"/>
    <cellStyle name="Денежный 3 5 5 3" xfId="29502" xr:uid="{00000000-0005-0000-0000-00003D730000}"/>
    <cellStyle name="Денежный 3 5 5 3 2" xfId="29503" xr:uid="{00000000-0005-0000-0000-00003E730000}"/>
    <cellStyle name="Денежный 3 5 5 4" xfId="29504" xr:uid="{00000000-0005-0000-0000-00003F730000}"/>
    <cellStyle name="Денежный 3 5 5 4 2" xfId="29505" xr:uid="{00000000-0005-0000-0000-000040730000}"/>
    <cellStyle name="Денежный 3 5 5 5" xfId="29506" xr:uid="{00000000-0005-0000-0000-000041730000}"/>
    <cellStyle name="Денежный 3 5 6" xfId="29507" xr:uid="{00000000-0005-0000-0000-000042730000}"/>
    <cellStyle name="Денежный 3 5 6 2" xfId="29508" xr:uid="{00000000-0005-0000-0000-000043730000}"/>
    <cellStyle name="Денежный 3 5 6 2 2" xfId="29509" xr:uid="{00000000-0005-0000-0000-000044730000}"/>
    <cellStyle name="Денежный 3 5 6 3" xfId="29510" xr:uid="{00000000-0005-0000-0000-000045730000}"/>
    <cellStyle name="Денежный 3 5 7" xfId="29511" xr:uid="{00000000-0005-0000-0000-000046730000}"/>
    <cellStyle name="Денежный 3 5 7 2" xfId="29512" xr:uid="{00000000-0005-0000-0000-000047730000}"/>
    <cellStyle name="Денежный 3 5 8" xfId="29513" xr:uid="{00000000-0005-0000-0000-000048730000}"/>
    <cellStyle name="Денежный 3 5 8 2" xfId="29514" xr:uid="{00000000-0005-0000-0000-000049730000}"/>
    <cellStyle name="Денежный 3 5 9" xfId="29515" xr:uid="{00000000-0005-0000-0000-00004A730000}"/>
    <cellStyle name="Денежный 3 6" xfId="29516" xr:uid="{00000000-0005-0000-0000-00004B730000}"/>
    <cellStyle name="Денежный 3 6 10" xfId="29517" xr:uid="{00000000-0005-0000-0000-00004C730000}"/>
    <cellStyle name="Денежный 3 6 2" xfId="29518" xr:uid="{00000000-0005-0000-0000-00004D730000}"/>
    <cellStyle name="Денежный 3 6 2 2" xfId="29519" xr:uid="{00000000-0005-0000-0000-00004E730000}"/>
    <cellStyle name="Денежный 3 6 2 2 2" xfId="29520" xr:uid="{00000000-0005-0000-0000-00004F730000}"/>
    <cellStyle name="Денежный 3 6 2 2 2 2" xfId="29521" xr:uid="{00000000-0005-0000-0000-000050730000}"/>
    <cellStyle name="Денежный 3 6 2 2 3" xfId="29522" xr:uid="{00000000-0005-0000-0000-000051730000}"/>
    <cellStyle name="Денежный 3 6 2 3" xfId="29523" xr:uid="{00000000-0005-0000-0000-000052730000}"/>
    <cellStyle name="Денежный 3 6 2 3 2" xfId="29524" xr:uid="{00000000-0005-0000-0000-000053730000}"/>
    <cellStyle name="Денежный 3 6 2 4" xfId="29525" xr:uid="{00000000-0005-0000-0000-000054730000}"/>
    <cellStyle name="Денежный 3 6 2 4 2" xfId="29526" xr:uid="{00000000-0005-0000-0000-000055730000}"/>
    <cellStyle name="Денежный 3 6 2 5" xfId="29527" xr:uid="{00000000-0005-0000-0000-000056730000}"/>
    <cellStyle name="Денежный 3 6 3" xfId="29528" xr:uid="{00000000-0005-0000-0000-000057730000}"/>
    <cellStyle name="Денежный 3 6 3 2" xfId="29529" xr:uid="{00000000-0005-0000-0000-000058730000}"/>
    <cellStyle name="Денежный 3 6 3 2 2" xfId="29530" xr:uid="{00000000-0005-0000-0000-000059730000}"/>
    <cellStyle name="Денежный 3 6 3 2 2 2" xfId="29531" xr:uid="{00000000-0005-0000-0000-00005A730000}"/>
    <cellStyle name="Денежный 3 6 3 2 3" xfId="29532" xr:uid="{00000000-0005-0000-0000-00005B730000}"/>
    <cellStyle name="Денежный 3 6 3 3" xfId="29533" xr:uid="{00000000-0005-0000-0000-00005C730000}"/>
    <cellStyle name="Денежный 3 6 3 3 2" xfId="29534" xr:uid="{00000000-0005-0000-0000-00005D730000}"/>
    <cellStyle name="Денежный 3 6 3 4" xfId="29535" xr:uid="{00000000-0005-0000-0000-00005E730000}"/>
    <cellStyle name="Денежный 3 6 3 4 2" xfId="29536" xr:uid="{00000000-0005-0000-0000-00005F730000}"/>
    <cellStyle name="Денежный 3 6 3 5" xfId="29537" xr:uid="{00000000-0005-0000-0000-000060730000}"/>
    <cellStyle name="Денежный 3 6 4" xfId="29538" xr:uid="{00000000-0005-0000-0000-000061730000}"/>
    <cellStyle name="Денежный 3 6 4 2" xfId="29539" xr:uid="{00000000-0005-0000-0000-000062730000}"/>
    <cellStyle name="Денежный 3 6 4 2 2" xfId="29540" xr:uid="{00000000-0005-0000-0000-000063730000}"/>
    <cellStyle name="Денежный 3 6 4 2 2 2" xfId="29541" xr:uid="{00000000-0005-0000-0000-000064730000}"/>
    <cellStyle name="Денежный 3 6 4 2 3" xfId="29542" xr:uid="{00000000-0005-0000-0000-000065730000}"/>
    <cellStyle name="Денежный 3 6 4 3" xfId="29543" xr:uid="{00000000-0005-0000-0000-000066730000}"/>
    <cellStyle name="Денежный 3 6 4 3 2" xfId="29544" xr:uid="{00000000-0005-0000-0000-000067730000}"/>
    <cellStyle name="Денежный 3 6 4 4" xfId="29545" xr:uid="{00000000-0005-0000-0000-000068730000}"/>
    <cellStyle name="Денежный 3 6 4 4 2" xfId="29546" xr:uid="{00000000-0005-0000-0000-000069730000}"/>
    <cellStyle name="Денежный 3 6 4 5" xfId="29547" xr:uid="{00000000-0005-0000-0000-00006A730000}"/>
    <cellStyle name="Денежный 3 6 5" xfId="29548" xr:uid="{00000000-0005-0000-0000-00006B730000}"/>
    <cellStyle name="Денежный 3 6 5 2" xfId="29549" xr:uid="{00000000-0005-0000-0000-00006C730000}"/>
    <cellStyle name="Денежный 3 6 5 2 2" xfId="29550" xr:uid="{00000000-0005-0000-0000-00006D730000}"/>
    <cellStyle name="Денежный 3 6 5 2 2 2" xfId="29551" xr:uid="{00000000-0005-0000-0000-00006E730000}"/>
    <cellStyle name="Денежный 3 6 5 2 3" xfId="29552" xr:uid="{00000000-0005-0000-0000-00006F730000}"/>
    <cellStyle name="Денежный 3 6 5 3" xfId="29553" xr:uid="{00000000-0005-0000-0000-000070730000}"/>
    <cellStyle name="Денежный 3 6 5 3 2" xfId="29554" xr:uid="{00000000-0005-0000-0000-000071730000}"/>
    <cellStyle name="Денежный 3 6 5 4" xfId="29555" xr:uid="{00000000-0005-0000-0000-000072730000}"/>
    <cellStyle name="Денежный 3 6 5 4 2" xfId="29556" xr:uid="{00000000-0005-0000-0000-000073730000}"/>
    <cellStyle name="Денежный 3 6 5 5" xfId="29557" xr:uid="{00000000-0005-0000-0000-000074730000}"/>
    <cellStyle name="Денежный 3 6 6" xfId="29558" xr:uid="{00000000-0005-0000-0000-000075730000}"/>
    <cellStyle name="Денежный 3 6 6 2" xfId="29559" xr:uid="{00000000-0005-0000-0000-000076730000}"/>
    <cellStyle name="Денежный 3 6 6 2 2" xfId="29560" xr:uid="{00000000-0005-0000-0000-000077730000}"/>
    <cellStyle name="Денежный 3 6 6 3" xfId="29561" xr:uid="{00000000-0005-0000-0000-000078730000}"/>
    <cellStyle name="Денежный 3 6 7" xfId="29562" xr:uid="{00000000-0005-0000-0000-000079730000}"/>
    <cellStyle name="Денежный 3 6 7 2" xfId="29563" xr:uid="{00000000-0005-0000-0000-00007A730000}"/>
    <cellStyle name="Денежный 3 6 8" xfId="29564" xr:uid="{00000000-0005-0000-0000-00007B730000}"/>
    <cellStyle name="Денежный 3 6 8 2" xfId="29565" xr:uid="{00000000-0005-0000-0000-00007C730000}"/>
    <cellStyle name="Денежный 3 6 9" xfId="29566" xr:uid="{00000000-0005-0000-0000-00007D730000}"/>
    <cellStyle name="Денежный 3 7" xfId="29567" xr:uid="{00000000-0005-0000-0000-00007E730000}"/>
    <cellStyle name="Денежный 3 7 10" xfId="29568" xr:uid="{00000000-0005-0000-0000-00007F730000}"/>
    <cellStyle name="Денежный 3 7 2" xfId="29569" xr:uid="{00000000-0005-0000-0000-000080730000}"/>
    <cellStyle name="Денежный 3 7 2 2" xfId="29570" xr:uid="{00000000-0005-0000-0000-000081730000}"/>
    <cellStyle name="Денежный 3 7 2 2 2" xfId="29571" xr:uid="{00000000-0005-0000-0000-000082730000}"/>
    <cellStyle name="Денежный 3 7 2 2 2 2" xfId="29572" xr:uid="{00000000-0005-0000-0000-000083730000}"/>
    <cellStyle name="Денежный 3 7 2 2 3" xfId="29573" xr:uid="{00000000-0005-0000-0000-000084730000}"/>
    <cellStyle name="Денежный 3 7 2 3" xfId="29574" xr:uid="{00000000-0005-0000-0000-000085730000}"/>
    <cellStyle name="Денежный 3 7 2 3 2" xfId="29575" xr:uid="{00000000-0005-0000-0000-000086730000}"/>
    <cellStyle name="Денежный 3 7 2 4" xfId="29576" xr:uid="{00000000-0005-0000-0000-000087730000}"/>
    <cellStyle name="Денежный 3 7 2 4 2" xfId="29577" xr:uid="{00000000-0005-0000-0000-000088730000}"/>
    <cellStyle name="Денежный 3 7 2 5" xfId="29578" xr:uid="{00000000-0005-0000-0000-000089730000}"/>
    <cellStyle name="Денежный 3 7 3" xfId="29579" xr:uid="{00000000-0005-0000-0000-00008A730000}"/>
    <cellStyle name="Денежный 3 7 3 2" xfId="29580" xr:uid="{00000000-0005-0000-0000-00008B730000}"/>
    <cellStyle name="Денежный 3 7 3 2 2" xfId="29581" xr:uid="{00000000-0005-0000-0000-00008C730000}"/>
    <cellStyle name="Денежный 3 7 3 2 2 2" xfId="29582" xr:uid="{00000000-0005-0000-0000-00008D730000}"/>
    <cellStyle name="Денежный 3 7 3 2 3" xfId="29583" xr:uid="{00000000-0005-0000-0000-00008E730000}"/>
    <cellStyle name="Денежный 3 7 3 3" xfId="29584" xr:uid="{00000000-0005-0000-0000-00008F730000}"/>
    <cellStyle name="Денежный 3 7 3 3 2" xfId="29585" xr:uid="{00000000-0005-0000-0000-000090730000}"/>
    <cellStyle name="Денежный 3 7 3 4" xfId="29586" xr:uid="{00000000-0005-0000-0000-000091730000}"/>
    <cellStyle name="Денежный 3 7 3 4 2" xfId="29587" xr:uid="{00000000-0005-0000-0000-000092730000}"/>
    <cellStyle name="Денежный 3 7 3 5" xfId="29588" xr:uid="{00000000-0005-0000-0000-000093730000}"/>
    <cellStyle name="Денежный 3 7 4" xfId="29589" xr:uid="{00000000-0005-0000-0000-000094730000}"/>
    <cellStyle name="Денежный 3 7 4 2" xfId="29590" xr:uid="{00000000-0005-0000-0000-000095730000}"/>
    <cellStyle name="Денежный 3 7 4 2 2" xfId="29591" xr:uid="{00000000-0005-0000-0000-000096730000}"/>
    <cellStyle name="Денежный 3 7 4 2 2 2" xfId="29592" xr:uid="{00000000-0005-0000-0000-000097730000}"/>
    <cellStyle name="Денежный 3 7 4 2 3" xfId="29593" xr:uid="{00000000-0005-0000-0000-000098730000}"/>
    <cellStyle name="Денежный 3 7 4 3" xfId="29594" xr:uid="{00000000-0005-0000-0000-000099730000}"/>
    <cellStyle name="Денежный 3 7 4 3 2" xfId="29595" xr:uid="{00000000-0005-0000-0000-00009A730000}"/>
    <cellStyle name="Денежный 3 7 4 4" xfId="29596" xr:uid="{00000000-0005-0000-0000-00009B730000}"/>
    <cellStyle name="Денежный 3 7 4 4 2" xfId="29597" xr:uid="{00000000-0005-0000-0000-00009C730000}"/>
    <cellStyle name="Денежный 3 7 4 5" xfId="29598" xr:uid="{00000000-0005-0000-0000-00009D730000}"/>
    <cellStyle name="Денежный 3 7 5" xfId="29599" xr:uid="{00000000-0005-0000-0000-00009E730000}"/>
    <cellStyle name="Денежный 3 7 5 2" xfId="29600" xr:uid="{00000000-0005-0000-0000-00009F730000}"/>
    <cellStyle name="Денежный 3 7 5 2 2" xfId="29601" xr:uid="{00000000-0005-0000-0000-0000A0730000}"/>
    <cellStyle name="Денежный 3 7 5 2 2 2" xfId="29602" xr:uid="{00000000-0005-0000-0000-0000A1730000}"/>
    <cellStyle name="Денежный 3 7 5 2 3" xfId="29603" xr:uid="{00000000-0005-0000-0000-0000A2730000}"/>
    <cellStyle name="Денежный 3 7 5 3" xfId="29604" xr:uid="{00000000-0005-0000-0000-0000A3730000}"/>
    <cellStyle name="Денежный 3 7 5 3 2" xfId="29605" xr:uid="{00000000-0005-0000-0000-0000A4730000}"/>
    <cellStyle name="Денежный 3 7 5 4" xfId="29606" xr:uid="{00000000-0005-0000-0000-0000A5730000}"/>
    <cellStyle name="Денежный 3 7 5 4 2" xfId="29607" xr:uid="{00000000-0005-0000-0000-0000A6730000}"/>
    <cellStyle name="Денежный 3 7 5 5" xfId="29608" xr:uid="{00000000-0005-0000-0000-0000A7730000}"/>
    <cellStyle name="Денежный 3 7 6" xfId="29609" xr:uid="{00000000-0005-0000-0000-0000A8730000}"/>
    <cellStyle name="Денежный 3 7 6 2" xfId="29610" xr:uid="{00000000-0005-0000-0000-0000A9730000}"/>
    <cellStyle name="Денежный 3 7 6 2 2" xfId="29611" xr:uid="{00000000-0005-0000-0000-0000AA730000}"/>
    <cellStyle name="Денежный 3 7 6 3" xfId="29612" xr:uid="{00000000-0005-0000-0000-0000AB730000}"/>
    <cellStyle name="Денежный 3 7 7" xfId="29613" xr:uid="{00000000-0005-0000-0000-0000AC730000}"/>
    <cellStyle name="Денежный 3 7 7 2" xfId="29614" xr:uid="{00000000-0005-0000-0000-0000AD730000}"/>
    <cellStyle name="Денежный 3 7 8" xfId="29615" xr:uid="{00000000-0005-0000-0000-0000AE730000}"/>
    <cellStyle name="Денежный 3 7 8 2" xfId="29616" xr:uid="{00000000-0005-0000-0000-0000AF730000}"/>
    <cellStyle name="Денежный 3 7 9" xfId="29617" xr:uid="{00000000-0005-0000-0000-0000B0730000}"/>
    <cellStyle name="Денежный 3 8" xfId="29618" xr:uid="{00000000-0005-0000-0000-0000B1730000}"/>
    <cellStyle name="Денежный 3 8 2" xfId="29619" xr:uid="{00000000-0005-0000-0000-0000B2730000}"/>
    <cellStyle name="Денежный 3 8 2 2" xfId="29620" xr:uid="{00000000-0005-0000-0000-0000B3730000}"/>
    <cellStyle name="Денежный 3 8 2 2 2" xfId="29621" xr:uid="{00000000-0005-0000-0000-0000B4730000}"/>
    <cellStyle name="Денежный 3 8 2 2 2 2" xfId="29622" xr:uid="{00000000-0005-0000-0000-0000B5730000}"/>
    <cellStyle name="Денежный 3 8 2 2 3" xfId="29623" xr:uid="{00000000-0005-0000-0000-0000B6730000}"/>
    <cellStyle name="Денежный 3 8 2 3" xfId="29624" xr:uid="{00000000-0005-0000-0000-0000B7730000}"/>
    <cellStyle name="Денежный 3 8 2 3 2" xfId="29625" xr:uid="{00000000-0005-0000-0000-0000B8730000}"/>
    <cellStyle name="Денежный 3 8 2 4" xfId="29626" xr:uid="{00000000-0005-0000-0000-0000B9730000}"/>
    <cellStyle name="Денежный 3 8 2 4 2" xfId="29627" xr:uid="{00000000-0005-0000-0000-0000BA730000}"/>
    <cellStyle name="Денежный 3 8 2 5" xfId="29628" xr:uid="{00000000-0005-0000-0000-0000BB730000}"/>
    <cellStyle name="Денежный 3 8 3" xfId="29629" xr:uid="{00000000-0005-0000-0000-0000BC730000}"/>
    <cellStyle name="Денежный 3 8 3 2" xfId="29630" xr:uid="{00000000-0005-0000-0000-0000BD730000}"/>
    <cellStyle name="Денежный 3 8 3 2 2" xfId="29631" xr:uid="{00000000-0005-0000-0000-0000BE730000}"/>
    <cellStyle name="Денежный 3 8 3 2 2 2" xfId="29632" xr:uid="{00000000-0005-0000-0000-0000BF730000}"/>
    <cellStyle name="Денежный 3 8 3 2 3" xfId="29633" xr:uid="{00000000-0005-0000-0000-0000C0730000}"/>
    <cellStyle name="Денежный 3 8 3 3" xfId="29634" xr:uid="{00000000-0005-0000-0000-0000C1730000}"/>
    <cellStyle name="Денежный 3 8 3 3 2" xfId="29635" xr:uid="{00000000-0005-0000-0000-0000C2730000}"/>
    <cellStyle name="Денежный 3 8 3 4" xfId="29636" xr:uid="{00000000-0005-0000-0000-0000C3730000}"/>
    <cellStyle name="Денежный 3 8 3 4 2" xfId="29637" xr:uid="{00000000-0005-0000-0000-0000C4730000}"/>
    <cellStyle name="Денежный 3 8 3 5" xfId="29638" xr:uid="{00000000-0005-0000-0000-0000C5730000}"/>
    <cellStyle name="Денежный 3 8 4" xfId="29639" xr:uid="{00000000-0005-0000-0000-0000C6730000}"/>
    <cellStyle name="Денежный 3 8 4 2" xfId="29640" xr:uid="{00000000-0005-0000-0000-0000C7730000}"/>
    <cellStyle name="Денежный 3 8 4 2 2" xfId="29641" xr:uid="{00000000-0005-0000-0000-0000C8730000}"/>
    <cellStyle name="Денежный 3 8 4 3" xfId="29642" xr:uid="{00000000-0005-0000-0000-0000C9730000}"/>
    <cellStyle name="Денежный 3 8 5" xfId="29643" xr:uid="{00000000-0005-0000-0000-0000CA730000}"/>
    <cellStyle name="Денежный 3 8 5 2" xfId="29644" xr:uid="{00000000-0005-0000-0000-0000CB730000}"/>
    <cellStyle name="Денежный 3 8 6" xfId="29645" xr:uid="{00000000-0005-0000-0000-0000CC730000}"/>
    <cellStyle name="Денежный 3 8 6 2" xfId="29646" xr:uid="{00000000-0005-0000-0000-0000CD730000}"/>
    <cellStyle name="Денежный 3 8 7" xfId="29647" xr:uid="{00000000-0005-0000-0000-0000CE730000}"/>
    <cellStyle name="Денежный 3 9" xfId="29648" xr:uid="{00000000-0005-0000-0000-0000CF730000}"/>
    <cellStyle name="Денежный 3 9 2" xfId="29649" xr:uid="{00000000-0005-0000-0000-0000D0730000}"/>
    <cellStyle name="Денежный 3 9 2 2" xfId="29650" xr:uid="{00000000-0005-0000-0000-0000D1730000}"/>
    <cellStyle name="Денежный 3 9 2 2 2" xfId="29651" xr:uid="{00000000-0005-0000-0000-0000D2730000}"/>
    <cellStyle name="Денежный 3 9 2 3" xfId="29652" xr:uid="{00000000-0005-0000-0000-0000D3730000}"/>
    <cellStyle name="Денежный 3 9 3" xfId="29653" xr:uid="{00000000-0005-0000-0000-0000D4730000}"/>
    <cellStyle name="Денежный 3 9 3 2" xfId="29654" xr:uid="{00000000-0005-0000-0000-0000D5730000}"/>
    <cellStyle name="Денежный 3 9 4" xfId="29655" xr:uid="{00000000-0005-0000-0000-0000D6730000}"/>
    <cellStyle name="Денежный 3 9 4 2" xfId="29656" xr:uid="{00000000-0005-0000-0000-0000D7730000}"/>
    <cellStyle name="Денежный 3 9 5" xfId="29657" xr:uid="{00000000-0005-0000-0000-0000D8730000}"/>
    <cellStyle name="Денежный 4" xfId="29658" xr:uid="{00000000-0005-0000-0000-0000D9730000}"/>
    <cellStyle name="Денежный 4 10" xfId="29659" xr:uid="{00000000-0005-0000-0000-0000DA730000}"/>
    <cellStyle name="Денежный 4 10 2" xfId="29660" xr:uid="{00000000-0005-0000-0000-0000DB730000}"/>
    <cellStyle name="Денежный 4 10 2 2" xfId="29661" xr:uid="{00000000-0005-0000-0000-0000DC730000}"/>
    <cellStyle name="Денежный 4 10 2 2 2" xfId="29662" xr:uid="{00000000-0005-0000-0000-0000DD730000}"/>
    <cellStyle name="Денежный 4 10 2 3" xfId="29663" xr:uid="{00000000-0005-0000-0000-0000DE730000}"/>
    <cellStyle name="Денежный 4 10 3" xfId="29664" xr:uid="{00000000-0005-0000-0000-0000DF730000}"/>
    <cellStyle name="Денежный 4 10 3 2" xfId="29665" xr:uid="{00000000-0005-0000-0000-0000E0730000}"/>
    <cellStyle name="Денежный 4 10 4" xfId="29666" xr:uid="{00000000-0005-0000-0000-0000E1730000}"/>
    <cellStyle name="Денежный 4 10 4 2" xfId="29667" xr:uid="{00000000-0005-0000-0000-0000E2730000}"/>
    <cellStyle name="Денежный 4 10 5" xfId="29668" xr:uid="{00000000-0005-0000-0000-0000E3730000}"/>
    <cellStyle name="Денежный 4 11" xfId="29669" xr:uid="{00000000-0005-0000-0000-0000E4730000}"/>
    <cellStyle name="Денежный 4 11 2" xfId="29670" xr:uid="{00000000-0005-0000-0000-0000E5730000}"/>
    <cellStyle name="Денежный 4 11 2 2" xfId="29671" xr:uid="{00000000-0005-0000-0000-0000E6730000}"/>
    <cellStyle name="Денежный 4 11 3" xfId="29672" xr:uid="{00000000-0005-0000-0000-0000E7730000}"/>
    <cellStyle name="Денежный 4 12" xfId="29673" xr:uid="{00000000-0005-0000-0000-0000E8730000}"/>
    <cellStyle name="Денежный 4 12 2" xfId="29674" xr:uid="{00000000-0005-0000-0000-0000E9730000}"/>
    <cellStyle name="Денежный 4 13" xfId="29675" xr:uid="{00000000-0005-0000-0000-0000EA730000}"/>
    <cellStyle name="Денежный 4 13 2" xfId="29676" xr:uid="{00000000-0005-0000-0000-0000EB730000}"/>
    <cellStyle name="Денежный 4 14" xfId="29677" xr:uid="{00000000-0005-0000-0000-0000EC730000}"/>
    <cellStyle name="Денежный 4 15" xfId="29678" xr:uid="{00000000-0005-0000-0000-0000ED730000}"/>
    <cellStyle name="Денежный 4 2" xfId="29679" xr:uid="{00000000-0005-0000-0000-0000EE730000}"/>
    <cellStyle name="Денежный 4 2 10" xfId="29680" xr:uid="{00000000-0005-0000-0000-0000EF730000}"/>
    <cellStyle name="Денежный 4 2 2" xfId="29681" xr:uid="{00000000-0005-0000-0000-0000F0730000}"/>
    <cellStyle name="Денежный 4 2 2 2" xfId="29682" xr:uid="{00000000-0005-0000-0000-0000F1730000}"/>
    <cellStyle name="Денежный 4 2 2 2 2" xfId="29683" xr:uid="{00000000-0005-0000-0000-0000F2730000}"/>
    <cellStyle name="Денежный 4 2 2 2 2 2" xfId="29684" xr:uid="{00000000-0005-0000-0000-0000F3730000}"/>
    <cellStyle name="Денежный 4 2 2 2 3" xfId="29685" xr:uid="{00000000-0005-0000-0000-0000F4730000}"/>
    <cellStyle name="Денежный 4 2 2 3" xfId="29686" xr:uid="{00000000-0005-0000-0000-0000F5730000}"/>
    <cellStyle name="Денежный 4 2 2 3 2" xfId="29687" xr:uid="{00000000-0005-0000-0000-0000F6730000}"/>
    <cellStyle name="Денежный 4 2 2 4" xfId="29688" xr:uid="{00000000-0005-0000-0000-0000F7730000}"/>
    <cellStyle name="Денежный 4 2 2 4 2" xfId="29689" xr:uid="{00000000-0005-0000-0000-0000F8730000}"/>
    <cellStyle name="Денежный 4 2 2 5" xfId="29690" xr:uid="{00000000-0005-0000-0000-0000F9730000}"/>
    <cellStyle name="Денежный 4 2 3" xfId="29691" xr:uid="{00000000-0005-0000-0000-0000FA730000}"/>
    <cellStyle name="Денежный 4 2 3 2" xfId="29692" xr:uid="{00000000-0005-0000-0000-0000FB730000}"/>
    <cellStyle name="Денежный 4 2 3 2 2" xfId="29693" xr:uid="{00000000-0005-0000-0000-0000FC730000}"/>
    <cellStyle name="Денежный 4 2 3 2 2 2" xfId="29694" xr:uid="{00000000-0005-0000-0000-0000FD730000}"/>
    <cellStyle name="Денежный 4 2 3 2 3" xfId="29695" xr:uid="{00000000-0005-0000-0000-0000FE730000}"/>
    <cellStyle name="Денежный 4 2 3 3" xfId="29696" xr:uid="{00000000-0005-0000-0000-0000FF730000}"/>
    <cellStyle name="Денежный 4 2 3 3 2" xfId="29697" xr:uid="{00000000-0005-0000-0000-000000740000}"/>
    <cellStyle name="Денежный 4 2 3 4" xfId="29698" xr:uid="{00000000-0005-0000-0000-000001740000}"/>
    <cellStyle name="Денежный 4 2 3 4 2" xfId="29699" xr:uid="{00000000-0005-0000-0000-000002740000}"/>
    <cellStyle name="Денежный 4 2 3 5" xfId="29700" xr:uid="{00000000-0005-0000-0000-000003740000}"/>
    <cellStyle name="Денежный 4 2 4" xfId="29701" xr:uid="{00000000-0005-0000-0000-000004740000}"/>
    <cellStyle name="Денежный 4 2 4 2" xfId="29702" xr:uid="{00000000-0005-0000-0000-000005740000}"/>
    <cellStyle name="Денежный 4 2 4 2 2" xfId="29703" xr:uid="{00000000-0005-0000-0000-000006740000}"/>
    <cellStyle name="Денежный 4 2 4 2 2 2" xfId="29704" xr:uid="{00000000-0005-0000-0000-000007740000}"/>
    <cellStyle name="Денежный 4 2 4 2 3" xfId="29705" xr:uid="{00000000-0005-0000-0000-000008740000}"/>
    <cellStyle name="Денежный 4 2 4 3" xfId="29706" xr:uid="{00000000-0005-0000-0000-000009740000}"/>
    <cellStyle name="Денежный 4 2 4 3 2" xfId="29707" xr:uid="{00000000-0005-0000-0000-00000A740000}"/>
    <cellStyle name="Денежный 4 2 4 4" xfId="29708" xr:uid="{00000000-0005-0000-0000-00000B740000}"/>
    <cellStyle name="Денежный 4 2 4 4 2" xfId="29709" xr:uid="{00000000-0005-0000-0000-00000C740000}"/>
    <cellStyle name="Денежный 4 2 4 5" xfId="29710" xr:uid="{00000000-0005-0000-0000-00000D740000}"/>
    <cellStyle name="Денежный 4 2 5" xfId="29711" xr:uid="{00000000-0005-0000-0000-00000E740000}"/>
    <cellStyle name="Денежный 4 2 5 2" xfId="29712" xr:uid="{00000000-0005-0000-0000-00000F740000}"/>
    <cellStyle name="Денежный 4 2 5 2 2" xfId="29713" xr:uid="{00000000-0005-0000-0000-000010740000}"/>
    <cellStyle name="Денежный 4 2 5 2 2 2" xfId="29714" xr:uid="{00000000-0005-0000-0000-000011740000}"/>
    <cellStyle name="Денежный 4 2 5 2 3" xfId="29715" xr:uid="{00000000-0005-0000-0000-000012740000}"/>
    <cellStyle name="Денежный 4 2 5 3" xfId="29716" xr:uid="{00000000-0005-0000-0000-000013740000}"/>
    <cellStyle name="Денежный 4 2 5 3 2" xfId="29717" xr:uid="{00000000-0005-0000-0000-000014740000}"/>
    <cellStyle name="Денежный 4 2 5 4" xfId="29718" xr:uid="{00000000-0005-0000-0000-000015740000}"/>
    <cellStyle name="Денежный 4 2 5 4 2" xfId="29719" xr:uid="{00000000-0005-0000-0000-000016740000}"/>
    <cellStyle name="Денежный 4 2 5 5" xfId="29720" xr:uid="{00000000-0005-0000-0000-000017740000}"/>
    <cellStyle name="Денежный 4 2 6" xfId="29721" xr:uid="{00000000-0005-0000-0000-000018740000}"/>
    <cellStyle name="Денежный 4 2 6 2" xfId="29722" xr:uid="{00000000-0005-0000-0000-000019740000}"/>
    <cellStyle name="Денежный 4 2 6 2 2" xfId="29723" xr:uid="{00000000-0005-0000-0000-00001A740000}"/>
    <cellStyle name="Денежный 4 2 6 3" xfId="29724" xr:uid="{00000000-0005-0000-0000-00001B740000}"/>
    <cellStyle name="Денежный 4 2 7" xfId="29725" xr:uid="{00000000-0005-0000-0000-00001C740000}"/>
    <cellStyle name="Денежный 4 2 7 2" xfId="29726" xr:uid="{00000000-0005-0000-0000-00001D740000}"/>
    <cellStyle name="Денежный 4 2 8" xfId="29727" xr:uid="{00000000-0005-0000-0000-00001E740000}"/>
    <cellStyle name="Денежный 4 2 8 2" xfId="29728" xr:uid="{00000000-0005-0000-0000-00001F740000}"/>
    <cellStyle name="Денежный 4 2 9" xfId="29729" xr:uid="{00000000-0005-0000-0000-000020740000}"/>
    <cellStyle name="Денежный 4 3" xfId="29730" xr:uid="{00000000-0005-0000-0000-000021740000}"/>
    <cellStyle name="Денежный 4 3 10" xfId="29731" xr:uid="{00000000-0005-0000-0000-000022740000}"/>
    <cellStyle name="Денежный 4 3 2" xfId="29732" xr:uid="{00000000-0005-0000-0000-000023740000}"/>
    <cellStyle name="Денежный 4 3 2 2" xfId="29733" xr:uid="{00000000-0005-0000-0000-000024740000}"/>
    <cellStyle name="Денежный 4 3 2 2 2" xfId="29734" xr:uid="{00000000-0005-0000-0000-000025740000}"/>
    <cellStyle name="Денежный 4 3 2 2 2 2" xfId="29735" xr:uid="{00000000-0005-0000-0000-000026740000}"/>
    <cellStyle name="Денежный 4 3 2 2 3" xfId="29736" xr:uid="{00000000-0005-0000-0000-000027740000}"/>
    <cellStyle name="Денежный 4 3 2 3" xfId="29737" xr:uid="{00000000-0005-0000-0000-000028740000}"/>
    <cellStyle name="Денежный 4 3 2 3 2" xfId="29738" xr:uid="{00000000-0005-0000-0000-000029740000}"/>
    <cellStyle name="Денежный 4 3 2 4" xfId="29739" xr:uid="{00000000-0005-0000-0000-00002A740000}"/>
    <cellStyle name="Денежный 4 3 2 4 2" xfId="29740" xr:uid="{00000000-0005-0000-0000-00002B740000}"/>
    <cellStyle name="Денежный 4 3 2 5" xfId="29741" xr:uid="{00000000-0005-0000-0000-00002C740000}"/>
    <cellStyle name="Денежный 4 3 3" xfId="29742" xr:uid="{00000000-0005-0000-0000-00002D740000}"/>
    <cellStyle name="Денежный 4 3 3 2" xfId="29743" xr:uid="{00000000-0005-0000-0000-00002E740000}"/>
    <cellStyle name="Денежный 4 3 3 2 2" xfId="29744" xr:uid="{00000000-0005-0000-0000-00002F740000}"/>
    <cellStyle name="Денежный 4 3 3 2 2 2" xfId="29745" xr:uid="{00000000-0005-0000-0000-000030740000}"/>
    <cellStyle name="Денежный 4 3 3 2 3" xfId="29746" xr:uid="{00000000-0005-0000-0000-000031740000}"/>
    <cellStyle name="Денежный 4 3 3 3" xfId="29747" xr:uid="{00000000-0005-0000-0000-000032740000}"/>
    <cellStyle name="Денежный 4 3 3 3 2" xfId="29748" xr:uid="{00000000-0005-0000-0000-000033740000}"/>
    <cellStyle name="Денежный 4 3 3 4" xfId="29749" xr:uid="{00000000-0005-0000-0000-000034740000}"/>
    <cellStyle name="Денежный 4 3 3 4 2" xfId="29750" xr:uid="{00000000-0005-0000-0000-000035740000}"/>
    <cellStyle name="Денежный 4 3 3 5" xfId="29751" xr:uid="{00000000-0005-0000-0000-000036740000}"/>
    <cellStyle name="Денежный 4 3 4" xfId="29752" xr:uid="{00000000-0005-0000-0000-000037740000}"/>
    <cellStyle name="Денежный 4 3 4 2" xfId="29753" xr:uid="{00000000-0005-0000-0000-000038740000}"/>
    <cellStyle name="Денежный 4 3 4 2 2" xfId="29754" xr:uid="{00000000-0005-0000-0000-000039740000}"/>
    <cellStyle name="Денежный 4 3 4 2 2 2" xfId="29755" xr:uid="{00000000-0005-0000-0000-00003A740000}"/>
    <cellStyle name="Денежный 4 3 4 2 3" xfId="29756" xr:uid="{00000000-0005-0000-0000-00003B740000}"/>
    <cellStyle name="Денежный 4 3 4 3" xfId="29757" xr:uid="{00000000-0005-0000-0000-00003C740000}"/>
    <cellStyle name="Денежный 4 3 4 3 2" xfId="29758" xr:uid="{00000000-0005-0000-0000-00003D740000}"/>
    <cellStyle name="Денежный 4 3 4 4" xfId="29759" xr:uid="{00000000-0005-0000-0000-00003E740000}"/>
    <cellStyle name="Денежный 4 3 4 4 2" xfId="29760" xr:uid="{00000000-0005-0000-0000-00003F740000}"/>
    <cellStyle name="Денежный 4 3 4 5" xfId="29761" xr:uid="{00000000-0005-0000-0000-000040740000}"/>
    <cellStyle name="Денежный 4 3 5" xfId="29762" xr:uid="{00000000-0005-0000-0000-000041740000}"/>
    <cellStyle name="Денежный 4 3 5 2" xfId="29763" xr:uid="{00000000-0005-0000-0000-000042740000}"/>
    <cellStyle name="Денежный 4 3 5 2 2" xfId="29764" xr:uid="{00000000-0005-0000-0000-000043740000}"/>
    <cellStyle name="Денежный 4 3 5 2 2 2" xfId="29765" xr:uid="{00000000-0005-0000-0000-000044740000}"/>
    <cellStyle name="Денежный 4 3 5 2 3" xfId="29766" xr:uid="{00000000-0005-0000-0000-000045740000}"/>
    <cellStyle name="Денежный 4 3 5 3" xfId="29767" xr:uid="{00000000-0005-0000-0000-000046740000}"/>
    <cellStyle name="Денежный 4 3 5 3 2" xfId="29768" xr:uid="{00000000-0005-0000-0000-000047740000}"/>
    <cellStyle name="Денежный 4 3 5 4" xfId="29769" xr:uid="{00000000-0005-0000-0000-000048740000}"/>
    <cellStyle name="Денежный 4 3 5 4 2" xfId="29770" xr:uid="{00000000-0005-0000-0000-000049740000}"/>
    <cellStyle name="Денежный 4 3 5 5" xfId="29771" xr:uid="{00000000-0005-0000-0000-00004A740000}"/>
    <cellStyle name="Денежный 4 3 6" xfId="29772" xr:uid="{00000000-0005-0000-0000-00004B740000}"/>
    <cellStyle name="Денежный 4 3 6 2" xfId="29773" xr:uid="{00000000-0005-0000-0000-00004C740000}"/>
    <cellStyle name="Денежный 4 3 6 2 2" xfId="29774" xr:uid="{00000000-0005-0000-0000-00004D740000}"/>
    <cellStyle name="Денежный 4 3 6 3" xfId="29775" xr:uid="{00000000-0005-0000-0000-00004E740000}"/>
    <cellStyle name="Денежный 4 3 7" xfId="29776" xr:uid="{00000000-0005-0000-0000-00004F740000}"/>
    <cellStyle name="Денежный 4 3 7 2" xfId="29777" xr:uid="{00000000-0005-0000-0000-000050740000}"/>
    <cellStyle name="Денежный 4 3 8" xfId="29778" xr:uid="{00000000-0005-0000-0000-000051740000}"/>
    <cellStyle name="Денежный 4 3 8 2" xfId="29779" xr:uid="{00000000-0005-0000-0000-000052740000}"/>
    <cellStyle name="Денежный 4 3 9" xfId="29780" xr:uid="{00000000-0005-0000-0000-000053740000}"/>
    <cellStyle name="Денежный 4 4" xfId="29781" xr:uid="{00000000-0005-0000-0000-000054740000}"/>
    <cellStyle name="Денежный 4 4 10" xfId="29782" xr:uid="{00000000-0005-0000-0000-000055740000}"/>
    <cellStyle name="Денежный 4 4 2" xfId="29783" xr:uid="{00000000-0005-0000-0000-000056740000}"/>
    <cellStyle name="Денежный 4 4 2 2" xfId="29784" xr:uid="{00000000-0005-0000-0000-000057740000}"/>
    <cellStyle name="Денежный 4 4 2 2 2" xfId="29785" xr:uid="{00000000-0005-0000-0000-000058740000}"/>
    <cellStyle name="Денежный 4 4 2 2 2 2" xfId="29786" xr:uid="{00000000-0005-0000-0000-000059740000}"/>
    <cellStyle name="Денежный 4 4 2 2 3" xfId="29787" xr:uid="{00000000-0005-0000-0000-00005A740000}"/>
    <cellStyle name="Денежный 4 4 2 3" xfId="29788" xr:uid="{00000000-0005-0000-0000-00005B740000}"/>
    <cellStyle name="Денежный 4 4 2 3 2" xfId="29789" xr:uid="{00000000-0005-0000-0000-00005C740000}"/>
    <cellStyle name="Денежный 4 4 2 4" xfId="29790" xr:uid="{00000000-0005-0000-0000-00005D740000}"/>
    <cellStyle name="Денежный 4 4 2 4 2" xfId="29791" xr:uid="{00000000-0005-0000-0000-00005E740000}"/>
    <cellStyle name="Денежный 4 4 2 5" xfId="29792" xr:uid="{00000000-0005-0000-0000-00005F740000}"/>
    <cellStyle name="Денежный 4 4 3" xfId="29793" xr:uid="{00000000-0005-0000-0000-000060740000}"/>
    <cellStyle name="Денежный 4 4 3 2" xfId="29794" xr:uid="{00000000-0005-0000-0000-000061740000}"/>
    <cellStyle name="Денежный 4 4 3 2 2" xfId="29795" xr:uid="{00000000-0005-0000-0000-000062740000}"/>
    <cellStyle name="Денежный 4 4 3 2 2 2" xfId="29796" xr:uid="{00000000-0005-0000-0000-000063740000}"/>
    <cellStyle name="Денежный 4 4 3 2 3" xfId="29797" xr:uid="{00000000-0005-0000-0000-000064740000}"/>
    <cellStyle name="Денежный 4 4 3 3" xfId="29798" xr:uid="{00000000-0005-0000-0000-000065740000}"/>
    <cellStyle name="Денежный 4 4 3 3 2" xfId="29799" xr:uid="{00000000-0005-0000-0000-000066740000}"/>
    <cellStyle name="Денежный 4 4 3 4" xfId="29800" xr:uid="{00000000-0005-0000-0000-000067740000}"/>
    <cellStyle name="Денежный 4 4 3 4 2" xfId="29801" xr:uid="{00000000-0005-0000-0000-000068740000}"/>
    <cellStyle name="Денежный 4 4 3 5" xfId="29802" xr:uid="{00000000-0005-0000-0000-000069740000}"/>
    <cellStyle name="Денежный 4 4 4" xfId="29803" xr:uid="{00000000-0005-0000-0000-00006A740000}"/>
    <cellStyle name="Денежный 4 4 4 2" xfId="29804" xr:uid="{00000000-0005-0000-0000-00006B740000}"/>
    <cellStyle name="Денежный 4 4 4 2 2" xfId="29805" xr:uid="{00000000-0005-0000-0000-00006C740000}"/>
    <cellStyle name="Денежный 4 4 4 2 2 2" xfId="29806" xr:uid="{00000000-0005-0000-0000-00006D740000}"/>
    <cellStyle name="Денежный 4 4 4 2 3" xfId="29807" xr:uid="{00000000-0005-0000-0000-00006E740000}"/>
    <cellStyle name="Денежный 4 4 4 3" xfId="29808" xr:uid="{00000000-0005-0000-0000-00006F740000}"/>
    <cellStyle name="Денежный 4 4 4 3 2" xfId="29809" xr:uid="{00000000-0005-0000-0000-000070740000}"/>
    <cellStyle name="Денежный 4 4 4 4" xfId="29810" xr:uid="{00000000-0005-0000-0000-000071740000}"/>
    <cellStyle name="Денежный 4 4 4 4 2" xfId="29811" xr:uid="{00000000-0005-0000-0000-000072740000}"/>
    <cellStyle name="Денежный 4 4 4 5" xfId="29812" xr:uid="{00000000-0005-0000-0000-000073740000}"/>
    <cellStyle name="Денежный 4 4 5" xfId="29813" xr:uid="{00000000-0005-0000-0000-000074740000}"/>
    <cellStyle name="Денежный 4 4 5 2" xfId="29814" xr:uid="{00000000-0005-0000-0000-000075740000}"/>
    <cellStyle name="Денежный 4 4 5 2 2" xfId="29815" xr:uid="{00000000-0005-0000-0000-000076740000}"/>
    <cellStyle name="Денежный 4 4 5 2 2 2" xfId="29816" xr:uid="{00000000-0005-0000-0000-000077740000}"/>
    <cellStyle name="Денежный 4 4 5 2 3" xfId="29817" xr:uid="{00000000-0005-0000-0000-000078740000}"/>
    <cellStyle name="Денежный 4 4 5 3" xfId="29818" xr:uid="{00000000-0005-0000-0000-000079740000}"/>
    <cellStyle name="Денежный 4 4 5 3 2" xfId="29819" xr:uid="{00000000-0005-0000-0000-00007A740000}"/>
    <cellStyle name="Денежный 4 4 5 4" xfId="29820" xr:uid="{00000000-0005-0000-0000-00007B740000}"/>
    <cellStyle name="Денежный 4 4 5 4 2" xfId="29821" xr:uid="{00000000-0005-0000-0000-00007C740000}"/>
    <cellStyle name="Денежный 4 4 5 5" xfId="29822" xr:uid="{00000000-0005-0000-0000-00007D740000}"/>
    <cellStyle name="Денежный 4 4 6" xfId="29823" xr:uid="{00000000-0005-0000-0000-00007E740000}"/>
    <cellStyle name="Денежный 4 4 6 2" xfId="29824" xr:uid="{00000000-0005-0000-0000-00007F740000}"/>
    <cellStyle name="Денежный 4 4 6 2 2" xfId="29825" xr:uid="{00000000-0005-0000-0000-000080740000}"/>
    <cellStyle name="Денежный 4 4 6 3" xfId="29826" xr:uid="{00000000-0005-0000-0000-000081740000}"/>
    <cellStyle name="Денежный 4 4 7" xfId="29827" xr:uid="{00000000-0005-0000-0000-000082740000}"/>
    <cellStyle name="Денежный 4 4 7 2" xfId="29828" xr:uid="{00000000-0005-0000-0000-000083740000}"/>
    <cellStyle name="Денежный 4 4 8" xfId="29829" xr:uid="{00000000-0005-0000-0000-000084740000}"/>
    <cellStyle name="Денежный 4 4 8 2" xfId="29830" xr:uid="{00000000-0005-0000-0000-000085740000}"/>
    <cellStyle name="Денежный 4 4 9" xfId="29831" xr:uid="{00000000-0005-0000-0000-000086740000}"/>
    <cellStyle name="Денежный 4 5" xfId="29832" xr:uid="{00000000-0005-0000-0000-000087740000}"/>
    <cellStyle name="Денежный 4 5 10" xfId="29833" xr:uid="{00000000-0005-0000-0000-000088740000}"/>
    <cellStyle name="Денежный 4 5 2" xfId="29834" xr:uid="{00000000-0005-0000-0000-000089740000}"/>
    <cellStyle name="Денежный 4 5 2 2" xfId="29835" xr:uid="{00000000-0005-0000-0000-00008A740000}"/>
    <cellStyle name="Денежный 4 5 2 2 2" xfId="29836" xr:uid="{00000000-0005-0000-0000-00008B740000}"/>
    <cellStyle name="Денежный 4 5 2 2 2 2" xfId="29837" xr:uid="{00000000-0005-0000-0000-00008C740000}"/>
    <cellStyle name="Денежный 4 5 2 2 3" xfId="29838" xr:uid="{00000000-0005-0000-0000-00008D740000}"/>
    <cellStyle name="Денежный 4 5 2 3" xfId="29839" xr:uid="{00000000-0005-0000-0000-00008E740000}"/>
    <cellStyle name="Денежный 4 5 2 3 2" xfId="29840" xr:uid="{00000000-0005-0000-0000-00008F740000}"/>
    <cellStyle name="Денежный 4 5 2 4" xfId="29841" xr:uid="{00000000-0005-0000-0000-000090740000}"/>
    <cellStyle name="Денежный 4 5 2 4 2" xfId="29842" xr:uid="{00000000-0005-0000-0000-000091740000}"/>
    <cellStyle name="Денежный 4 5 2 5" xfId="29843" xr:uid="{00000000-0005-0000-0000-000092740000}"/>
    <cellStyle name="Денежный 4 5 3" xfId="29844" xr:uid="{00000000-0005-0000-0000-000093740000}"/>
    <cellStyle name="Денежный 4 5 3 2" xfId="29845" xr:uid="{00000000-0005-0000-0000-000094740000}"/>
    <cellStyle name="Денежный 4 5 3 2 2" xfId="29846" xr:uid="{00000000-0005-0000-0000-000095740000}"/>
    <cellStyle name="Денежный 4 5 3 2 2 2" xfId="29847" xr:uid="{00000000-0005-0000-0000-000096740000}"/>
    <cellStyle name="Денежный 4 5 3 2 3" xfId="29848" xr:uid="{00000000-0005-0000-0000-000097740000}"/>
    <cellStyle name="Денежный 4 5 3 3" xfId="29849" xr:uid="{00000000-0005-0000-0000-000098740000}"/>
    <cellStyle name="Денежный 4 5 3 3 2" xfId="29850" xr:uid="{00000000-0005-0000-0000-000099740000}"/>
    <cellStyle name="Денежный 4 5 3 4" xfId="29851" xr:uid="{00000000-0005-0000-0000-00009A740000}"/>
    <cellStyle name="Денежный 4 5 3 4 2" xfId="29852" xr:uid="{00000000-0005-0000-0000-00009B740000}"/>
    <cellStyle name="Денежный 4 5 3 5" xfId="29853" xr:uid="{00000000-0005-0000-0000-00009C740000}"/>
    <cellStyle name="Денежный 4 5 4" xfId="29854" xr:uid="{00000000-0005-0000-0000-00009D740000}"/>
    <cellStyle name="Денежный 4 5 4 2" xfId="29855" xr:uid="{00000000-0005-0000-0000-00009E740000}"/>
    <cellStyle name="Денежный 4 5 4 2 2" xfId="29856" xr:uid="{00000000-0005-0000-0000-00009F740000}"/>
    <cellStyle name="Денежный 4 5 4 2 2 2" xfId="29857" xr:uid="{00000000-0005-0000-0000-0000A0740000}"/>
    <cellStyle name="Денежный 4 5 4 2 3" xfId="29858" xr:uid="{00000000-0005-0000-0000-0000A1740000}"/>
    <cellStyle name="Денежный 4 5 4 3" xfId="29859" xr:uid="{00000000-0005-0000-0000-0000A2740000}"/>
    <cellStyle name="Денежный 4 5 4 3 2" xfId="29860" xr:uid="{00000000-0005-0000-0000-0000A3740000}"/>
    <cellStyle name="Денежный 4 5 4 4" xfId="29861" xr:uid="{00000000-0005-0000-0000-0000A4740000}"/>
    <cellStyle name="Денежный 4 5 4 4 2" xfId="29862" xr:uid="{00000000-0005-0000-0000-0000A5740000}"/>
    <cellStyle name="Денежный 4 5 4 5" xfId="29863" xr:uid="{00000000-0005-0000-0000-0000A6740000}"/>
    <cellStyle name="Денежный 4 5 5" xfId="29864" xr:uid="{00000000-0005-0000-0000-0000A7740000}"/>
    <cellStyle name="Денежный 4 5 5 2" xfId="29865" xr:uid="{00000000-0005-0000-0000-0000A8740000}"/>
    <cellStyle name="Денежный 4 5 5 2 2" xfId="29866" xr:uid="{00000000-0005-0000-0000-0000A9740000}"/>
    <cellStyle name="Денежный 4 5 5 2 2 2" xfId="29867" xr:uid="{00000000-0005-0000-0000-0000AA740000}"/>
    <cellStyle name="Денежный 4 5 5 2 3" xfId="29868" xr:uid="{00000000-0005-0000-0000-0000AB740000}"/>
    <cellStyle name="Денежный 4 5 5 3" xfId="29869" xr:uid="{00000000-0005-0000-0000-0000AC740000}"/>
    <cellStyle name="Денежный 4 5 5 3 2" xfId="29870" xr:uid="{00000000-0005-0000-0000-0000AD740000}"/>
    <cellStyle name="Денежный 4 5 5 4" xfId="29871" xr:uid="{00000000-0005-0000-0000-0000AE740000}"/>
    <cellStyle name="Денежный 4 5 5 4 2" xfId="29872" xr:uid="{00000000-0005-0000-0000-0000AF740000}"/>
    <cellStyle name="Денежный 4 5 5 5" xfId="29873" xr:uid="{00000000-0005-0000-0000-0000B0740000}"/>
    <cellStyle name="Денежный 4 5 6" xfId="29874" xr:uid="{00000000-0005-0000-0000-0000B1740000}"/>
    <cellStyle name="Денежный 4 5 6 2" xfId="29875" xr:uid="{00000000-0005-0000-0000-0000B2740000}"/>
    <cellStyle name="Денежный 4 5 6 2 2" xfId="29876" xr:uid="{00000000-0005-0000-0000-0000B3740000}"/>
    <cellStyle name="Денежный 4 5 6 3" xfId="29877" xr:uid="{00000000-0005-0000-0000-0000B4740000}"/>
    <cellStyle name="Денежный 4 5 7" xfId="29878" xr:uid="{00000000-0005-0000-0000-0000B5740000}"/>
    <cellStyle name="Денежный 4 5 7 2" xfId="29879" xr:uid="{00000000-0005-0000-0000-0000B6740000}"/>
    <cellStyle name="Денежный 4 5 8" xfId="29880" xr:uid="{00000000-0005-0000-0000-0000B7740000}"/>
    <cellStyle name="Денежный 4 5 8 2" xfId="29881" xr:uid="{00000000-0005-0000-0000-0000B8740000}"/>
    <cellStyle name="Денежный 4 5 9" xfId="29882" xr:uid="{00000000-0005-0000-0000-0000B9740000}"/>
    <cellStyle name="Денежный 4 6" xfId="29883" xr:uid="{00000000-0005-0000-0000-0000BA740000}"/>
    <cellStyle name="Денежный 4 6 10" xfId="29884" xr:uid="{00000000-0005-0000-0000-0000BB740000}"/>
    <cellStyle name="Денежный 4 6 2" xfId="29885" xr:uid="{00000000-0005-0000-0000-0000BC740000}"/>
    <cellStyle name="Денежный 4 6 2 2" xfId="29886" xr:uid="{00000000-0005-0000-0000-0000BD740000}"/>
    <cellStyle name="Денежный 4 6 2 2 2" xfId="29887" xr:uid="{00000000-0005-0000-0000-0000BE740000}"/>
    <cellStyle name="Денежный 4 6 2 2 2 2" xfId="29888" xr:uid="{00000000-0005-0000-0000-0000BF740000}"/>
    <cellStyle name="Денежный 4 6 2 2 3" xfId="29889" xr:uid="{00000000-0005-0000-0000-0000C0740000}"/>
    <cellStyle name="Денежный 4 6 2 3" xfId="29890" xr:uid="{00000000-0005-0000-0000-0000C1740000}"/>
    <cellStyle name="Денежный 4 6 2 3 2" xfId="29891" xr:uid="{00000000-0005-0000-0000-0000C2740000}"/>
    <cellStyle name="Денежный 4 6 2 4" xfId="29892" xr:uid="{00000000-0005-0000-0000-0000C3740000}"/>
    <cellStyle name="Денежный 4 6 2 4 2" xfId="29893" xr:uid="{00000000-0005-0000-0000-0000C4740000}"/>
    <cellStyle name="Денежный 4 6 2 5" xfId="29894" xr:uid="{00000000-0005-0000-0000-0000C5740000}"/>
    <cellStyle name="Денежный 4 6 3" xfId="29895" xr:uid="{00000000-0005-0000-0000-0000C6740000}"/>
    <cellStyle name="Денежный 4 6 3 2" xfId="29896" xr:uid="{00000000-0005-0000-0000-0000C7740000}"/>
    <cellStyle name="Денежный 4 6 3 2 2" xfId="29897" xr:uid="{00000000-0005-0000-0000-0000C8740000}"/>
    <cellStyle name="Денежный 4 6 3 2 2 2" xfId="29898" xr:uid="{00000000-0005-0000-0000-0000C9740000}"/>
    <cellStyle name="Денежный 4 6 3 2 3" xfId="29899" xr:uid="{00000000-0005-0000-0000-0000CA740000}"/>
    <cellStyle name="Денежный 4 6 3 3" xfId="29900" xr:uid="{00000000-0005-0000-0000-0000CB740000}"/>
    <cellStyle name="Денежный 4 6 3 3 2" xfId="29901" xr:uid="{00000000-0005-0000-0000-0000CC740000}"/>
    <cellStyle name="Денежный 4 6 3 4" xfId="29902" xr:uid="{00000000-0005-0000-0000-0000CD740000}"/>
    <cellStyle name="Денежный 4 6 3 4 2" xfId="29903" xr:uid="{00000000-0005-0000-0000-0000CE740000}"/>
    <cellStyle name="Денежный 4 6 3 5" xfId="29904" xr:uid="{00000000-0005-0000-0000-0000CF740000}"/>
    <cellStyle name="Денежный 4 6 4" xfId="29905" xr:uid="{00000000-0005-0000-0000-0000D0740000}"/>
    <cellStyle name="Денежный 4 6 4 2" xfId="29906" xr:uid="{00000000-0005-0000-0000-0000D1740000}"/>
    <cellStyle name="Денежный 4 6 4 2 2" xfId="29907" xr:uid="{00000000-0005-0000-0000-0000D2740000}"/>
    <cellStyle name="Денежный 4 6 4 2 2 2" xfId="29908" xr:uid="{00000000-0005-0000-0000-0000D3740000}"/>
    <cellStyle name="Денежный 4 6 4 2 3" xfId="29909" xr:uid="{00000000-0005-0000-0000-0000D4740000}"/>
    <cellStyle name="Денежный 4 6 4 3" xfId="29910" xr:uid="{00000000-0005-0000-0000-0000D5740000}"/>
    <cellStyle name="Денежный 4 6 4 3 2" xfId="29911" xr:uid="{00000000-0005-0000-0000-0000D6740000}"/>
    <cellStyle name="Денежный 4 6 4 4" xfId="29912" xr:uid="{00000000-0005-0000-0000-0000D7740000}"/>
    <cellStyle name="Денежный 4 6 4 4 2" xfId="29913" xr:uid="{00000000-0005-0000-0000-0000D8740000}"/>
    <cellStyle name="Денежный 4 6 4 5" xfId="29914" xr:uid="{00000000-0005-0000-0000-0000D9740000}"/>
    <cellStyle name="Денежный 4 6 5" xfId="29915" xr:uid="{00000000-0005-0000-0000-0000DA740000}"/>
    <cellStyle name="Денежный 4 6 5 2" xfId="29916" xr:uid="{00000000-0005-0000-0000-0000DB740000}"/>
    <cellStyle name="Денежный 4 6 5 2 2" xfId="29917" xr:uid="{00000000-0005-0000-0000-0000DC740000}"/>
    <cellStyle name="Денежный 4 6 5 2 2 2" xfId="29918" xr:uid="{00000000-0005-0000-0000-0000DD740000}"/>
    <cellStyle name="Денежный 4 6 5 2 3" xfId="29919" xr:uid="{00000000-0005-0000-0000-0000DE740000}"/>
    <cellStyle name="Денежный 4 6 5 3" xfId="29920" xr:uid="{00000000-0005-0000-0000-0000DF740000}"/>
    <cellStyle name="Денежный 4 6 5 3 2" xfId="29921" xr:uid="{00000000-0005-0000-0000-0000E0740000}"/>
    <cellStyle name="Денежный 4 6 5 4" xfId="29922" xr:uid="{00000000-0005-0000-0000-0000E1740000}"/>
    <cellStyle name="Денежный 4 6 5 4 2" xfId="29923" xr:uid="{00000000-0005-0000-0000-0000E2740000}"/>
    <cellStyle name="Денежный 4 6 5 5" xfId="29924" xr:uid="{00000000-0005-0000-0000-0000E3740000}"/>
    <cellStyle name="Денежный 4 6 6" xfId="29925" xr:uid="{00000000-0005-0000-0000-0000E4740000}"/>
    <cellStyle name="Денежный 4 6 6 2" xfId="29926" xr:uid="{00000000-0005-0000-0000-0000E5740000}"/>
    <cellStyle name="Денежный 4 6 6 2 2" xfId="29927" xr:uid="{00000000-0005-0000-0000-0000E6740000}"/>
    <cellStyle name="Денежный 4 6 6 3" xfId="29928" xr:uid="{00000000-0005-0000-0000-0000E7740000}"/>
    <cellStyle name="Денежный 4 6 7" xfId="29929" xr:uid="{00000000-0005-0000-0000-0000E8740000}"/>
    <cellStyle name="Денежный 4 6 7 2" xfId="29930" xr:uid="{00000000-0005-0000-0000-0000E9740000}"/>
    <cellStyle name="Денежный 4 6 8" xfId="29931" xr:uid="{00000000-0005-0000-0000-0000EA740000}"/>
    <cellStyle name="Денежный 4 6 8 2" xfId="29932" xr:uid="{00000000-0005-0000-0000-0000EB740000}"/>
    <cellStyle name="Денежный 4 6 9" xfId="29933" xr:uid="{00000000-0005-0000-0000-0000EC740000}"/>
    <cellStyle name="Денежный 4 7" xfId="29934" xr:uid="{00000000-0005-0000-0000-0000ED740000}"/>
    <cellStyle name="Денежный 4 7 2" xfId="29935" xr:uid="{00000000-0005-0000-0000-0000EE740000}"/>
    <cellStyle name="Денежный 4 7 2 2" xfId="29936" xr:uid="{00000000-0005-0000-0000-0000EF740000}"/>
    <cellStyle name="Денежный 4 7 2 2 2" xfId="29937" xr:uid="{00000000-0005-0000-0000-0000F0740000}"/>
    <cellStyle name="Денежный 4 7 2 3" xfId="29938" xr:uid="{00000000-0005-0000-0000-0000F1740000}"/>
    <cellStyle name="Денежный 4 7 3" xfId="29939" xr:uid="{00000000-0005-0000-0000-0000F2740000}"/>
    <cellStyle name="Денежный 4 7 3 2" xfId="29940" xr:uid="{00000000-0005-0000-0000-0000F3740000}"/>
    <cellStyle name="Денежный 4 7 4" xfId="29941" xr:uid="{00000000-0005-0000-0000-0000F4740000}"/>
    <cellStyle name="Денежный 4 7 4 2" xfId="29942" xr:uid="{00000000-0005-0000-0000-0000F5740000}"/>
    <cellStyle name="Денежный 4 7 5" xfId="29943" xr:uid="{00000000-0005-0000-0000-0000F6740000}"/>
    <cellStyle name="Денежный 4 8" xfId="29944" xr:uid="{00000000-0005-0000-0000-0000F7740000}"/>
    <cellStyle name="Денежный 4 8 2" xfId="29945" xr:uid="{00000000-0005-0000-0000-0000F8740000}"/>
    <cellStyle name="Денежный 4 8 2 2" xfId="29946" xr:uid="{00000000-0005-0000-0000-0000F9740000}"/>
    <cellStyle name="Денежный 4 8 2 2 2" xfId="29947" xr:uid="{00000000-0005-0000-0000-0000FA740000}"/>
    <cellStyle name="Денежный 4 8 2 3" xfId="29948" xr:uid="{00000000-0005-0000-0000-0000FB740000}"/>
    <cellStyle name="Денежный 4 8 3" xfId="29949" xr:uid="{00000000-0005-0000-0000-0000FC740000}"/>
    <cellStyle name="Денежный 4 8 3 2" xfId="29950" xr:uid="{00000000-0005-0000-0000-0000FD740000}"/>
    <cellStyle name="Денежный 4 8 4" xfId="29951" xr:uid="{00000000-0005-0000-0000-0000FE740000}"/>
    <cellStyle name="Денежный 4 8 4 2" xfId="29952" xr:uid="{00000000-0005-0000-0000-0000FF740000}"/>
    <cellStyle name="Денежный 4 8 5" xfId="29953" xr:uid="{00000000-0005-0000-0000-000000750000}"/>
    <cellStyle name="Денежный 4 9" xfId="29954" xr:uid="{00000000-0005-0000-0000-000001750000}"/>
    <cellStyle name="Денежный 4 9 2" xfId="29955" xr:uid="{00000000-0005-0000-0000-000002750000}"/>
    <cellStyle name="Денежный 4 9 2 2" xfId="29956" xr:uid="{00000000-0005-0000-0000-000003750000}"/>
    <cellStyle name="Денежный 4 9 2 2 2" xfId="29957" xr:uid="{00000000-0005-0000-0000-000004750000}"/>
    <cellStyle name="Денежный 4 9 2 3" xfId="29958" xr:uid="{00000000-0005-0000-0000-000005750000}"/>
    <cellStyle name="Денежный 4 9 3" xfId="29959" xr:uid="{00000000-0005-0000-0000-000006750000}"/>
    <cellStyle name="Денежный 4 9 3 2" xfId="29960" xr:uid="{00000000-0005-0000-0000-000007750000}"/>
    <cellStyle name="Денежный 4 9 4" xfId="29961" xr:uid="{00000000-0005-0000-0000-000008750000}"/>
    <cellStyle name="Денежный 4 9 4 2" xfId="29962" xr:uid="{00000000-0005-0000-0000-000009750000}"/>
    <cellStyle name="Денежный 4 9 5" xfId="29963" xr:uid="{00000000-0005-0000-0000-00000A750000}"/>
    <cellStyle name="Денежный 5" xfId="29964" xr:uid="{00000000-0005-0000-0000-00000B750000}"/>
    <cellStyle name="Денежный 5 10" xfId="29965" xr:uid="{00000000-0005-0000-0000-00000C750000}"/>
    <cellStyle name="Денежный 5 2" xfId="29966" xr:uid="{00000000-0005-0000-0000-00000D750000}"/>
    <cellStyle name="Денежный 5 2 2" xfId="29967" xr:uid="{00000000-0005-0000-0000-00000E750000}"/>
    <cellStyle name="Денежный 5 2 2 2" xfId="29968" xr:uid="{00000000-0005-0000-0000-00000F750000}"/>
    <cellStyle name="Денежный 5 2 2 2 2" xfId="29969" xr:uid="{00000000-0005-0000-0000-000010750000}"/>
    <cellStyle name="Денежный 5 2 2 3" xfId="29970" xr:uid="{00000000-0005-0000-0000-000011750000}"/>
    <cellStyle name="Денежный 5 2 3" xfId="29971" xr:uid="{00000000-0005-0000-0000-000012750000}"/>
    <cellStyle name="Денежный 5 2 3 2" xfId="29972" xr:uid="{00000000-0005-0000-0000-000013750000}"/>
    <cellStyle name="Денежный 5 2 4" xfId="29973" xr:uid="{00000000-0005-0000-0000-000014750000}"/>
    <cellStyle name="Денежный 5 2 4 2" xfId="29974" xr:uid="{00000000-0005-0000-0000-000015750000}"/>
    <cellStyle name="Денежный 5 2 5" xfId="29975" xr:uid="{00000000-0005-0000-0000-000016750000}"/>
    <cellStyle name="Денежный 5 3" xfId="29976" xr:uid="{00000000-0005-0000-0000-000017750000}"/>
    <cellStyle name="Денежный 5 3 2" xfId="29977" xr:uid="{00000000-0005-0000-0000-000018750000}"/>
    <cellStyle name="Денежный 5 3 2 2" xfId="29978" xr:uid="{00000000-0005-0000-0000-000019750000}"/>
    <cellStyle name="Денежный 5 3 2 2 2" xfId="29979" xr:uid="{00000000-0005-0000-0000-00001A750000}"/>
    <cellStyle name="Денежный 5 3 2 3" xfId="29980" xr:uid="{00000000-0005-0000-0000-00001B750000}"/>
    <cellStyle name="Денежный 5 3 3" xfId="29981" xr:uid="{00000000-0005-0000-0000-00001C750000}"/>
    <cellStyle name="Денежный 5 3 3 2" xfId="29982" xr:uid="{00000000-0005-0000-0000-00001D750000}"/>
    <cellStyle name="Денежный 5 3 4" xfId="29983" xr:uid="{00000000-0005-0000-0000-00001E750000}"/>
    <cellStyle name="Денежный 5 3 4 2" xfId="29984" xr:uid="{00000000-0005-0000-0000-00001F750000}"/>
    <cellStyle name="Денежный 5 3 5" xfId="29985" xr:uid="{00000000-0005-0000-0000-000020750000}"/>
    <cellStyle name="Денежный 5 4" xfId="29986" xr:uid="{00000000-0005-0000-0000-000021750000}"/>
    <cellStyle name="Денежный 5 4 2" xfId="29987" xr:uid="{00000000-0005-0000-0000-000022750000}"/>
    <cellStyle name="Денежный 5 4 2 2" xfId="29988" xr:uid="{00000000-0005-0000-0000-000023750000}"/>
    <cellStyle name="Денежный 5 4 2 2 2" xfId="29989" xr:uid="{00000000-0005-0000-0000-000024750000}"/>
    <cellStyle name="Денежный 5 4 2 3" xfId="29990" xr:uid="{00000000-0005-0000-0000-000025750000}"/>
    <cellStyle name="Денежный 5 4 3" xfId="29991" xr:uid="{00000000-0005-0000-0000-000026750000}"/>
    <cellStyle name="Денежный 5 4 3 2" xfId="29992" xr:uid="{00000000-0005-0000-0000-000027750000}"/>
    <cellStyle name="Денежный 5 4 4" xfId="29993" xr:uid="{00000000-0005-0000-0000-000028750000}"/>
    <cellStyle name="Денежный 5 4 4 2" xfId="29994" xr:uid="{00000000-0005-0000-0000-000029750000}"/>
    <cellStyle name="Денежный 5 4 5" xfId="29995" xr:uid="{00000000-0005-0000-0000-00002A750000}"/>
    <cellStyle name="Денежный 5 5" xfId="29996" xr:uid="{00000000-0005-0000-0000-00002B750000}"/>
    <cellStyle name="Денежный 5 5 2" xfId="29997" xr:uid="{00000000-0005-0000-0000-00002C750000}"/>
    <cellStyle name="Денежный 5 5 2 2" xfId="29998" xr:uid="{00000000-0005-0000-0000-00002D750000}"/>
    <cellStyle name="Денежный 5 5 2 2 2" xfId="29999" xr:uid="{00000000-0005-0000-0000-00002E750000}"/>
    <cellStyle name="Денежный 5 5 2 3" xfId="30000" xr:uid="{00000000-0005-0000-0000-00002F750000}"/>
    <cellStyle name="Денежный 5 5 3" xfId="30001" xr:uid="{00000000-0005-0000-0000-000030750000}"/>
    <cellStyle name="Денежный 5 5 3 2" xfId="30002" xr:uid="{00000000-0005-0000-0000-000031750000}"/>
    <cellStyle name="Денежный 5 5 4" xfId="30003" xr:uid="{00000000-0005-0000-0000-000032750000}"/>
    <cellStyle name="Денежный 5 5 4 2" xfId="30004" xr:uid="{00000000-0005-0000-0000-000033750000}"/>
    <cellStyle name="Денежный 5 5 5" xfId="30005" xr:uid="{00000000-0005-0000-0000-000034750000}"/>
    <cellStyle name="Денежный 5 6" xfId="30006" xr:uid="{00000000-0005-0000-0000-000035750000}"/>
    <cellStyle name="Денежный 5 6 2" xfId="30007" xr:uid="{00000000-0005-0000-0000-000036750000}"/>
    <cellStyle name="Денежный 5 6 2 2" xfId="30008" xr:uid="{00000000-0005-0000-0000-000037750000}"/>
    <cellStyle name="Денежный 5 6 3" xfId="30009" xr:uid="{00000000-0005-0000-0000-000038750000}"/>
    <cellStyle name="Денежный 5 7" xfId="30010" xr:uid="{00000000-0005-0000-0000-000039750000}"/>
    <cellStyle name="Денежный 5 7 2" xfId="30011" xr:uid="{00000000-0005-0000-0000-00003A750000}"/>
    <cellStyle name="Денежный 5 8" xfId="30012" xr:uid="{00000000-0005-0000-0000-00003B750000}"/>
    <cellStyle name="Денежный 5 8 2" xfId="30013" xr:uid="{00000000-0005-0000-0000-00003C750000}"/>
    <cellStyle name="Денежный 5 9" xfId="30014" xr:uid="{00000000-0005-0000-0000-00003D750000}"/>
    <cellStyle name="Денежный 6" xfId="30015" xr:uid="{00000000-0005-0000-0000-00003E750000}"/>
    <cellStyle name="Денежный 6 10" xfId="30016" xr:uid="{00000000-0005-0000-0000-00003F750000}"/>
    <cellStyle name="Денежный 6 2" xfId="30017" xr:uid="{00000000-0005-0000-0000-000040750000}"/>
    <cellStyle name="Денежный 6 2 2" xfId="30018" xr:uid="{00000000-0005-0000-0000-000041750000}"/>
    <cellStyle name="Денежный 6 2 2 2" xfId="30019" xr:uid="{00000000-0005-0000-0000-000042750000}"/>
    <cellStyle name="Денежный 6 2 2 2 2" xfId="30020" xr:uid="{00000000-0005-0000-0000-000043750000}"/>
    <cellStyle name="Денежный 6 2 2 3" xfId="30021" xr:uid="{00000000-0005-0000-0000-000044750000}"/>
    <cellStyle name="Денежный 6 2 3" xfId="30022" xr:uid="{00000000-0005-0000-0000-000045750000}"/>
    <cellStyle name="Денежный 6 2 3 2" xfId="30023" xr:uid="{00000000-0005-0000-0000-000046750000}"/>
    <cellStyle name="Денежный 6 2 4" xfId="30024" xr:uid="{00000000-0005-0000-0000-000047750000}"/>
    <cellStyle name="Денежный 6 2 4 2" xfId="30025" xr:uid="{00000000-0005-0000-0000-000048750000}"/>
    <cellStyle name="Денежный 6 2 5" xfId="30026" xr:uid="{00000000-0005-0000-0000-000049750000}"/>
    <cellStyle name="Денежный 6 3" xfId="30027" xr:uid="{00000000-0005-0000-0000-00004A750000}"/>
    <cellStyle name="Денежный 6 3 2" xfId="30028" xr:uid="{00000000-0005-0000-0000-00004B750000}"/>
    <cellStyle name="Денежный 6 3 2 2" xfId="30029" xr:uid="{00000000-0005-0000-0000-00004C750000}"/>
    <cellStyle name="Денежный 6 3 2 2 2" xfId="30030" xr:uid="{00000000-0005-0000-0000-00004D750000}"/>
    <cellStyle name="Денежный 6 3 2 3" xfId="30031" xr:uid="{00000000-0005-0000-0000-00004E750000}"/>
    <cellStyle name="Денежный 6 3 3" xfId="30032" xr:uid="{00000000-0005-0000-0000-00004F750000}"/>
    <cellStyle name="Денежный 6 3 3 2" xfId="30033" xr:uid="{00000000-0005-0000-0000-000050750000}"/>
    <cellStyle name="Денежный 6 3 4" xfId="30034" xr:uid="{00000000-0005-0000-0000-000051750000}"/>
    <cellStyle name="Денежный 6 3 4 2" xfId="30035" xr:uid="{00000000-0005-0000-0000-000052750000}"/>
    <cellStyle name="Денежный 6 3 5" xfId="30036" xr:uid="{00000000-0005-0000-0000-000053750000}"/>
    <cellStyle name="Денежный 6 4" xfId="30037" xr:uid="{00000000-0005-0000-0000-000054750000}"/>
    <cellStyle name="Денежный 6 4 2" xfId="30038" xr:uid="{00000000-0005-0000-0000-000055750000}"/>
    <cellStyle name="Денежный 6 4 2 2" xfId="30039" xr:uid="{00000000-0005-0000-0000-000056750000}"/>
    <cellStyle name="Денежный 6 4 2 2 2" xfId="30040" xr:uid="{00000000-0005-0000-0000-000057750000}"/>
    <cellStyle name="Денежный 6 4 2 3" xfId="30041" xr:uid="{00000000-0005-0000-0000-000058750000}"/>
    <cellStyle name="Денежный 6 4 3" xfId="30042" xr:uid="{00000000-0005-0000-0000-000059750000}"/>
    <cellStyle name="Денежный 6 4 3 2" xfId="30043" xr:uid="{00000000-0005-0000-0000-00005A750000}"/>
    <cellStyle name="Денежный 6 4 4" xfId="30044" xr:uid="{00000000-0005-0000-0000-00005B750000}"/>
    <cellStyle name="Денежный 6 4 4 2" xfId="30045" xr:uid="{00000000-0005-0000-0000-00005C750000}"/>
    <cellStyle name="Денежный 6 4 5" xfId="30046" xr:uid="{00000000-0005-0000-0000-00005D750000}"/>
    <cellStyle name="Денежный 6 5" xfId="30047" xr:uid="{00000000-0005-0000-0000-00005E750000}"/>
    <cellStyle name="Денежный 6 5 2" xfId="30048" xr:uid="{00000000-0005-0000-0000-00005F750000}"/>
    <cellStyle name="Денежный 6 5 2 2" xfId="30049" xr:uid="{00000000-0005-0000-0000-000060750000}"/>
    <cellStyle name="Денежный 6 5 2 2 2" xfId="30050" xr:uid="{00000000-0005-0000-0000-000061750000}"/>
    <cellStyle name="Денежный 6 5 2 3" xfId="30051" xr:uid="{00000000-0005-0000-0000-000062750000}"/>
    <cellStyle name="Денежный 6 5 3" xfId="30052" xr:uid="{00000000-0005-0000-0000-000063750000}"/>
    <cellStyle name="Денежный 6 5 3 2" xfId="30053" xr:uid="{00000000-0005-0000-0000-000064750000}"/>
    <cellStyle name="Денежный 6 5 4" xfId="30054" xr:uid="{00000000-0005-0000-0000-000065750000}"/>
    <cellStyle name="Денежный 6 5 4 2" xfId="30055" xr:uid="{00000000-0005-0000-0000-000066750000}"/>
    <cellStyle name="Денежный 6 5 5" xfId="30056" xr:uid="{00000000-0005-0000-0000-000067750000}"/>
    <cellStyle name="Денежный 6 6" xfId="30057" xr:uid="{00000000-0005-0000-0000-000068750000}"/>
    <cellStyle name="Денежный 6 6 2" xfId="30058" xr:uid="{00000000-0005-0000-0000-000069750000}"/>
    <cellStyle name="Денежный 6 6 2 2" xfId="30059" xr:uid="{00000000-0005-0000-0000-00006A750000}"/>
    <cellStyle name="Денежный 6 6 3" xfId="30060" xr:uid="{00000000-0005-0000-0000-00006B750000}"/>
    <cellStyle name="Денежный 6 7" xfId="30061" xr:uid="{00000000-0005-0000-0000-00006C750000}"/>
    <cellStyle name="Денежный 6 7 2" xfId="30062" xr:uid="{00000000-0005-0000-0000-00006D750000}"/>
    <cellStyle name="Денежный 6 8" xfId="30063" xr:uid="{00000000-0005-0000-0000-00006E750000}"/>
    <cellStyle name="Денежный 6 8 2" xfId="30064" xr:uid="{00000000-0005-0000-0000-00006F750000}"/>
    <cellStyle name="Денежный 6 9" xfId="30065" xr:uid="{00000000-0005-0000-0000-000070750000}"/>
    <cellStyle name="Денежный 7" xfId="30066" xr:uid="{00000000-0005-0000-0000-000071750000}"/>
    <cellStyle name="Денежный 7 2" xfId="30067" xr:uid="{00000000-0005-0000-0000-000072750000}"/>
    <cellStyle name="Денежный 7 2 2" xfId="30068" xr:uid="{00000000-0005-0000-0000-000073750000}"/>
    <cellStyle name="Денежный 7 2 2 2" xfId="30069" xr:uid="{00000000-0005-0000-0000-000074750000}"/>
    <cellStyle name="Денежный 7 2 3" xfId="30070" xr:uid="{00000000-0005-0000-0000-000075750000}"/>
    <cellStyle name="Денежный 7 3" xfId="30071" xr:uid="{00000000-0005-0000-0000-000076750000}"/>
    <cellStyle name="Денежный 7 3 2" xfId="30072" xr:uid="{00000000-0005-0000-0000-000077750000}"/>
    <cellStyle name="Денежный 7 4" xfId="30073" xr:uid="{00000000-0005-0000-0000-000078750000}"/>
    <cellStyle name="Денежный 7 4 2" xfId="30074" xr:uid="{00000000-0005-0000-0000-000079750000}"/>
    <cellStyle name="Денежный 7 5" xfId="30075" xr:uid="{00000000-0005-0000-0000-00007A750000}"/>
    <cellStyle name="Денежный 8" xfId="30076" xr:uid="{00000000-0005-0000-0000-00007B750000}"/>
    <cellStyle name="Денежный 8 2" xfId="30077" xr:uid="{00000000-0005-0000-0000-00007C750000}"/>
    <cellStyle name="Денежный 8 2 2" xfId="30078" xr:uid="{00000000-0005-0000-0000-00007D750000}"/>
    <cellStyle name="Денежный 8 3" xfId="30079" xr:uid="{00000000-0005-0000-0000-00007E750000}"/>
    <cellStyle name="Денежный 9" xfId="30080" xr:uid="{00000000-0005-0000-0000-00007F750000}"/>
    <cellStyle name="Денежный 9 2" xfId="30081" xr:uid="{00000000-0005-0000-0000-000080750000}"/>
    <cellStyle name="Заголовок 1 2" xfId="30082" xr:uid="{00000000-0005-0000-0000-000081750000}"/>
    <cellStyle name="Заголовок 2 2" xfId="30083" xr:uid="{00000000-0005-0000-0000-000082750000}"/>
    <cellStyle name="Заголовок 2 2 2" xfId="30084" xr:uid="{00000000-0005-0000-0000-000083750000}"/>
    <cellStyle name="Заголовок 3 2" xfId="30085" xr:uid="{00000000-0005-0000-0000-000084750000}"/>
    <cellStyle name="Заголовок 4 2" xfId="30086" xr:uid="{00000000-0005-0000-0000-000085750000}"/>
    <cellStyle name="Итог 2" xfId="30087" xr:uid="{00000000-0005-0000-0000-000086750000}"/>
    <cellStyle name="Контрольная ячейка 2" xfId="30088" xr:uid="{00000000-0005-0000-0000-000087750000}"/>
    <cellStyle name="Название 2" xfId="30089" xr:uid="{00000000-0005-0000-0000-000088750000}"/>
    <cellStyle name="Название 3" xfId="30090" xr:uid="{00000000-0005-0000-0000-000089750000}"/>
    <cellStyle name="Нейтральный 2" xfId="30091" xr:uid="{00000000-0005-0000-0000-00008A750000}"/>
    <cellStyle name="Нейтральный 3" xfId="30092" xr:uid="{00000000-0005-0000-0000-00008B750000}"/>
    <cellStyle name="Обычный" xfId="0" builtinId="0"/>
    <cellStyle name="Обычный 10" xfId="30093" xr:uid="{00000000-0005-0000-0000-00008D750000}"/>
    <cellStyle name="Обычный 10 2" xfId="30094" xr:uid="{00000000-0005-0000-0000-00008E750000}"/>
    <cellStyle name="Обычный 10 2 2" xfId="30095" xr:uid="{00000000-0005-0000-0000-00008F750000}"/>
    <cellStyle name="Обычный 10 2 2 2" xfId="30096" xr:uid="{00000000-0005-0000-0000-000090750000}"/>
    <cellStyle name="Обычный 10 2 3" xfId="30097" xr:uid="{00000000-0005-0000-0000-000091750000}"/>
    <cellStyle name="Обычный 10 2 3 2" xfId="30098" xr:uid="{00000000-0005-0000-0000-000092750000}"/>
    <cellStyle name="Обычный 10 2 4" xfId="30099" xr:uid="{00000000-0005-0000-0000-000093750000}"/>
    <cellStyle name="Обычный 10 2 4 2" xfId="30100" xr:uid="{00000000-0005-0000-0000-000094750000}"/>
    <cellStyle name="Обычный 10 3" xfId="30101" xr:uid="{00000000-0005-0000-0000-000095750000}"/>
    <cellStyle name="Обычный 10 3 2" xfId="30102" xr:uid="{00000000-0005-0000-0000-000096750000}"/>
    <cellStyle name="Обычный 10 3 2 2" xfId="30103" xr:uid="{00000000-0005-0000-0000-000097750000}"/>
    <cellStyle name="Обычный 10 3 3" xfId="30104" xr:uid="{00000000-0005-0000-0000-000098750000}"/>
    <cellStyle name="Обычный 10 4" xfId="30105" xr:uid="{00000000-0005-0000-0000-000099750000}"/>
    <cellStyle name="Обычный 10 4 2" xfId="30106" xr:uid="{00000000-0005-0000-0000-00009A750000}"/>
    <cellStyle name="Обычный 10 5" xfId="30107" xr:uid="{00000000-0005-0000-0000-00009B750000}"/>
    <cellStyle name="Обычный 10 5 2" xfId="30108" xr:uid="{00000000-0005-0000-0000-00009C750000}"/>
    <cellStyle name="Обычный 10 6" xfId="30109" xr:uid="{00000000-0005-0000-0000-00009D750000}"/>
    <cellStyle name="Обычный 10 6 2" xfId="30110" xr:uid="{00000000-0005-0000-0000-00009E750000}"/>
    <cellStyle name="Обычный 11" xfId="30111" xr:uid="{00000000-0005-0000-0000-00009F750000}"/>
    <cellStyle name="Обычный 11 2" xfId="30112" xr:uid="{00000000-0005-0000-0000-0000A0750000}"/>
    <cellStyle name="Обычный 11 2 2" xfId="30113" xr:uid="{00000000-0005-0000-0000-0000A1750000}"/>
    <cellStyle name="Обычный 11 2 2 2" xfId="30114" xr:uid="{00000000-0005-0000-0000-0000A2750000}"/>
    <cellStyle name="Обычный 11 2 3" xfId="30115" xr:uid="{00000000-0005-0000-0000-0000A3750000}"/>
    <cellStyle name="Обычный 11 2 3 2" xfId="30116" xr:uid="{00000000-0005-0000-0000-0000A4750000}"/>
    <cellStyle name="Обычный 11 2 4" xfId="30117" xr:uid="{00000000-0005-0000-0000-0000A5750000}"/>
    <cellStyle name="Обычный 11 2 4 2" xfId="30118" xr:uid="{00000000-0005-0000-0000-0000A6750000}"/>
    <cellStyle name="Обычный 11 3" xfId="30119" xr:uid="{00000000-0005-0000-0000-0000A7750000}"/>
    <cellStyle name="Обычный 11 3 2" xfId="30120" xr:uid="{00000000-0005-0000-0000-0000A8750000}"/>
    <cellStyle name="Обычный 11 3 2 2" xfId="30121" xr:uid="{00000000-0005-0000-0000-0000A9750000}"/>
    <cellStyle name="Обычный 11 3 3" xfId="30122" xr:uid="{00000000-0005-0000-0000-0000AA750000}"/>
    <cellStyle name="Обычный 11 4" xfId="30123" xr:uid="{00000000-0005-0000-0000-0000AB750000}"/>
    <cellStyle name="Обычный 11 4 2" xfId="30124" xr:uid="{00000000-0005-0000-0000-0000AC750000}"/>
    <cellStyle name="Обычный 11 5" xfId="30125" xr:uid="{00000000-0005-0000-0000-0000AD750000}"/>
    <cellStyle name="Обычный 11 5 2" xfId="30126" xr:uid="{00000000-0005-0000-0000-0000AE750000}"/>
    <cellStyle name="Обычный 11 6" xfId="30127" xr:uid="{00000000-0005-0000-0000-0000AF750000}"/>
    <cellStyle name="Обычный 11 6 2" xfId="30128" xr:uid="{00000000-0005-0000-0000-0000B0750000}"/>
    <cellStyle name="Обычный 12" xfId="30129" xr:uid="{00000000-0005-0000-0000-0000B1750000}"/>
    <cellStyle name="Обычный 12 2" xfId="30130" xr:uid="{00000000-0005-0000-0000-0000B2750000}"/>
    <cellStyle name="Обычный 12 2 2" xfId="30131" xr:uid="{00000000-0005-0000-0000-0000B3750000}"/>
    <cellStyle name="Обычный 12 2 2 2" xfId="30132" xr:uid="{00000000-0005-0000-0000-0000B4750000}"/>
    <cellStyle name="Обычный 12 2 3" xfId="30133" xr:uid="{00000000-0005-0000-0000-0000B5750000}"/>
    <cellStyle name="Обычный 12 2 3 2" xfId="30134" xr:uid="{00000000-0005-0000-0000-0000B6750000}"/>
    <cellStyle name="Обычный 12 2 4" xfId="30135" xr:uid="{00000000-0005-0000-0000-0000B7750000}"/>
    <cellStyle name="Обычный 12 2 4 2" xfId="30136" xr:uid="{00000000-0005-0000-0000-0000B8750000}"/>
    <cellStyle name="Обычный 12 3" xfId="30137" xr:uid="{00000000-0005-0000-0000-0000B9750000}"/>
    <cellStyle name="Обычный 12 3 2" xfId="30138" xr:uid="{00000000-0005-0000-0000-0000BA750000}"/>
    <cellStyle name="Обычный 12 3 2 2" xfId="30139" xr:uid="{00000000-0005-0000-0000-0000BB750000}"/>
    <cellStyle name="Обычный 12 3 3" xfId="30140" xr:uid="{00000000-0005-0000-0000-0000BC750000}"/>
    <cellStyle name="Обычный 12 4" xfId="30141" xr:uid="{00000000-0005-0000-0000-0000BD750000}"/>
    <cellStyle name="Обычный 12 4 2" xfId="30142" xr:uid="{00000000-0005-0000-0000-0000BE750000}"/>
    <cellStyle name="Обычный 12 5" xfId="30143" xr:uid="{00000000-0005-0000-0000-0000BF750000}"/>
    <cellStyle name="Обычный 12 5 2" xfId="30144" xr:uid="{00000000-0005-0000-0000-0000C0750000}"/>
    <cellStyle name="Обычный 12 6" xfId="30145" xr:uid="{00000000-0005-0000-0000-0000C1750000}"/>
    <cellStyle name="Обычный 12 6 2" xfId="30146" xr:uid="{00000000-0005-0000-0000-0000C2750000}"/>
    <cellStyle name="Обычный 13" xfId="30147" xr:uid="{00000000-0005-0000-0000-0000C3750000}"/>
    <cellStyle name="Обычный 13 2" xfId="30148" xr:uid="{00000000-0005-0000-0000-0000C4750000}"/>
    <cellStyle name="Обычный 13 2 2" xfId="30149" xr:uid="{00000000-0005-0000-0000-0000C5750000}"/>
    <cellStyle name="Обычный 13 2 2 2" xfId="30150" xr:uid="{00000000-0005-0000-0000-0000C6750000}"/>
    <cellStyle name="Обычный 13 2 3" xfId="30151" xr:uid="{00000000-0005-0000-0000-0000C7750000}"/>
    <cellStyle name="Обычный 13 2 3 2" xfId="30152" xr:uid="{00000000-0005-0000-0000-0000C8750000}"/>
    <cellStyle name="Обычный 13 2 4" xfId="30153" xr:uid="{00000000-0005-0000-0000-0000C9750000}"/>
    <cellStyle name="Обычный 13 2 4 2" xfId="30154" xr:uid="{00000000-0005-0000-0000-0000CA750000}"/>
    <cellStyle name="Обычный 13 3" xfId="30155" xr:uid="{00000000-0005-0000-0000-0000CB750000}"/>
    <cellStyle name="Обычный 13 3 2" xfId="30156" xr:uid="{00000000-0005-0000-0000-0000CC750000}"/>
    <cellStyle name="Обычный 13 3 2 2" xfId="30157" xr:uid="{00000000-0005-0000-0000-0000CD750000}"/>
    <cellStyle name="Обычный 13 3 3" xfId="30158" xr:uid="{00000000-0005-0000-0000-0000CE750000}"/>
    <cellStyle name="Обычный 13 4" xfId="30159" xr:uid="{00000000-0005-0000-0000-0000CF750000}"/>
    <cellStyle name="Обычный 13 4 2" xfId="30160" xr:uid="{00000000-0005-0000-0000-0000D0750000}"/>
    <cellStyle name="Обычный 13 5" xfId="30161" xr:uid="{00000000-0005-0000-0000-0000D1750000}"/>
    <cellStyle name="Обычный 13 5 2" xfId="30162" xr:uid="{00000000-0005-0000-0000-0000D2750000}"/>
    <cellStyle name="Обычный 13 6" xfId="30163" xr:uid="{00000000-0005-0000-0000-0000D3750000}"/>
    <cellStyle name="Обычный 13 6 2" xfId="30164" xr:uid="{00000000-0005-0000-0000-0000D4750000}"/>
    <cellStyle name="Обычный 14" xfId="30165" xr:uid="{00000000-0005-0000-0000-0000D5750000}"/>
    <cellStyle name="Обычный 14 2" xfId="30166" xr:uid="{00000000-0005-0000-0000-0000D6750000}"/>
    <cellStyle name="Обычный 14 2 2" xfId="30167" xr:uid="{00000000-0005-0000-0000-0000D7750000}"/>
    <cellStyle name="Обычный 14 2 2 2" xfId="30168" xr:uid="{00000000-0005-0000-0000-0000D8750000}"/>
    <cellStyle name="Обычный 14 2 3" xfId="30169" xr:uid="{00000000-0005-0000-0000-0000D9750000}"/>
    <cellStyle name="Обычный 14 2 3 2" xfId="30170" xr:uid="{00000000-0005-0000-0000-0000DA750000}"/>
    <cellStyle name="Обычный 14 2 4" xfId="30171" xr:uid="{00000000-0005-0000-0000-0000DB750000}"/>
    <cellStyle name="Обычный 14 2 4 2" xfId="30172" xr:uid="{00000000-0005-0000-0000-0000DC750000}"/>
    <cellStyle name="Обычный 14 3" xfId="30173" xr:uid="{00000000-0005-0000-0000-0000DD750000}"/>
    <cellStyle name="Обычный 14 3 2" xfId="30174" xr:uid="{00000000-0005-0000-0000-0000DE750000}"/>
    <cellStyle name="Обычный 14 3 2 2" xfId="30175" xr:uid="{00000000-0005-0000-0000-0000DF750000}"/>
    <cellStyle name="Обычный 14 3 3" xfId="30176" xr:uid="{00000000-0005-0000-0000-0000E0750000}"/>
    <cellStyle name="Обычный 14 4" xfId="30177" xr:uid="{00000000-0005-0000-0000-0000E1750000}"/>
    <cellStyle name="Обычный 14 4 2" xfId="30178" xr:uid="{00000000-0005-0000-0000-0000E2750000}"/>
    <cellStyle name="Обычный 14 5" xfId="30179" xr:uid="{00000000-0005-0000-0000-0000E3750000}"/>
    <cellStyle name="Обычный 14 5 2" xfId="30180" xr:uid="{00000000-0005-0000-0000-0000E4750000}"/>
    <cellStyle name="Обычный 14 6" xfId="30181" xr:uid="{00000000-0005-0000-0000-0000E5750000}"/>
    <cellStyle name="Обычный 14 6 2" xfId="30182" xr:uid="{00000000-0005-0000-0000-0000E6750000}"/>
    <cellStyle name="Обычный 15" xfId="30183" xr:uid="{00000000-0005-0000-0000-0000E7750000}"/>
    <cellStyle name="Обычный 15 2" xfId="30184" xr:uid="{00000000-0005-0000-0000-0000E8750000}"/>
    <cellStyle name="Обычный 15 2 2" xfId="30185" xr:uid="{00000000-0005-0000-0000-0000E9750000}"/>
    <cellStyle name="Обычный 15 2 2 2" xfId="30186" xr:uid="{00000000-0005-0000-0000-0000EA750000}"/>
    <cellStyle name="Обычный 15 2 3" xfId="30187" xr:uid="{00000000-0005-0000-0000-0000EB750000}"/>
    <cellStyle name="Обычный 15 2 3 2" xfId="30188" xr:uid="{00000000-0005-0000-0000-0000EC750000}"/>
    <cellStyle name="Обычный 15 2 4" xfId="30189" xr:uid="{00000000-0005-0000-0000-0000ED750000}"/>
    <cellStyle name="Обычный 15 2 4 2" xfId="30190" xr:uid="{00000000-0005-0000-0000-0000EE750000}"/>
    <cellStyle name="Обычный 15 3" xfId="30191" xr:uid="{00000000-0005-0000-0000-0000EF750000}"/>
    <cellStyle name="Обычный 15 3 2" xfId="30192" xr:uid="{00000000-0005-0000-0000-0000F0750000}"/>
    <cellStyle name="Обычный 15 3 2 2" xfId="30193" xr:uid="{00000000-0005-0000-0000-0000F1750000}"/>
    <cellStyle name="Обычный 15 3 3" xfId="30194" xr:uid="{00000000-0005-0000-0000-0000F2750000}"/>
    <cellStyle name="Обычный 15 4" xfId="30195" xr:uid="{00000000-0005-0000-0000-0000F3750000}"/>
    <cellStyle name="Обычный 15 4 2" xfId="30196" xr:uid="{00000000-0005-0000-0000-0000F4750000}"/>
    <cellStyle name="Обычный 15 5" xfId="30197" xr:uid="{00000000-0005-0000-0000-0000F5750000}"/>
    <cellStyle name="Обычный 15 5 2" xfId="30198" xr:uid="{00000000-0005-0000-0000-0000F6750000}"/>
    <cellStyle name="Обычный 15 6" xfId="30199" xr:uid="{00000000-0005-0000-0000-0000F7750000}"/>
    <cellStyle name="Обычный 15 6 2" xfId="30200" xr:uid="{00000000-0005-0000-0000-0000F8750000}"/>
    <cellStyle name="Обычный 16" xfId="30201" xr:uid="{00000000-0005-0000-0000-0000F9750000}"/>
    <cellStyle name="Обычный 16 2" xfId="30202" xr:uid="{00000000-0005-0000-0000-0000FA750000}"/>
    <cellStyle name="Обычный 16 2 2" xfId="30203" xr:uid="{00000000-0005-0000-0000-0000FB750000}"/>
    <cellStyle name="Обычный 16 2 2 2" xfId="30204" xr:uid="{00000000-0005-0000-0000-0000FC750000}"/>
    <cellStyle name="Обычный 16 2 3" xfId="30205" xr:uid="{00000000-0005-0000-0000-0000FD750000}"/>
    <cellStyle name="Обычный 16 2 3 2" xfId="30206" xr:uid="{00000000-0005-0000-0000-0000FE750000}"/>
    <cellStyle name="Обычный 16 2 4" xfId="30207" xr:uid="{00000000-0005-0000-0000-0000FF750000}"/>
    <cellStyle name="Обычный 16 2 4 2" xfId="30208" xr:uid="{00000000-0005-0000-0000-000000760000}"/>
    <cellStyle name="Обычный 16 3" xfId="30209" xr:uid="{00000000-0005-0000-0000-000001760000}"/>
    <cellStyle name="Обычный 16 3 2" xfId="30210" xr:uid="{00000000-0005-0000-0000-000002760000}"/>
    <cellStyle name="Обычный 16 3 2 2" xfId="30211" xr:uid="{00000000-0005-0000-0000-000003760000}"/>
    <cellStyle name="Обычный 16 3 3" xfId="30212" xr:uid="{00000000-0005-0000-0000-000004760000}"/>
    <cellStyle name="Обычный 16 4" xfId="30213" xr:uid="{00000000-0005-0000-0000-000005760000}"/>
    <cellStyle name="Обычный 16 4 2" xfId="30214" xr:uid="{00000000-0005-0000-0000-000006760000}"/>
    <cellStyle name="Обычный 16 5" xfId="30215" xr:uid="{00000000-0005-0000-0000-000007760000}"/>
    <cellStyle name="Обычный 16 5 2" xfId="30216" xr:uid="{00000000-0005-0000-0000-000008760000}"/>
    <cellStyle name="Обычный 16 6" xfId="30217" xr:uid="{00000000-0005-0000-0000-000009760000}"/>
    <cellStyle name="Обычный 16 6 2" xfId="30218" xr:uid="{00000000-0005-0000-0000-00000A760000}"/>
    <cellStyle name="Обычный 17" xfId="30219" xr:uid="{00000000-0005-0000-0000-00000B760000}"/>
    <cellStyle name="Обычный 17 2" xfId="30220" xr:uid="{00000000-0005-0000-0000-00000C760000}"/>
    <cellStyle name="Обычный 17 2 2" xfId="30221" xr:uid="{00000000-0005-0000-0000-00000D760000}"/>
    <cellStyle name="Обычный 17 2 2 2" xfId="30222" xr:uid="{00000000-0005-0000-0000-00000E760000}"/>
    <cellStyle name="Обычный 17 2 3" xfId="30223" xr:uid="{00000000-0005-0000-0000-00000F760000}"/>
    <cellStyle name="Обычный 17 2 3 2" xfId="30224" xr:uid="{00000000-0005-0000-0000-000010760000}"/>
    <cellStyle name="Обычный 17 2 4" xfId="30225" xr:uid="{00000000-0005-0000-0000-000011760000}"/>
    <cellStyle name="Обычный 17 2 4 2" xfId="30226" xr:uid="{00000000-0005-0000-0000-000012760000}"/>
    <cellStyle name="Обычный 17 3" xfId="30227" xr:uid="{00000000-0005-0000-0000-000013760000}"/>
    <cellStyle name="Обычный 17 3 2" xfId="30228" xr:uid="{00000000-0005-0000-0000-000014760000}"/>
    <cellStyle name="Обычный 17 3 2 2" xfId="30229" xr:uid="{00000000-0005-0000-0000-000015760000}"/>
    <cellStyle name="Обычный 17 3 3" xfId="30230" xr:uid="{00000000-0005-0000-0000-000016760000}"/>
    <cellStyle name="Обычный 17 4" xfId="30231" xr:uid="{00000000-0005-0000-0000-000017760000}"/>
    <cellStyle name="Обычный 17 4 2" xfId="30232" xr:uid="{00000000-0005-0000-0000-000018760000}"/>
    <cellStyle name="Обычный 17 5" xfId="30233" xr:uid="{00000000-0005-0000-0000-000019760000}"/>
    <cellStyle name="Обычный 17 5 2" xfId="30234" xr:uid="{00000000-0005-0000-0000-00001A760000}"/>
    <cellStyle name="Обычный 17 6" xfId="30235" xr:uid="{00000000-0005-0000-0000-00001B760000}"/>
    <cellStyle name="Обычный 17 6 2" xfId="30236" xr:uid="{00000000-0005-0000-0000-00001C760000}"/>
    <cellStyle name="Обычный 18" xfId="30237" xr:uid="{00000000-0005-0000-0000-00001D760000}"/>
    <cellStyle name="Обычный 18 2" xfId="30238" xr:uid="{00000000-0005-0000-0000-00001E760000}"/>
    <cellStyle name="Обычный 18 2 2" xfId="30239" xr:uid="{00000000-0005-0000-0000-00001F760000}"/>
    <cellStyle name="Обычный 18 2 2 2" xfId="30240" xr:uid="{00000000-0005-0000-0000-000020760000}"/>
    <cellStyle name="Обычный 18 2 3" xfId="30241" xr:uid="{00000000-0005-0000-0000-000021760000}"/>
    <cellStyle name="Обычный 18 2 3 2" xfId="30242" xr:uid="{00000000-0005-0000-0000-000022760000}"/>
    <cellStyle name="Обычный 18 2 4" xfId="30243" xr:uid="{00000000-0005-0000-0000-000023760000}"/>
    <cellStyle name="Обычный 18 2 4 2" xfId="30244" xr:uid="{00000000-0005-0000-0000-000024760000}"/>
    <cellStyle name="Обычный 18 3" xfId="30245" xr:uid="{00000000-0005-0000-0000-000025760000}"/>
    <cellStyle name="Обычный 18 3 2" xfId="30246" xr:uid="{00000000-0005-0000-0000-000026760000}"/>
    <cellStyle name="Обычный 18 3 2 2" xfId="30247" xr:uid="{00000000-0005-0000-0000-000027760000}"/>
    <cellStyle name="Обычный 18 3 3" xfId="30248" xr:uid="{00000000-0005-0000-0000-000028760000}"/>
    <cellStyle name="Обычный 18 4" xfId="30249" xr:uid="{00000000-0005-0000-0000-000029760000}"/>
    <cellStyle name="Обычный 18 4 2" xfId="30250" xr:uid="{00000000-0005-0000-0000-00002A760000}"/>
    <cellStyle name="Обычный 18 5" xfId="30251" xr:uid="{00000000-0005-0000-0000-00002B760000}"/>
    <cellStyle name="Обычный 18 5 2" xfId="30252" xr:uid="{00000000-0005-0000-0000-00002C760000}"/>
    <cellStyle name="Обычный 18 6" xfId="30253" xr:uid="{00000000-0005-0000-0000-00002D760000}"/>
    <cellStyle name="Обычный 18 6 2" xfId="30254" xr:uid="{00000000-0005-0000-0000-00002E760000}"/>
    <cellStyle name="Обычный 19" xfId="30255" xr:uid="{00000000-0005-0000-0000-00002F760000}"/>
    <cellStyle name="Обычный 19 2" xfId="30256" xr:uid="{00000000-0005-0000-0000-000030760000}"/>
    <cellStyle name="Обычный 19 2 2" xfId="30257" xr:uid="{00000000-0005-0000-0000-000031760000}"/>
    <cellStyle name="Обычный 19 2 2 2" xfId="30258" xr:uid="{00000000-0005-0000-0000-000032760000}"/>
    <cellStyle name="Обычный 19 2 3" xfId="30259" xr:uid="{00000000-0005-0000-0000-000033760000}"/>
    <cellStyle name="Обычный 19 2 3 2" xfId="30260" xr:uid="{00000000-0005-0000-0000-000034760000}"/>
    <cellStyle name="Обычный 19 2 4" xfId="30261" xr:uid="{00000000-0005-0000-0000-000035760000}"/>
    <cellStyle name="Обычный 19 2 4 2" xfId="30262" xr:uid="{00000000-0005-0000-0000-000036760000}"/>
    <cellStyle name="Обычный 19 3" xfId="30263" xr:uid="{00000000-0005-0000-0000-000037760000}"/>
    <cellStyle name="Обычный 19 3 2" xfId="30264" xr:uid="{00000000-0005-0000-0000-000038760000}"/>
    <cellStyle name="Обычный 19 3 2 2" xfId="30265" xr:uid="{00000000-0005-0000-0000-000039760000}"/>
    <cellStyle name="Обычный 19 3 3" xfId="30266" xr:uid="{00000000-0005-0000-0000-00003A760000}"/>
    <cellStyle name="Обычный 19 4" xfId="30267" xr:uid="{00000000-0005-0000-0000-00003B760000}"/>
    <cellStyle name="Обычный 19 4 2" xfId="30268" xr:uid="{00000000-0005-0000-0000-00003C760000}"/>
    <cellStyle name="Обычный 19 5" xfId="30269" xr:uid="{00000000-0005-0000-0000-00003D760000}"/>
    <cellStyle name="Обычный 19 5 2" xfId="30270" xr:uid="{00000000-0005-0000-0000-00003E760000}"/>
    <cellStyle name="Обычный 19 6" xfId="30271" xr:uid="{00000000-0005-0000-0000-00003F760000}"/>
    <cellStyle name="Обычный 19 6 2" xfId="30272" xr:uid="{00000000-0005-0000-0000-000040760000}"/>
    <cellStyle name="Обычный 2" xfId="30273" xr:uid="{00000000-0005-0000-0000-000041760000}"/>
    <cellStyle name="Обычный 2 2" xfId="30274" xr:uid="{00000000-0005-0000-0000-000042760000}"/>
    <cellStyle name="Обычный 2 2 2" xfId="30275" xr:uid="{00000000-0005-0000-0000-000043760000}"/>
    <cellStyle name="Обычный 2 2 2 2" xfId="30276" xr:uid="{00000000-0005-0000-0000-000044760000}"/>
    <cellStyle name="Обычный 2 2 2 3" xfId="30277" xr:uid="{00000000-0005-0000-0000-000045760000}"/>
    <cellStyle name="Обычный 2 2 3" xfId="30278" xr:uid="{00000000-0005-0000-0000-000046760000}"/>
    <cellStyle name="Обычный 2 2 3 2" xfId="30279" xr:uid="{00000000-0005-0000-0000-000047760000}"/>
    <cellStyle name="Обычный 2 2 4" xfId="30280" xr:uid="{00000000-0005-0000-0000-000048760000}"/>
    <cellStyle name="Обычный 2 2 4 2" xfId="30281" xr:uid="{00000000-0005-0000-0000-000049760000}"/>
    <cellStyle name="Обычный 2 2 5" xfId="30282" xr:uid="{00000000-0005-0000-0000-00004A760000}"/>
    <cellStyle name="Обычный 2 3" xfId="30283" xr:uid="{00000000-0005-0000-0000-00004B760000}"/>
    <cellStyle name="Обычный 2 3 2" xfId="30284" xr:uid="{00000000-0005-0000-0000-00004C760000}"/>
    <cellStyle name="Обычный 2 3 2 2" xfId="30285" xr:uid="{00000000-0005-0000-0000-00004D760000}"/>
    <cellStyle name="Обычный 2 3 3" xfId="30286" xr:uid="{00000000-0005-0000-0000-00004E760000}"/>
    <cellStyle name="Обычный 2 3 4" xfId="30287" xr:uid="{00000000-0005-0000-0000-00004F760000}"/>
    <cellStyle name="Обычный 2 4" xfId="30288" xr:uid="{00000000-0005-0000-0000-000050760000}"/>
    <cellStyle name="Обычный 2 4 2" xfId="30289" xr:uid="{00000000-0005-0000-0000-000051760000}"/>
    <cellStyle name="Обычный 2 4 3" xfId="30290" xr:uid="{00000000-0005-0000-0000-000052760000}"/>
    <cellStyle name="Обычный 2 5" xfId="30291" xr:uid="{00000000-0005-0000-0000-000053760000}"/>
    <cellStyle name="Обычный 2 5 2" xfId="30292" xr:uid="{00000000-0005-0000-0000-000054760000}"/>
    <cellStyle name="Обычный 2 6" xfId="30293" xr:uid="{00000000-0005-0000-0000-000055760000}"/>
    <cellStyle name="Обычный 2 6 2" xfId="30294" xr:uid="{00000000-0005-0000-0000-000056760000}"/>
    <cellStyle name="Обычный 2 7" xfId="30295" xr:uid="{00000000-0005-0000-0000-000057760000}"/>
    <cellStyle name="Обычный 20" xfId="30296" xr:uid="{00000000-0005-0000-0000-000058760000}"/>
    <cellStyle name="Обычный 20 2" xfId="30297" xr:uid="{00000000-0005-0000-0000-000059760000}"/>
    <cellStyle name="Обычный 20 2 2" xfId="30298" xr:uid="{00000000-0005-0000-0000-00005A760000}"/>
    <cellStyle name="Обычный 20 2 2 2" xfId="30299" xr:uid="{00000000-0005-0000-0000-00005B760000}"/>
    <cellStyle name="Обычный 20 2 3" xfId="30300" xr:uid="{00000000-0005-0000-0000-00005C760000}"/>
    <cellStyle name="Обычный 20 2 3 2" xfId="30301" xr:uid="{00000000-0005-0000-0000-00005D760000}"/>
    <cellStyle name="Обычный 20 2 4" xfId="30302" xr:uid="{00000000-0005-0000-0000-00005E760000}"/>
    <cellStyle name="Обычный 20 2 4 2" xfId="30303" xr:uid="{00000000-0005-0000-0000-00005F760000}"/>
    <cellStyle name="Обычный 20 3" xfId="30304" xr:uid="{00000000-0005-0000-0000-000060760000}"/>
    <cellStyle name="Обычный 20 3 2" xfId="30305" xr:uid="{00000000-0005-0000-0000-000061760000}"/>
    <cellStyle name="Обычный 20 3 2 2" xfId="30306" xr:uid="{00000000-0005-0000-0000-000062760000}"/>
    <cellStyle name="Обычный 20 3 3" xfId="30307" xr:uid="{00000000-0005-0000-0000-000063760000}"/>
    <cellStyle name="Обычный 20 4" xfId="30308" xr:uid="{00000000-0005-0000-0000-000064760000}"/>
    <cellStyle name="Обычный 20 4 2" xfId="30309" xr:uid="{00000000-0005-0000-0000-000065760000}"/>
    <cellStyle name="Обычный 20 5" xfId="30310" xr:uid="{00000000-0005-0000-0000-000066760000}"/>
    <cellStyle name="Обычный 20 5 2" xfId="30311" xr:uid="{00000000-0005-0000-0000-000067760000}"/>
    <cellStyle name="Обычный 20 6" xfId="30312" xr:uid="{00000000-0005-0000-0000-000068760000}"/>
    <cellStyle name="Обычный 20 6 2" xfId="30313" xr:uid="{00000000-0005-0000-0000-000069760000}"/>
    <cellStyle name="Обычный 21" xfId="30314" xr:uid="{00000000-0005-0000-0000-00006A760000}"/>
    <cellStyle name="Обычный 21 2" xfId="30315" xr:uid="{00000000-0005-0000-0000-00006B760000}"/>
    <cellStyle name="Обычный 21 2 2" xfId="30316" xr:uid="{00000000-0005-0000-0000-00006C760000}"/>
    <cellStyle name="Обычный 21 2 2 2" xfId="30317" xr:uid="{00000000-0005-0000-0000-00006D760000}"/>
    <cellStyle name="Обычный 21 2 2 3" xfId="30318" xr:uid="{00000000-0005-0000-0000-00006E760000}"/>
    <cellStyle name="Обычный 21 2 3" xfId="30319" xr:uid="{00000000-0005-0000-0000-00006F760000}"/>
    <cellStyle name="Обычный 21 2 3 2" xfId="30320" xr:uid="{00000000-0005-0000-0000-000070760000}"/>
    <cellStyle name="Обычный 21 2 3 3" xfId="30321" xr:uid="{00000000-0005-0000-0000-000071760000}"/>
    <cellStyle name="Обычный 21 2 4" xfId="30322" xr:uid="{00000000-0005-0000-0000-000072760000}"/>
    <cellStyle name="Обычный 21 2 4 2" xfId="30323" xr:uid="{00000000-0005-0000-0000-000073760000}"/>
    <cellStyle name="Обычный 21 2 5" xfId="30324" xr:uid="{00000000-0005-0000-0000-000074760000}"/>
    <cellStyle name="Обычный 21 2 5 2" xfId="30325" xr:uid="{00000000-0005-0000-0000-000075760000}"/>
    <cellStyle name="Обычный 21 2 6" xfId="30326" xr:uid="{00000000-0005-0000-0000-000076760000}"/>
    <cellStyle name="Обычный 21 2 7" xfId="30327" xr:uid="{00000000-0005-0000-0000-000077760000}"/>
    <cellStyle name="Обычный 21 3" xfId="30328" xr:uid="{00000000-0005-0000-0000-000078760000}"/>
    <cellStyle name="Обычный 21 3 2" xfId="30329" xr:uid="{00000000-0005-0000-0000-000079760000}"/>
    <cellStyle name="Обычный 21 3 2 2" xfId="30330" xr:uid="{00000000-0005-0000-0000-00007A760000}"/>
    <cellStyle name="Обычный 21 3 2 3" xfId="30331" xr:uid="{00000000-0005-0000-0000-00007B760000}"/>
    <cellStyle name="Обычный 21 3 3" xfId="30332" xr:uid="{00000000-0005-0000-0000-00007C760000}"/>
    <cellStyle name="Обычный 21 3 4" xfId="30333" xr:uid="{00000000-0005-0000-0000-00007D760000}"/>
    <cellStyle name="Обычный 21 4" xfId="30334" xr:uid="{00000000-0005-0000-0000-00007E760000}"/>
    <cellStyle name="Обычный 21 4 2" xfId="30335" xr:uid="{00000000-0005-0000-0000-00007F760000}"/>
    <cellStyle name="Обычный 21 4 3" xfId="30336" xr:uid="{00000000-0005-0000-0000-000080760000}"/>
    <cellStyle name="Обычный 21 5" xfId="30337" xr:uid="{00000000-0005-0000-0000-000081760000}"/>
    <cellStyle name="Обычный 21 5 2" xfId="30338" xr:uid="{00000000-0005-0000-0000-000082760000}"/>
    <cellStyle name="Обычный 21 5 3" xfId="30339" xr:uid="{00000000-0005-0000-0000-000083760000}"/>
    <cellStyle name="Обычный 21 6" xfId="30340" xr:uid="{00000000-0005-0000-0000-000084760000}"/>
    <cellStyle name="Обычный 21 6 2" xfId="30341" xr:uid="{00000000-0005-0000-0000-000085760000}"/>
    <cellStyle name="Обычный 21 7" xfId="30342" xr:uid="{00000000-0005-0000-0000-000086760000}"/>
    <cellStyle name="Обычный 21 7 2" xfId="30343" xr:uid="{00000000-0005-0000-0000-000087760000}"/>
    <cellStyle name="Обычный 21 8" xfId="30344" xr:uid="{00000000-0005-0000-0000-000088760000}"/>
    <cellStyle name="Обычный 21 9" xfId="30345" xr:uid="{00000000-0005-0000-0000-000089760000}"/>
    <cellStyle name="Обычный 22" xfId="30346" xr:uid="{00000000-0005-0000-0000-00008A760000}"/>
    <cellStyle name="Обычный 22 2" xfId="30347" xr:uid="{00000000-0005-0000-0000-00008B760000}"/>
    <cellStyle name="Обычный 22 2 2" xfId="30348" xr:uid="{00000000-0005-0000-0000-00008C760000}"/>
    <cellStyle name="Обычный 22 3" xfId="30349" xr:uid="{00000000-0005-0000-0000-00008D760000}"/>
    <cellStyle name="Обычный 22 4" xfId="30350" xr:uid="{00000000-0005-0000-0000-00008E760000}"/>
    <cellStyle name="Обычный 23" xfId="30351" xr:uid="{00000000-0005-0000-0000-00008F760000}"/>
    <cellStyle name="Обычный 23 2" xfId="30352" xr:uid="{00000000-0005-0000-0000-000090760000}"/>
    <cellStyle name="Обычный 23 2 2" xfId="30353" xr:uid="{00000000-0005-0000-0000-000091760000}"/>
    <cellStyle name="Обычный 23 2 2 2" xfId="30354" xr:uid="{00000000-0005-0000-0000-000092760000}"/>
    <cellStyle name="Обычный 23 2 2 3" xfId="30355" xr:uid="{00000000-0005-0000-0000-000093760000}"/>
    <cellStyle name="Обычный 23 2 3" xfId="30356" xr:uid="{00000000-0005-0000-0000-000094760000}"/>
    <cellStyle name="Обычный 23 3" xfId="30357" xr:uid="{00000000-0005-0000-0000-000095760000}"/>
    <cellStyle name="Обычный 23 3 2" xfId="30358" xr:uid="{00000000-0005-0000-0000-000096760000}"/>
    <cellStyle name="Обычный 23 4" xfId="30359" xr:uid="{00000000-0005-0000-0000-000097760000}"/>
    <cellStyle name="Обычный 24" xfId="30360" xr:uid="{00000000-0005-0000-0000-000098760000}"/>
    <cellStyle name="Обычный 24 2" xfId="30361" xr:uid="{00000000-0005-0000-0000-000099760000}"/>
    <cellStyle name="Обычный 25" xfId="30362" xr:uid="{00000000-0005-0000-0000-00009A760000}"/>
    <cellStyle name="Обычный 25 2" xfId="30363" xr:uid="{00000000-0005-0000-0000-00009B760000}"/>
    <cellStyle name="Обычный 25 3" xfId="30364" xr:uid="{00000000-0005-0000-0000-00009C760000}"/>
    <cellStyle name="Обычный 26" xfId="30365" xr:uid="{00000000-0005-0000-0000-00009D760000}"/>
    <cellStyle name="Обычный 26 2" xfId="30366" xr:uid="{00000000-0005-0000-0000-00009E760000}"/>
    <cellStyle name="Обычный 26 3" xfId="30367" xr:uid="{00000000-0005-0000-0000-00009F760000}"/>
    <cellStyle name="Обычный 27" xfId="30368" xr:uid="{00000000-0005-0000-0000-0000A0760000}"/>
    <cellStyle name="Обычный 27 2" xfId="30369" xr:uid="{00000000-0005-0000-0000-0000A1760000}"/>
    <cellStyle name="Обычный 27 3" xfId="30370" xr:uid="{00000000-0005-0000-0000-0000A2760000}"/>
    <cellStyle name="Обычный 28" xfId="30371" xr:uid="{00000000-0005-0000-0000-0000A3760000}"/>
    <cellStyle name="Обычный 28 2" xfId="30372" xr:uid="{00000000-0005-0000-0000-0000A4760000}"/>
    <cellStyle name="Обычный 29" xfId="30373" xr:uid="{00000000-0005-0000-0000-0000A5760000}"/>
    <cellStyle name="Обычный 3" xfId="30374" xr:uid="{00000000-0005-0000-0000-0000A6760000}"/>
    <cellStyle name="Обычный 3 2" xfId="30375" xr:uid="{00000000-0005-0000-0000-0000A7760000}"/>
    <cellStyle name="Обычный 3 2 2" xfId="30376" xr:uid="{00000000-0005-0000-0000-0000A8760000}"/>
    <cellStyle name="Обычный 3 2 3" xfId="30377" xr:uid="{00000000-0005-0000-0000-0000A9760000}"/>
    <cellStyle name="Обычный 3 2 4" xfId="30378" xr:uid="{00000000-0005-0000-0000-0000AA760000}"/>
    <cellStyle name="Обычный 3 3" xfId="30379" xr:uid="{00000000-0005-0000-0000-0000AB760000}"/>
    <cellStyle name="Обычный 3 3 2" xfId="30380" xr:uid="{00000000-0005-0000-0000-0000AC760000}"/>
    <cellStyle name="Обычный 3 3 3" xfId="30381" xr:uid="{00000000-0005-0000-0000-0000AD760000}"/>
    <cellStyle name="Обычный 3 3 4" xfId="30382" xr:uid="{00000000-0005-0000-0000-0000AE760000}"/>
    <cellStyle name="Обычный 3 4" xfId="30383" xr:uid="{00000000-0005-0000-0000-0000AF760000}"/>
    <cellStyle name="Обычный 3 4 2" xfId="30384" xr:uid="{00000000-0005-0000-0000-0000B0760000}"/>
    <cellStyle name="Обычный 3 4 3" xfId="30385" xr:uid="{00000000-0005-0000-0000-0000B1760000}"/>
    <cellStyle name="Обычный 3 4 4" xfId="30386" xr:uid="{00000000-0005-0000-0000-0000B2760000}"/>
    <cellStyle name="Обычный 3 5" xfId="30387" xr:uid="{00000000-0005-0000-0000-0000B3760000}"/>
    <cellStyle name="Обычный 3 5 2" xfId="30388" xr:uid="{00000000-0005-0000-0000-0000B4760000}"/>
    <cellStyle name="Обычный 3 6" xfId="30389" xr:uid="{00000000-0005-0000-0000-0000B5760000}"/>
    <cellStyle name="Обычный 3 7" xfId="30390" xr:uid="{00000000-0005-0000-0000-0000B6760000}"/>
    <cellStyle name="Обычный 30" xfId="30391" xr:uid="{00000000-0005-0000-0000-0000B7760000}"/>
    <cellStyle name="Обычный 31" xfId="30392" xr:uid="{00000000-0005-0000-0000-0000B8760000}"/>
    <cellStyle name="Обычный 32" xfId="30393" xr:uid="{00000000-0005-0000-0000-0000B9760000}"/>
    <cellStyle name="Обычный 33" xfId="30394" xr:uid="{00000000-0005-0000-0000-0000BA760000}"/>
    <cellStyle name="Обычный 33 2" xfId="30395" xr:uid="{00000000-0005-0000-0000-0000BB760000}"/>
    <cellStyle name="Обычный 34" xfId="30396" xr:uid="{00000000-0005-0000-0000-0000BC760000}"/>
    <cellStyle name="Обычный 35" xfId="30397" xr:uid="{00000000-0005-0000-0000-0000BD760000}"/>
    <cellStyle name="Обычный 4" xfId="30398" xr:uid="{00000000-0005-0000-0000-0000BE760000}"/>
    <cellStyle name="Обычный 4 2" xfId="30399" xr:uid="{00000000-0005-0000-0000-0000BF760000}"/>
    <cellStyle name="Обычный 4 2 2" xfId="30400" xr:uid="{00000000-0005-0000-0000-0000C0760000}"/>
    <cellStyle name="Обычный 4 2 3" xfId="30401" xr:uid="{00000000-0005-0000-0000-0000C1760000}"/>
    <cellStyle name="Обычный 4 3" xfId="30402" xr:uid="{00000000-0005-0000-0000-0000C2760000}"/>
    <cellStyle name="Обычный 4 3 2" xfId="30403" xr:uid="{00000000-0005-0000-0000-0000C3760000}"/>
    <cellStyle name="Обычный 4 4" xfId="30404" xr:uid="{00000000-0005-0000-0000-0000C4760000}"/>
    <cellStyle name="Обычный 4 4 2" xfId="30405" xr:uid="{00000000-0005-0000-0000-0000C5760000}"/>
    <cellStyle name="Обычный 5" xfId="30406" xr:uid="{00000000-0005-0000-0000-0000C6760000}"/>
    <cellStyle name="Обычный 5 2" xfId="30407" xr:uid="{00000000-0005-0000-0000-0000C7760000}"/>
    <cellStyle name="Обычный 5 2 2" xfId="30408" xr:uid="{00000000-0005-0000-0000-0000C8760000}"/>
    <cellStyle name="Обычный 5 2 2 2" xfId="30409" xr:uid="{00000000-0005-0000-0000-0000C9760000}"/>
    <cellStyle name="Обычный 5 2 3" xfId="30410" xr:uid="{00000000-0005-0000-0000-0000CA760000}"/>
    <cellStyle name="Обычный 5 2 3 2" xfId="30411" xr:uid="{00000000-0005-0000-0000-0000CB760000}"/>
    <cellStyle name="Обычный 5 2 4" xfId="30412" xr:uid="{00000000-0005-0000-0000-0000CC760000}"/>
    <cellStyle name="Обычный 5 2 4 2" xfId="30413" xr:uid="{00000000-0005-0000-0000-0000CD760000}"/>
    <cellStyle name="Обычный 5 3" xfId="30414" xr:uid="{00000000-0005-0000-0000-0000CE760000}"/>
    <cellStyle name="Обычный 5 3 2" xfId="30415" xr:uid="{00000000-0005-0000-0000-0000CF760000}"/>
    <cellStyle name="Обычный 5 3 2 2" xfId="30416" xr:uid="{00000000-0005-0000-0000-0000D0760000}"/>
    <cellStyle name="Обычный 5 3 3" xfId="30417" xr:uid="{00000000-0005-0000-0000-0000D1760000}"/>
    <cellStyle name="Обычный 5 4" xfId="30418" xr:uid="{00000000-0005-0000-0000-0000D2760000}"/>
    <cellStyle name="Обычный 5 4 2" xfId="30419" xr:uid="{00000000-0005-0000-0000-0000D3760000}"/>
    <cellStyle name="Обычный 5 5" xfId="30420" xr:uid="{00000000-0005-0000-0000-0000D4760000}"/>
    <cellStyle name="Обычный 5 5 2" xfId="30421" xr:uid="{00000000-0005-0000-0000-0000D5760000}"/>
    <cellStyle name="Обычный 5 6" xfId="30422" xr:uid="{00000000-0005-0000-0000-0000D6760000}"/>
    <cellStyle name="Обычный 5 6 2" xfId="30423" xr:uid="{00000000-0005-0000-0000-0000D7760000}"/>
    <cellStyle name="Обычный 6" xfId="30424" xr:uid="{00000000-0005-0000-0000-0000D8760000}"/>
    <cellStyle name="Обычный 6 2" xfId="30425" xr:uid="{00000000-0005-0000-0000-0000D9760000}"/>
    <cellStyle name="Обычный 6 2 2" xfId="30426" xr:uid="{00000000-0005-0000-0000-0000DA760000}"/>
    <cellStyle name="Обычный 6 2 2 2" xfId="30427" xr:uid="{00000000-0005-0000-0000-0000DB760000}"/>
    <cellStyle name="Обычный 6 2 3" xfId="30428" xr:uid="{00000000-0005-0000-0000-0000DC760000}"/>
    <cellStyle name="Обычный 6 2 3 2" xfId="30429" xr:uid="{00000000-0005-0000-0000-0000DD760000}"/>
    <cellStyle name="Обычный 6 2 4" xfId="30430" xr:uid="{00000000-0005-0000-0000-0000DE760000}"/>
    <cellStyle name="Обычный 6 2 4 2" xfId="30431" xr:uid="{00000000-0005-0000-0000-0000DF760000}"/>
    <cellStyle name="Обычный 6 3" xfId="30432" xr:uid="{00000000-0005-0000-0000-0000E0760000}"/>
    <cellStyle name="Обычный 6 3 2" xfId="30433" xr:uid="{00000000-0005-0000-0000-0000E1760000}"/>
    <cellStyle name="Обычный 6 3 2 2" xfId="30434" xr:uid="{00000000-0005-0000-0000-0000E2760000}"/>
    <cellStyle name="Обычный 6 3 3" xfId="30435" xr:uid="{00000000-0005-0000-0000-0000E3760000}"/>
    <cellStyle name="Обычный 6 4" xfId="30436" xr:uid="{00000000-0005-0000-0000-0000E4760000}"/>
    <cellStyle name="Обычный 6 4 2" xfId="30437" xr:uid="{00000000-0005-0000-0000-0000E5760000}"/>
    <cellStyle name="Обычный 6 5" xfId="30438" xr:uid="{00000000-0005-0000-0000-0000E6760000}"/>
    <cellStyle name="Обычный 6 5 2" xfId="30439" xr:uid="{00000000-0005-0000-0000-0000E7760000}"/>
    <cellStyle name="Обычный 6 6" xfId="30440" xr:uid="{00000000-0005-0000-0000-0000E8760000}"/>
    <cellStyle name="Обычный 6 6 2" xfId="30441" xr:uid="{00000000-0005-0000-0000-0000E9760000}"/>
    <cellStyle name="Обычный 7" xfId="30442" xr:uid="{00000000-0005-0000-0000-0000EA760000}"/>
    <cellStyle name="Обычный 7 2" xfId="30443" xr:uid="{00000000-0005-0000-0000-0000EB760000}"/>
    <cellStyle name="Обычный 7 2 2" xfId="30444" xr:uid="{00000000-0005-0000-0000-0000EC760000}"/>
    <cellStyle name="Обычный 7 2 2 2" xfId="30445" xr:uid="{00000000-0005-0000-0000-0000ED760000}"/>
    <cellStyle name="Обычный 7 2 3" xfId="30446" xr:uid="{00000000-0005-0000-0000-0000EE760000}"/>
    <cellStyle name="Обычный 7 2 3 2" xfId="30447" xr:uid="{00000000-0005-0000-0000-0000EF760000}"/>
    <cellStyle name="Обычный 7 2 4" xfId="30448" xr:uid="{00000000-0005-0000-0000-0000F0760000}"/>
    <cellStyle name="Обычный 7 2 4 2" xfId="30449" xr:uid="{00000000-0005-0000-0000-0000F1760000}"/>
    <cellStyle name="Обычный 7 3" xfId="30450" xr:uid="{00000000-0005-0000-0000-0000F2760000}"/>
    <cellStyle name="Обычный 7 3 2" xfId="30451" xr:uid="{00000000-0005-0000-0000-0000F3760000}"/>
    <cellStyle name="Обычный 7 3 2 2" xfId="30452" xr:uid="{00000000-0005-0000-0000-0000F4760000}"/>
    <cellStyle name="Обычный 7 3 3" xfId="30453" xr:uid="{00000000-0005-0000-0000-0000F5760000}"/>
    <cellStyle name="Обычный 7 4" xfId="30454" xr:uid="{00000000-0005-0000-0000-0000F6760000}"/>
    <cellStyle name="Обычный 7 4 2" xfId="30455" xr:uid="{00000000-0005-0000-0000-0000F7760000}"/>
    <cellStyle name="Обычный 7 5" xfId="30456" xr:uid="{00000000-0005-0000-0000-0000F8760000}"/>
    <cellStyle name="Обычный 7 5 2" xfId="30457" xr:uid="{00000000-0005-0000-0000-0000F9760000}"/>
    <cellStyle name="Обычный 7 6" xfId="30458" xr:uid="{00000000-0005-0000-0000-0000FA760000}"/>
    <cellStyle name="Обычный 7 6 2" xfId="30459" xr:uid="{00000000-0005-0000-0000-0000FB760000}"/>
    <cellStyle name="Обычный 8" xfId="30460" xr:uid="{00000000-0005-0000-0000-0000FC760000}"/>
    <cellStyle name="Обычный 8 2" xfId="30461" xr:uid="{00000000-0005-0000-0000-0000FD760000}"/>
    <cellStyle name="Обычный 8 2 2" xfId="30462" xr:uid="{00000000-0005-0000-0000-0000FE760000}"/>
    <cellStyle name="Обычный 8 2 2 2" xfId="30463" xr:uid="{00000000-0005-0000-0000-0000FF760000}"/>
    <cellStyle name="Обычный 8 2 3" xfId="30464" xr:uid="{00000000-0005-0000-0000-000000770000}"/>
    <cellStyle name="Обычный 8 2 3 2" xfId="30465" xr:uid="{00000000-0005-0000-0000-000001770000}"/>
    <cellStyle name="Обычный 8 2 4" xfId="30466" xr:uid="{00000000-0005-0000-0000-000002770000}"/>
    <cellStyle name="Обычный 8 2 4 2" xfId="30467" xr:uid="{00000000-0005-0000-0000-000003770000}"/>
    <cellStyle name="Обычный 8 3" xfId="30468" xr:uid="{00000000-0005-0000-0000-000004770000}"/>
    <cellStyle name="Обычный 8 3 2" xfId="30469" xr:uid="{00000000-0005-0000-0000-000005770000}"/>
    <cellStyle name="Обычный 8 3 2 2" xfId="30470" xr:uid="{00000000-0005-0000-0000-000006770000}"/>
    <cellStyle name="Обычный 8 3 3" xfId="30471" xr:uid="{00000000-0005-0000-0000-000007770000}"/>
    <cellStyle name="Обычный 8 4" xfId="30472" xr:uid="{00000000-0005-0000-0000-000008770000}"/>
    <cellStyle name="Обычный 8 4 2" xfId="30473" xr:uid="{00000000-0005-0000-0000-000009770000}"/>
    <cellStyle name="Обычный 8 5" xfId="30474" xr:uid="{00000000-0005-0000-0000-00000A770000}"/>
    <cellStyle name="Обычный 8 5 2" xfId="30475" xr:uid="{00000000-0005-0000-0000-00000B770000}"/>
    <cellStyle name="Обычный 8 6" xfId="30476" xr:uid="{00000000-0005-0000-0000-00000C770000}"/>
    <cellStyle name="Обычный 8 6 2" xfId="30477" xr:uid="{00000000-0005-0000-0000-00000D770000}"/>
    <cellStyle name="Обычный 9" xfId="30478" xr:uid="{00000000-0005-0000-0000-00000E770000}"/>
    <cellStyle name="Обычный 9 2" xfId="30479" xr:uid="{00000000-0005-0000-0000-00000F770000}"/>
    <cellStyle name="Обычный 9 2 2" xfId="30480" xr:uid="{00000000-0005-0000-0000-000010770000}"/>
    <cellStyle name="Обычный 9 2 2 2" xfId="30481" xr:uid="{00000000-0005-0000-0000-000011770000}"/>
    <cellStyle name="Обычный 9 2 3" xfId="30482" xr:uid="{00000000-0005-0000-0000-000012770000}"/>
    <cellStyle name="Обычный 9 2 3 2" xfId="30483" xr:uid="{00000000-0005-0000-0000-000013770000}"/>
    <cellStyle name="Обычный 9 2 4" xfId="30484" xr:uid="{00000000-0005-0000-0000-000014770000}"/>
    <cellStyle name="Обычный 9 2 4 2" xfId="30485" xr:uid="{00000000-0005-0000-0000-000015770000}"/>
    <cellStyle name="Обычный 9 3" xfId="30486" xr:uid="{00000000-0005-0000-0000-000016770000}"/>
    <cellStyle name="Обычный 9 3 2" xfId="30487" xr:uid="{00000000-0005-0000-0000-000017770000}"/>
    <cellStyle name="Обычный 9 3 2 2" xfId="30488" xr:uid="{00000000-0005-0000-0000-000018770000}"/>
    <cellStyle name="Обычный 9 3 3" xfId="30489" xr:uid="{00000000-0005-0000-0000-000019770000}"/>
    <cellStyle name="Обычный 9 4" xfId="30490" xr:uid="{00000000-0005-0000-0000-00001A770000}"/>
    <cellStyle name="Обычный 9 4 2" xfId="30491" xr:uid="{00000000-0005-0000-0000-00001B770000}"/>
    <cellStyle name="Обычный 9 5" xfId="30492" xr:uid="{00000000-0005-0000-0000-00001C770000}"/>
    <cellStyle name="Обычный 9 5 2" xfId="30493" xr:uid="{00000000-0005-0000-0000-00001D770000}"/>
    <cellStyle name="Обычный 9 6" xfId="30494" xr:uid="{00000000-0005-0000-0000-00001E770000}"/>
    <cellStyle name="Обычный 9 6 2" xfId="30495" xr:uid="{00000000-0005-0000-0000-00001F770000}"/>
    <cellStyle name="Обычный_КАМАЗ" xfId="30496" xr:uid="{00000000-0005-0000-0000-000020770000}"/>
    <cellStyle name="Плохой 2" xfId="30497" xr:uid="{00000000-0005-0000-0000-000021770000}"/>
    <cellStyle name="Пояснение 2" xfId="30498" xr:uid="{00000000-0005-0000-0000-000022770000}"/>
    <cellStyle name="Примечание 2" xfId="30499" xr:uid="{00000000-0005-0000-0000-000023770000}"/>
    <cellStyle name="Примечание 2 2" xfId="30500" xr:uid="{00000000-0005-0000-0000-000024770000}"/>
    <cellStyle name="Примечание 2 2 2" xfId="30501" xr:uid="{00000000-0005-0000-0000-000025770000}"/>
    <cellStyle name="Примечание 2 2 2 2" xfId="30502" xr:uid="{00000000-0005-0000-0000-000026770000}"/>
    <cellStyle name="Примечание 2 2 2 3" xfId="30503" xr:uid="{00000000-0005-0000-0000-000027770000}"/>
    <cellStyle name="Примечание 2 2 2 4" xfId="30504" xr:uid="{00000000-0005-0000-0000-000028770000}"/>
    <cellStyle name="Примечание 2 2 2 5" xfId="30505" xr:uid="{00000000-0005-0000-0000-000029770000}"/>
    <cellStyle name="Примечание 2 2 2 6" xfId="30506" xr:uid="{00000000-0005-0000-0000-00002A770000}"/>
    <cellStyle name="Примечание 2 2 3" xfId="30507" xr:uid="{00000000-0005-0000-0000-00002B770000}"/>
    <cellStyle name="Примечание 2 2 4" xfId="30508" xr:uid="{00000000-0005-0000-0000-00002C770000}"/>
    <cellStyle name="Примечание 2 2 5" xfId="30509" xr:uid="{00000000-0005-0000-0000-00002D770000}"/>
    <cellStyle name="Примечание 2 2 6" xfId="30510" xr:uid="{00000000-0005-0000-0000-00002E770000}"/>
    <cellStyle name="Примечание 2 2 7" xfId="30511" xr:uid="{00000000-0005-0000-0000-00002F770000}"/>
    <cellStyle name="Примечание 2 2 8" xfId="30512" xr:uid="{00000000-0005-0000-0000-000030770000}"/>
    <cellStyle name="Примечание 2 3" xfId="30513" xr:uid="{00000000-0005-0000-0000-000031770000}"/>
    <cellStyle name="Примечание 2 3 2" xfId="30514" xr:uid="{00000000-0005-0000-0000-000032770000}"/>
    <cellStyle name="Примечание 2 3 3" xfId="30515" xr:uid="{00000000-0005-0000-0000-000033770000}"/>
    <cellStyle name="Примечание 2 3 4" xfId="30516" xr:uid="{00000000-0005-0000-0000-000034770000}"/>
    <cellStyle name="Примечание 2 3 5" xfId="30517" xr:uid="{00000000-0005-0000-0000-000035770000}"/>
    <cellStyle name="Примечание 2 3 6" xfId="30518" xr:uid="{00000000-0005-0000-0000-000036770000}"/>
    <cellStyle name="Примечание 2 4" xfId="30519" xr:uid="{00000000-0005-0000-0000-000037770000}"/>
    <cellStyle name="Примечание 2 5" xfId="30520" xr:uid="{00000000-0005-0000-0000-000038770000}"/>
    <cellStyle name="Примечание 2 6" xfId="30521" xr:uid="{00000000-0005-0000-0000-000039770000}"/>
    <cellStyle name="Примечание 2 7" xfId="30522" xr:uid="{00000000-0005-0000-0000-00003A770000}"/>
    <cellStyle name="Примечание 2 8" xfId="30523" xr:uid="{00000000-0005-0000-0000-00003B770000}"/>
    <cellStyle name="Примечание 2 9" xfId="30524" xr:uid="{00000000-0005-0000-0000-00003C770000}"/>
    <cellStyle name="Примечание 3" xfId="30525" xr:uid="{00000000-0005-0000-0000-00003D770000}"/>
    <cellStyle name="Процентный 2" xfId="30526" xr:uid="{00000000-0005-0000-0000-00003E770000}"/>
    <cellStyle name="Процентный 2 2" xfId="30527" xr:uid="{00000000-0005-0000-0000-00003F770000}"/>
    <cellStyle name="Процентный 3" xfId="30528" xr:uid="{00000000-0005-0000-0000-000040770000}"/>
    <cellStyle name="Процентный 3 2" xfId="30529" xr:uid="{00000000-0005-0000-0000-000041770000}"/>
    <cellStyle name="Процентный 4" xfId="30530" xr:uid="{00000000-0005-0000-0000-000042770000}"/>
    <cellStyle name="Процентный 5" xfId="30531" xr:uid="{00000000-0005-0000-0000-000043770000}"/>
    <cellStyle name="Процентный 6" xfId="30532" xr:uid="{00000000-0005-0000-0000-000044770000}"/>
    <cellStyle name="Связанная ячейка 2" xfId="30533" xr:uid="{00000000-0005-0000-0000-000045770000}"/>
    <cellStyle name="Стиль 1" xfId="30534" xr:uid="{00000000-0005-0000-0000-000046770000}"/>
    <cellStyle name="Стиль 1 2" xfId="30535" xr:uid="{00000000-0005-0000-0000-000047770000}"/>
    <cellStyle name="Стиль 1 3" xfId="30536" xr:uid="{00000000-0005-0000-0000-000048770000}"/>
    <cellStyle name="Стиль 1 4" xfId="30537" xr:uid="{00000000-0005-0000-0000-000049770000}"/>
    <cellStyle name="Текст предупреждения 2" xfId="30538" xr:uid="{00000000-0005-0000-0000-00004A770000}"/>
    <cellStyle name="Тысячи [0]_ UPL-98 Cherk" xfId="30539" xr:uid="{00000000-0005-0000-0000-00004B770000}"/>
    <cellStyle name="Тысячи_ UPL-98 Cherk" xfId="30540" xr:uid="{00000000-0005-0000-0000-00004C770000}"/>
    <cellStyle name="Финансовый 10" xfId="30541" xr:uid="{00000000-0005-0000-0000-00004D770000}"/>
    <cellStyle name="Финансовый 10 2" xfId="30542" xr:uid="{00000000-0005-0000-0000-00004E770000}"/>
    <cellStyle name="Финансовый 11" xfId="30543" xr:uid="{00000000-0005-0000-0000-00004F770000}"/>
    <cellStyle name="Финансовый 11 2" xfId="30544" xr:uid="{00000000-0005-0000-0000-000050770000}"/>
    <cellStyle name="Финансовый 12" xfId="30545" xr:uid="{00000000-0005-0000-0000-000051770000}"/>
    <cellStyle name="Финансовый 12 2" xfId="30546" xr:uid="{00000000-0005-0000-0000-000052770000}"/>
    <cellStyle name="Финансовый 13" xfId="30547" xr:uid="{00000000-0005-0000-0000-000053770000}"/>
    <cellStyle name="Финансовый 2" xfId="30548" xr:uid="{00000000-0005-0000-0000-000054770000}"/>
    <cellStyle name="Финансовый 2 2" xfId="30549" xr:uid="{00000000-0005-0000-0000-000055770000}"/>
    <cellStyle name="Финансовый 2 2 2" xfId="30550" xr:uid="{00000000-0005-0000-0000-000056770000}"/>
    <cellStyle name="Финансовый 2 2 3" xfId="30551" xr:uid="{00000000-0005-0000-0000-000057770000}"/>
    <cellStyle name="Финансовый 2 3" xfId="30552" xr:uid="{00000000-0005-0000-0000-000058770000}"/>
    <cellStyle name="Финансовый 2 3 2" xfId="30553" xr:uid="{00000000-0005-0000-0000-000059770000}"/>
    <cellStyle name="Финансовый 2 4" xfId="30554" xr:uid="{00000000-0005-0000-0000-00005A770000}"/>
    <cellStyle name="Финансовый 2 4 2" xfId="30555" xr:uid="{00000000-0005-0000-0000-00005B770000}"/>
    <cellStyle name="Финансовый 3" xfId="30556" xr:uid="{00000000-0005-0000-0000-00005C770000}"/>
    <cellStyle name="Финансовый 3 2" xfId="30557" xr:uid="{00000000-0005-0000-0000-00005D770000}"/>
    <cellStyle name="Финансовый 3 2 2" xfId="30558" xr:uid="{00000000-0005-0000-0000-00005E770000}"/>
    <cellStyle name="Финансовый 3 2 2 2" xfId="30559" xr:uid="{00000000-0005-0000-0000-00005F770000}"/>
    <cellStyle name="Финансовый 3 2 3" xfId="30560" xr:uid="{00000000-0005-0000-0000-000060770000}"/>
    <cellStyle name="Финансовый 3 2 3 2" xfId="30561" xr:uid="{00000000-0005-0000-0000-000061770000}"/>
    <cellStyle name="Финансовый 3 2 4" xfId="30562" xr:uid="{00000000-0005-0000-0000-000062770000}"/>
    <cellStyle name="Финансовый 3 2 4 2" xfId="30563" xr:uid="{00000000-0005-0000-0000-000063770000}"/>
    <cellStyle name="Финансовый 3 3" xfId="30564" xr:uid="{00000000-0005-0000-0000-000064770000}"/>
    <cellStyle name="Финансовый 3 3 2" xfId="30565" xr:uid="{00000000-0005-0000-0000-000065770000}"/>
    <cellStyle name="Финансовый 3 3 2 2" xfId="30566" xr:uid="{00000000-0005-0000-0000-000066770000}"/>
    <cellStyle name="Финансовый 3 3 3" xfId="30567" xr:uid="{00000000-0005-0000-0000-000067770000}"/>
    <cellStyle name="Финансовый 3 4" xfId="30568" xr:uid="{00000000-0005-0000-0000-000068770000}"/>
    <cellStyle name="Финансовый 3 4 2" xfId="30569" xr:uid="{00000000-0005-0000-0000-000069770000}"/>
    <cellStyle name="Финансовый 3 5" xfId="30570" xr:uid="{00000000-0005-0000-0000-00006A770000}"/>
    <cellStyle name="Финансовый 3 5 2" xfId="30571" xr:uid="{00000000-0005-0000-0000-00006B770000}"/>
    <cellStyle name="Финансовый 3 6" xfId="30572" xr:uid="{00000000-0005-0000-0000-00006C770000}"/>
    <cellStyle name="Финансовый 3 6 2" xfId="30573" xr:uid="{00000000-0005-0000-0000-00006D770000}"/>
    <cellStyle name="Финансовый 4" xfId="30574" xr:uid="{00000000-0005-0000-0000-00006E770000}"/>
    <cellStyle name="Финансовый 4 2" xfId="30575" xr:uid="{00000000-0005-0000-0000-00006F770000}"/>
    <cellStyle name="Финансовый 4 2 2" xfId="30576" xr:uid="{00000000-0005-0000-0000-000070770000}"/>
    <cellStyle name="Финансовый 4 2 2 2" xfId="30577" xr:uid="{00000000-0005-0000-0000-000071770000}"/>
    <cellStyle name="Финансовый 4 2 2 2 2" xfId="30578" xr:uid="{00000000-0005-0000-0000-000072770000}"/>
    <cellStyle name="Финансовый 4 2 2 3" xfId="30579" xr:uid="{00000000-0005-0000-0000-000073770000}"/>
    <cellStyle name="Финансовый 4 2 2 4" xfId="30580" xr:uid="{00000000-0005-0000-0000-000074770000}"/>
    <cellStyle name="Финансовый 4 2 2 5" xfId="30581" xr:uid="{00000000-0005-0000-0000-000075770000}"/>
    <cellStyle name="Финансовый 4 2 2 6" xfId="30582" xr:uid="{00000000-0005-0000-0000-000076770000}"/>
    <cellStyle name="Финансовый 4 2 3" xfId="30583" xr:uid="{00000000-0005-0000-0000-000077770000}"/>
    <cellStyle name="Финансовый 4 2 3 2" xfId="30584" xr:uid="{00000000-0005-0000-0000-000078770000}"/>
    <cellStyle name="Финансовый 4 2 4" xfId="30585" xr:uid="{00000000-0005-0000-0000-000079770000}"/>
    <cellStyle name="Финансовый 4 2 5" xfId="30586" xr:uid="{00000000-0005-0000-0000-00007A770000}"/>
    <cellStyle name="Финансовый 4 2 6" xfId="30587" xr:uid="{00000000-0005-0000-0000-00007B770000}"/>
    <cellStyle name="Финансовый 4 2 7" xfId="30588" xr:uid="{00000000-0005-0000-0000-00007C770000}"/>
    <cellStyle name="Финансовый 4 3" xfId="30589" xr:uid="{00000000-0005-0000-0000-00007D770000}"/>
    <cellStyle name="Финансовый 4 3 2" xfId="30590" xr:uid="{00000000-0005-0000-0000-00007E770000}"/>
    <cellStyle name="Финансовый 4 3 2 2" xfId="30591" xr:uid="{00000000-0005-0000-0000-00007F770000}"/>
    <cellStyle name="Финансовый 4 3 3" xfId="30592" xr:uid="{00000000-0005-0000-0000-000080770000}"/>
    <cellStyle name="Финансовый 4 3 4" xfId="30593" xr:uid="{00000000-0005-0000-0000-000081770000}"/>
    <cellStyle name="Финансовый 4 3 5" xfId="30594" xr:uid="{00000000-0005-0000-0000-000082770000}"/>
    <cellStyle name="Финансовый 4 3 6" xfId="30595" xr:uid="{00000000-0005-0000-0000-000083770000}"/>
    <cellStyle name="Финансовый 4 4" xfId="30596" xr:uid="{00000000-0005-0000-0000-000084770000}"/>
    <cellStyle name="Финансовый 4 4 2" xfId="30597" xr:uid="{00000000-0005-0000-0000-000085770000}"/>
    <cellStyle name="Финансовый 4 4 3" xfId="30598" xr:uid="{00000000-0005-0000-0000-000086770000}"/>
    <cellStyle name="Финансовый 4 4 4" xfId="30599" xr:uid="{00000000-0005-0000-0000-000087770000}"/>
    <cellStyle name="Финансовый 4 4 5" xfId="30600" xr:uid="{00000000-0005-0000-0000-000088770000}"/>
    <cellStyle name="Финансовый 4 5" xfId="30601" xr:uid="{00000000-0005-0000-0000-000089770000}"/>
    <cellStyle name="Финансовый 4 5 2" xfId="30602" xr:uid="{00000000-0005-0000-0000-00008A770000}"/>
    <cellStyle name="Финансовый 4 5 3" xfId="30603" xr:uid="{00000000-0005-0000-0000-00008B770000}"/>
    <cellStyle name="Финансовый 4 6" xfId="30604" xr:uid="{00000000-0005-0000-0000-00008C770000}"/>
    <cellStyle name="Финансовый 4 6 2" xfId="30605" xr:uid="{00000000-0005-0000-0000-00008D770000}"/>
    <cellStyle name="Финансовый 4 6 3" xfId="30606" xr:uid="{00000000-0005-0000-0000-00008E770000}"/>
    <cellStyle name="Финансовый 4 7" xfId="30607" xr:uid="{00000000-0005-0000-0000-00008F770000}"/>
    <cellStyle name="Финансовый 4 7 2" xfId="30608" xr:uid="{00000000-0005-0000-0000-000090770000}"/>
    <cellStyle name="Финансовый 4 8" xfId="30609" xr:uid="{00000000-0005-0000-0000-000091770000}"/>
    <cellStyle name="Финансовый 4 9" xfId="30610" xr:uid="{00000000-0005-0000-0000-000092770000}"/>
    <cellStyle name="Финансовый 5" xfId="30611" xr:uid="{00000000-0005-0000-0000-000093770000}"/>
    <cellStyle name="Финансовый 5 2" xfId="30612" xr:uid="{00000000-0005-0000-0000-000094770000}"/>
    <cellStyle name="Финансовый 5 2 2" xfId="30613" xr:uid="{00000000-0005-0000-0000-000095770000}"/>
    <cellStyle name="Финансовый 5 2 2 2" xfId="30614" xr:uid="{00000000-0005-0000-0000-000096770000}"/>
    <cellStyle name="Финансовый 5 2 2 2 2" xfId="30615" xr:uid="{00000000-0005-0000-0000-000097770000}"/>
    <cellStyle name="Финансовый 5 2 2 3" xfId="30616" xr:uid="{00000000-0005-0000-0000-000098770000}"/>
    <cellStyle name="Финансовый 5 2 3" xfId="30617" xr:uid="{00000000-0005-0000-0000-000099770000}"/>
    <cellStyle name="Финансовый 5 2 3 2" xfId="30618" xr:uid="{00000000-0005-0000-0000-00009A770000}"/>
    <cellStyle name="Финансовый 5 2 4" xfId="30619" xr:uid="{00000000-0005-0000-0000-00009B770000}"/>
    <cellStyle name="Финансовый 5 2 5" xfId="30620" xr:uid="{00000000-0005-0000-0000-00009C770000}"/>
    <cellStyle name="Финансовый 5 2 6" xfId="30621" xr:uid="{00000000-0005-0000-0000-00009D770000}"/>
    <cellStyle name="Финансовый 5 2 7" xfId="30622" xr:uid="{00000000-0005-0000-0000-00009E770000}"/>
    <cellStyle name="Финансовый 5 3" xfId="30623" xr:uid="{00000000-0005-0000-0000-00009F770000}"/>
    <cellStyle name="Финансовый 5 3 2" xfId="30624" xr:uid="{00000000-0005-0000-0000-0000A0770000}"/>
    <cellStyle name="Финансовый 5 3 2 2" xfId="30625" xr:uid="{00000000-0005-0000-0000-0000A1770000}"/>
    <cellStyle name="Финансовый 5 3 3" xfId="30626" xr:uid="{00000000-0005-0000-0000-0000A2770000}"/>
    <cellStyle name="Финансовый 5 3 4" xfId="30627" xr:uid="{00000000-0005-0000-0000-0000A3770000}"/>
    <cellStyle name="Финансовый 5 3 5" xfId="30628" xr:uid="{00000000-0005-0000-0000-0000A4770000}"/>
    <cellStyle name="Финансовый 5 3 6" xfId="30629" xr:uid="{00000000-0005-0000-0000-0000A5770000}"/>
    <cellStyle name="Финансовый 5 4" xfId="30630" xr:uid="{00000000-0005-0000-0000-0000A6770000}"/>
    <cellStyle name="Финансовый 5 4 2" xfId="30631" xr:uid="{00000000-0005-0000-0000-0000A7770000}"/>
    <cellStyle name="Финансовый 5 5" xfId="30632" xr:uid="{00000000-0005-0000-0000-0000A8770000}"/>
    <cellStyle name="Финансовый 5 6" xfId="30633" xr:uid="{00000000-0005-0000-0000-0000A9770000}"/>
    <cellStyle name="Финансовый 5 7" xfId="30634" xr:uid="{00000000-0005-0000-0000-0000AA770000}"/>
    <cellStyle name="Финансовый 5 8" xfId="30635" xr:uid="{00000000-0005-0000-0000-0000AB770000}"/>
    <cellStyle name="Финансовый 6" xfId="30636" xr:uid="{00000000-0005-0000-0000-0000AC770000}"/>
    <cellStyle name="Финансовый 6 2" xfId="30637" xr:uid="{00000000-0005-0000-0000-0000AD770000}"/>
    <cellStyle name="Финансовый 6 2 2" xfId="30638" xr:uid="{00000000-0005-0000-0000-0000AE770000}"/>
    <cellStyle name="Финансовый 6 2 2 2" xfId="30639" xr:uid="{00000000-0005-0000-0000-0000AF770000}"/>
    <cellStyle name="Финансовый 6 2 3" xfId="30640" xr:uid="{00000000-0005-0000-0000-0000B0770000}"/>
    <cellStyle name="Финансовый 6 2 4" xfId="30641" xr:uid="{00000000-0005-0000-0000-0000B1770000}"/>
    <cellStyle name="Финансовый 6 2 5" xfId="30642" xr:uid="{00000000-0005-0000-0000-0000B2770000}"/>
    <cellStyle name="Финансовый 6 3" xfId="30643" xr:uid="{00000000-0005-0000-0000-0000B3770000}"/>
    <cellStyle name="Финансовый 6 3 2" xfId="30644" xr:uid="{00000000-0005-0000-0000-0000B4770000}"/>
    <cellStyle name="Финансовый 6 4" xfId="30645" xr:uid="{00000000-0005-0000-0000-0000B5770000}"/>
    <cellStyle name="Финансовый 6 5" xfId="30646" xr:uid="{00000000-0005-0000-0000-0000B6770000}"/>
    <cellStyle name="Финансовый 6 6" xfId="30647" xr:uid="{00000000-0005-0000-0000-0000B7770000}"/>
    <cellStyle name="Финансовый 6 7" xfId="30648" xr:uid="{00000000-0005-0000-0000-0000B8770000}"/>
    <cellStyle name="Финансовый 7" xfId="30649" xr:uid="{00000000-0005-0000-0000-0000B9770000}"/>
    <cellStyle name="Финансовый 7 2" xfId="30650" xr:uid="{00000000-0005-0000-0000-0000BA770000}"/>
    <cellStyle name="Финансовый 7 2 2" xfId="30651" xr:uid="{00000000-0005-0000-0000-0000BB770000}"/>
    <cellStyle name="Финансовый 7 2 2 2" xfId="30652" xr:uid="{00000000-0005-0000-0000-0000BC770000}"/>
    <cellStyle name="Финансовый 7 2 3" xfId="30653" xr:uid="{00000000-0005-0000-0000-0000BD770000}"/>
    <cellStyle name="Финансовый 7 3" xfId="30654" xr:uid="{00000000-0005-0000-0000-0000BE770000}"/>
    <cellStyle name="Финансовый 7 3 2" xfId="30655" xr:uid="{00000000-0005-0000-0000-0000BF770000}"/>
    <cellStyle name="Финансовый 7 4" xfId="30656" xr:uid="{00000000-0005-0000-0000-0000C0770000}"/>
    <cellStyle name="Финансовый 7 5" xfId="30657" xr:uid="{00000000-0005-0000-0000-0000C1770000}"/>
    <cellStyle name="Финансовый 7 6" xfId="30658" xr:uid="{00000000-0005-0000-0000-0000C2770000}"/>
    <cellStyle name="Финансовый 7 7" xfId="30659" xr:uid="{00000000-0005-0000-0000-0000C3770000}"/>
    <cellStyle name="Финансовый 8" xfId="30660" xr:uid="{00000000-0005-0000-0000-0000C4770000}"/>
    <cellStyle name="Финансовый 8 2" xfId="30661" xr:uid="{00000000-0005-0000-0000-0000C5770000}"/>
    <cellStyle name="Финансовый 8 3" xfId="30662" xr:uid="{00000000-0005-0000-0000-0000C6770000}"/>
    <cellStyle name="Финансовый 8 4" xfId="30663" xr:uid="{00000000-0005-0000-0000-0000C7770000}"/>
    <cellStyle name="Финансовый 9" xfId="30664" xr:uid="{00000000-0005-0000-0000-0000C8770000}"/>
    <cellStyle name="Финансовый 9 2" xfId="30665" xr:uid="{00000000-0005-0000-0000-0000C9770000}"/>
    <cellStyle name="Хороший 2" xfId="30666" xr:uid="{00000000-0005-0000-0000-0000CA770000}"/>
    <cellStyle name=" [0.00]_ Att. 1- Cover" xfId="30667" xr:uid="{00000000-0005-0000-0000-0000CB770000}"/>
    <cellStyle name="_ Att. 1- Cover" xfId="30668" xr:uid="{00000000-0005-0000-0000-0000CC770000}"/>
    <cellStyle name="?_ Att. 1- Cover" xfId="30669" xr:uid="{00000000-0005-0000-0000-0000CD770000}"/>
    <cellStyle name="똿뗦먛귟 [0.00]_PRODUCT DETAIL Q1" xfId="30670" xr:uid="{00000000-0005-0000-0000-0000CE770000}"/>
    <cellStyle name="똿뗦먛귟_PRODUCT DETAIL Q1" xfId="30671" xr:uid="{00000000-0005-0000-0000-0000CF770000}"/>
    <cellStyle name="믅됞 [0.00]_PRODUCT DETAIL Q1" xfId="30672" xr:uid="{00000000-0005-0000-0000-0000D0770000}"/>
    <cellStyle name="믅됞_PRODUCT DETAIL Q1" xfId="30673" xr:uid="{00000000-0005-0000-0000-0000D1770000}"/>
    <cellStyle name="백분율_95" xfId="30674" xr:uid="{00000000-0005-0000-0000-0000D2770000}"/>
    <cellStyle name="뷭?_BOOKSHIP" xfId="30675" xr:uid="{00000000-0005-0000-0000-0000D3770000}"/>
    <cellStyle name="쉼표 [0]_Apr AcFc_WKI" xfId="30676" xr:uid="{00000000-0005-0000-0000-0000D4770000}"/>
    <cellStyle name="콤마 [0]_1202" xfId="30677" xr:uid="{00000000-0005-0000-0000-0000D5770000}"/>
    <cellStyle name="콤마_1202" xfId="30678" xr:uid="{00000000-0005-0000-0000-0000D6770000}"/>
    <cellStyle name="통화 [0]_1202" xfId="30679" xr:uid="{00000000-0005-0000-0000-0000D7770000}"/>
    <cellStyle name="통화_1202" xfId="30680" xr:uid="{00000000-0005-0000-0000-0000D8770000}"/>
    <cellStyle name="표준_(정보부문)월별인원계획" xfId="30681" xr:uid="{00000000-0005-0000-0000-0000D9770000}"/>
    <cellStyle name="一般_060421-1(MONON)" xfId="30682" xr:uid="{00000000-0005-0000-0000-0000DA770000}"/>
    <cellStyle name="作业量为吨" xfId="30683" xr:uid="{00000000-0005-0000-0000-0000DB770000}"/>
    <cellStyle name="千位分隔 2" xfId="30684" xr:uid="{00000000-0005-0000-0000-0000DC770000}"/>
    <cellStyle name="千位分隔 2 10" xfId="30685" xr:uid="{00000000-0005-0000-0000-0000DD770000}"/>
    <cellStyle name="千位分隔 2 10 2" xfId="30686" xr:uid="{00000000-0005-0000-0000-0000DE770000}"/>
    <cellStyle name="千位分隔 2 11" xfId="30687" xr:uid="{00000000-0005-0000-0000-0000DF770000}"/>
    <cellStyle name="千位分隔 2 12" xfId="30688" xr:uid="{00000000-0005-0000-0000-0000E0770000}"/>
    <cellStyle name="千位分隔 2 2" xfId="30689" xr:uid="{00000000-0005-0000-0000-0000E1770000}"/>
    <cellStyle name="千位分隔 2 2 10" xfId="30690" xr:uid="{00000000-0005-0000-0000-0000E2770000}"/>
    <cellStyle name="千位分隔 2 2 2" xfId="30691" xr:uid="{00000000-0005-0000-0000-0000E3770000}"/>
    <cellStyle name="千位分隔 2 2 2 2" xfId="30692" xr:uid="{00000000-0005-0000-0000-0000E4770000}"/>
    <cellStyle name="千位分隔 2 2 2 2 2" xfId="30693" xr:uid="{00000000-0005-0000-0000-0000E5770000}"/>
    <cellStyle name="千位分隔 2 2 2 2 3" xfId="30694" xr:uid="{00000000-0005-0000-0000-0000E6770000}"/>
    <cellStyle name="千位分隔 2 2 2 2 4" xfId="30695" xr:uid="{00000000-0005-0000-0000-0000E7770000}"/>
    <cellStyle name="千位分隔 2 2 2 2 4 2" xfId="30696" xr:uid="{00000000-0005-0000-0000-0000E8770000}"/>
    <cellStyle name="千位分隔 2 2 2 3" xfId="30697" xr:uid="{00000000-0005-0000-0000-0000E9770000}"/>
    <cellStyle name="千位分隔 2 2 2 3 2" xfId="30698" xr:uid="{00000000-0005-0000-0000-0000EA770000}"/>
    <cellStyle name="千位分隔 2 2 2 3 2 2" xfId="30699" xr:uid="{00000000-0005-0000-0000-0000EB770000}"/>
    <cellStyle name="千位分隔 2 2 2 4" xfId="30700" xr:uid="{00000000-0005-0000-0000-0000EC770000}"/>
    <cellStyle name="千位分隔 2 2 2 5" xfId="30701" xr:uid="{00000000-0005-0000-0000-0000ED770000}"/>
    <cellStyle name="千位分隔 2 2 2 6" xfId="30702" xr:uid="{00000000-0005-0000-0000-0000EE770000}"/>
    <cellStyle name="千位分隔 2 2 2 7" xfId="30703" xr:uid="{00000000-0005-0000-0000-0000EF770000}"/>
    <cellStyle name="千位分隔 2 2 2 7 2" xfId="30704" xr:uid="{00000000-0005-0000-0000-0000F0770000}"/>
    <cellStyle name="千位分隔 2 2 3" xfId="30705" xr:uid="{00000000-0005-0000-0000-0000F1770000}"/>
    <cellStyle name="千位分隔 2 2 3 2" xfId="30706" xr:uid="{00000000-0005-0000-0000-0000F2770000}"/>
    <cellStyle name="千位分隔 2 2 3 3" xfId="30707" xr:uid="{00000000-0005-0000-0000-0000F3770000}"/>
    <cellStyle name="千位分隔 2 2 3 4" xfId="30708" xr:uid="{00000000-0005-0000-0000-0000F4770000}"/>
    <cellStyle name="千位分隔 2 2 3 4 2" xfId="30709" xr:uid="{00000000-0005-0000-0000-0000F5770000}"/>
    <cellStyle name="千位分隔 2 2 4" xfId="30710" xr:uid="{00000000-0005-0000-0000-0000F6770000}"/>
    <cellStyle name="千位分隔 2 2 4 2" xfId="30711" xr:uid="{00000000-0005-0000-0000-0000F7770000}"/>
    <cellStyle name="千位分隔 2 2 4 2 2" xfId="30712" xr:uid="{00000000-0005-0000-0000-0000F8770000}"/>
    <cellStyle name="千位分隔 2 2 5" xfId="30713" xr:uid="{00000000-0005-0000-0000-0000F9770000}"/>
    <cellStyle name="千位分隔 2 2 5 2" xfId="30714" xr:uid="{00000000-0005-0000-0000-0000FA770000}"/>
    <cellStyle name="千位分隔 2 2 5 2 2" xfId="30715" xr:uid="{00000000-0005-0000-0000-0000FB770000}"/>
    <cellStyle name="千位分隔 2 2 6" xfId="30716" xr:uid="{00000000-0005-0000-0000-0000FC770000}"/>
    <cellStyle name="千位分隔 2 2 6 2" xfId="30717" xr:uid="{00000000-0005-0000-0000-0000FD770000}"/>
    <cellStyle name="千位分隔 2 2 6 2 2" xfId="30718" xr:uid="{00000000-0005-0000-0000-0000FE770000}"/>
    <cellStyle name="千位分隔 2 2 7" xfId="30719" xr:uid="{00000000-0005-0000-0000-0000FF770000}"/>
    <cellStyle name="千位分隔 2 2 7 2" xfId="30720" xr:uid="{00000000-0005-0000-0000-000000780000}"/>
    <cellStyle name="千位分隔 2 2 7 3" xfId="30721" xr:uid="{00000000-0005-0000-0000-000001780000}"/>
    <cellStyle name="千位分隔 2 2 8" xfId="30722" xr:uid="{00000000-0005-0000-0000-000002780000}"/>
    <cellStyle name="千位分隔 2 2 8 2" xfId="30723" xr:uid="{00000000-0005-0000-0000-000003780000}"/>
    <cellStyle name="千位分隔 2 2 8 3" xfId="30724" xr:uid="{00000000-0005-0000-0000-000004780000}"/>
    <cellStyle name="千位分隔 2 2 9" xfId="30725" xr:uid="{00000000-0005-0000-0000-000005780000}"/>
    <cellStyle name="千位分隔 2 3" xfId="30726" xr:uid="{00000000-0005-0000-0000-000006780000}"/>
    <cellStyle name="千位分隔 2 3 2" xfId="30727" xr:uid="{00000000-0005-0000-0000-000007780000}"/>
    <cellStyle name="千位分隔 2 3 2 2" xfId="30728" xr:uid="{00000000-0005-0000-0000-000008780000}"/>
    <cellStyle name="千位分隔 2 3 2 2 2" xfId="30729" xr:uid="{00000000-0005-0000-0000-000009780000}"/>
    <cellStyle name="千位分隔 2 3 2 2 3" xfId="30730" xr:uid="{00000000-0005-0000-0000-00000A780000}"/>
    <cellStyle name="千位分隔 2 3 2 3" xfId="30731" xr:uid="{00000000-0005-0000-0000-00000B780000}"/>
    <cellStyle name="千位分隔 2 3 2 4" xfId="30732" xr:uid="{00000000-0005-0000-0000-00000C780000}"/>
    <cellStyle name="千位分隔 2 3 2 5" xfId="30733" xr:uid="{00000000-0005-0000-0000-00000D780000}"/>
    <cellStyle name="千位分隔 2 3 2 6" xfId="30734" xr:uid="{00000000-0005-0000-0000-00000E780000}"/>
    <cellStyle name="千位分隔 2 3 2 7" xfId="30735" xr:uid="{00000000-0005-0000-0000-00000F780000}"/>
    <cellStyle name="千位分隔 2 3 2 7 2" xfId="30736" xr:uid="{00000000-0005-0000-0000-000010780000}"/>
    <cellStyle name="千位分隔 2 3 3" xfId="30737" xr:uid="{00000000-0005-0000-0000-000011780000}"/>
    <cellStyle name="千位分隔 2 3 3 2" xfId="30738" xr:uid="{00000000-0005-0000-0000-000012780000}"/>
    <cellStyle name="千位分隔 2 3 3 3" xfId="30739" xr:uid="{00000000-0005-0000-0000-000013780000}"/>
    <cellStyle name="千位分隔 2 3 3 4" xfId="30740" xr:uid="{00000000-0005-0000-0000-000014780000}"/>
    <cellStyle name="千位分隔 2 3 3 4 2" xfId="30741" xr:uid="{00000000-0005-0000-0000-000015780000}"/>
    <cellStyle name="千位分隔 2 3 4" xfId="30742" xr:uid="{00000000-0005-0000-0000-000016780000}"/>
    <cellStyle name="千位分隔 2 3 4 2" xfId="30743" xr:uid="{00000000-0005-0000-0000-000017780000}"/>
    <cellStyle name="千位分隔 2 3 4 2 2" xfId="30744" xr:uid="{00000000-0005-0000-0000-000018780000}"/>
    <cellStyle name="千位分隔 2 3 5" xfId="30745" xr:uid="{00000000-0005-0000-0000-000019780000}"/>
    <cellStyle name="千位分隔 2 3 5 2" xfId="30746" xr:uid="{00000000-0005-0000-0000-00001A780000}"/>
    <cellStyle name="千位分隔 2 3 5 2 2" xfId="30747" xr:uid="{00000000-0005-0000-0000-00001B780000}"/>
    <cellStyle name="千位分隔 2 3 5 2 3" xfId="30748" xr:uid="{00000000-0005-0000-0000-00001C780000}"/>
    <cellStyle name="千位分隔 2 3 5 3" xfId="30749" xr:uid="{00000000-0005-0000-0000-00001D780000}"/>
    <cellStyle name="千位分隔 2 3 5 3 2" xfId="30750" xr:uid="{00000000-0005-0000-0000-00001E780000}"/>
    <cellStyle name="千位分隔 2 3 6" xfId="30751" xr:uid="{00000000-0005-0000-0000-00001F780000}"/>
    <cellStyle name="千位分隔 2 3 6 2" xfId="30752" xr:uid="{00000000-0005-0000-0000-000020780000}"/>
    <cellStyle name="千位分隔 2 3 6 2 2" xfId="30753" xr:uid="{00000000-0005-0000-0000-000021780000}"/>
    <cellStyle name="千位分隔 2 3 7" xfId="30754" xr:uid="{00000000-0005-0000-0000-000022780000}"/>
    <cellStyle name="千位分隔 2 3 7 2" xfId="30755" xr:uid="{00000000-0005-0000-0000-000023780000}"/>
    <cellStyle name="千位分隔 2 3 7 3" xfId="30756" xr:uid="{00000000-0005-0000-0000-000024780000}"/>
    <cellStyle name="千位分隔 2 3 8" xfId="30757" xr:uid="{00000000-0005-0000-0000-000025780000}"/>
    <cellStyle name="千位分隔 2 3 8 2" xfId="30758" xr:uid="{00000000-0005-0000-0000-000026780000}"/>
    <cellStyle name="千位分隔 2 3 8 3" xfId="30759" xr:uid="{00000000-0005-0000-0000-000027780000}"/>
    <cellStyle name="千位分隔 2 3 9" xfId="30760" xr:uid="{00000000-0005-0000-0000-000028780000}"/>
    <cellStyle name="千位分隔 2 4" xfId="30761" xr:uid="{00000000-0005-0000-0000-000029780000}"/>
    <cellStyle name="千位分隔 2 4 2" xfId="30762" xr:uid="{00000000-0005-0000-0000-00002A780000}"/>
    <cellStyle name="千位分隔 2 4 2 2" xfId="30763" xr:uid="{00000000-0005-0000-0000-00002B780000}"/>
    <cellStyle name="千位分隔 2 4 2 3" xfId="30764" xr:uid="{00000000-0005-0000-0000-00002C780000}"/>
    <cellStyle name="千位分隔 2 4 3" xfId="30765" xr:uid="{00000000-0005-0000-0000-00002D780000}"/>
    <cellStyle name="千位分隔 2 4 4" xfId="30766" xr:uid="{00000000-0005-0000-0000-00002E780000}"/>
    <cellStyle name="千位分隔 2 4 5" xfId="30767" xr:uid="{00000000-0005-0000-0000-00002F780000}"/>
    <cellStyle name="千位分隔 2 4 6" xfId="30768" xr:uid="{00000000-0005-0000-0000-000030780000}"/>
    <cellStyle name="千位分隔 2 4 7" xfId="30769" xr:uid="{00000000-0005-0000-0000-000031780000}"/>
    <cellStyle name="千位分隔 2 4 7 2" xfId="30770" xr:uid="{00000000-0005-0000-0000-000032780000}"/>
    <cellStyle name="千位分隔 2 5" xfId="30771" xr:uid="{00000000-0005-0000-0000-000033780000}"/>
    <cellStyle name="千位分隔 2 5 2" xfId="30772" xr:uid="{00000000-0005-0000-0000-000034780000}"/>
    <cellStyle name="千位分隔 2 5 3" xfId="30773" xr:uid="{00000000-0005-0000-0000-000035780000}"/>
    <cellStyle name="千位分隔 2 5 4" xfId="30774" xr:uid="{00000000-0005-0000-0000-000036780000}"/>
    <cellStyle name="千位分隔 2 5 4 2" xfId="30775" xr:uid="{00000000-0005-0000-0000-000037780000}"/>
    <cellStyle name="千位分隔 2 6" xfId="30776" xr:uid="{00000000-0005-0000-0000-000038780000}"/>
    <cellStyle name="千位分隔 2 6 2" xfId="30777" xr:uid="{00000000-0005-0000-0000-000039780000}"/>
    <cellStyle name="千位分隔 2 6 2 2" xfId="30778" xr:uid="{00000000-0005-0000-0000-00003A780000}"/>
    <cellStyle name="千位分隔 2 7" xfId="30779" xr:uid="{00000000-0005-0000-0000-00003B780000}"/>
    <cellStyle name="千位分隔 2 7 2" xfId="30780" xr:uid="{00000000-0005-0000-0000-00003C780000}"/>
    <cellStyle name="千位分隔 2 7 2 2" xfId="30781" xr:uid="{00000000-0005-0000-0000-00003D780000}"/>
    <cellStyle name="千位分隔 2 8" xfId="30782" xr:uid="{00000000-0005-0000-0000-00003E780000}"/>
    <cellStyle name="千位分隔 2 8 2" xfId="30783" xr:uid="{00000000-0005-0000-0000-00003F780000}"/>
    <cellStyle name="千位分隔 2 8 3" xfId="30784" xr:uid="{00000000-0005-0000-0000-000040780000}"/>
    <cellStyle name="千位分隔 2 9" xfId="30785" xr:uid="{00000000-0005-0000-0000-000041780000}"/>
    <cellStyle name="千位分隔 2 9 2" xfId="30786" xr:uid="{00000000-0005-0000-0000-000042780000}"/>
    <cellStyle name="千位分隔 3" xfId="30787" xr:uid="{00000000-0005-0000-0000-000043780000}"/>
    <cellStyle name="千位分隔 3 2" xfId="30788" xr:uid="{00000000-0005-0000-0000-000044780000}"/>
    <cellStyle name="千位分隔 3 2 2" xfId="30789" xr:uid="{00000000-0005-0000-0000-000045780000}"/>
    <cellStyle name="千位分隔 3 2 2 2" xfId="30790" xr:uid="{00000000-0005-0000-0000-000046780000}"/>
    <cellStyle name="千位分隔 3 2 2 3" xfId="30791" xr:uid="{00000000-0005-0000-0000-000047780000}"/>
    <cellStyle name="千位分隔 3 2 3" xfId="30792" xr:uid="{00000000-0005-0000-0000-000048780000}"/>
    <cellStyle name="千位分隔 3 2 4" xfId="30793" xr:uid="{00000000-0005-0000-0000-000049780000}"/>
    <cellStyle name="千位分隔 3 2 5" xfId="30794" xr:uid="{00000000-0005-0000-0000-00004A780000}"/>
    <cellStyle name="千位分隔 3 2 6" xfId="30795" xr:uid="{00000000-0005-0000-0000-00004B780000}"/>
    <cellStyle name="千位分隔 3 3" xfId="30796" xr:uid="{00000000-0005-0000-0000-00004C780000}"/>
    <cellStyle name="千位分隔 3 3 2" xfId="30797" xr:uid="{00000000-0005-0000-0000-00004D780000}"/>
    <cellStyle name="千位分隔 3 3 3" xfId="30798" xr:uid="{00000000-0005-0000-0000-00004E780000}"/>
    <cellStyle name="千位分隔 3 4" xfId="30799" xr:uid="{00000000-0005-0000-0000-00004F780000}"/>
    <cellStyle name="千位分隔 3 5" xfId="30800" xr:uid="{00000000-0005-0000-0000-000050780000}"/>
    <cellStyle name="千位分隔 3 6" xfId="30801" xr:uid="{00000000-0005-0000-0000-000051780000}"/>
    <cellStyle name="千位分隔 3 7" xfId="30802" xr:uid="{00000000-0005-0000-0000-000052780000}"/>
    <cellStyle name="千位分隔[0]_061 explanation" xfId="30803" xr:uid="{00000000-0005-0000-0000-000053780000}"/>
    <cellStyle name="千位分隔_061 explanation" xfId="30804" xr:uid="{00000000-0005-0000-0000-000054780000}"/>
    <cellStyle name="千分位[0]_DrayageRevenueWorking" xfId="30805" xr:uid="{00000000-0005-0000-0000-000055780000}"/>
    <cellStyle name="千分位_6sigma" xfId="30806" xr:uid="{00000000-0005-0000-0000-000056780000}"/>
    <cellStyle name="后继超级链接_Ji Fa - SOICT Pd 023 Mgmt Report" xfId="30807" xr:uid="{00000000-0005-0000-0000-000057780000}"/>
    <cellStyle name="好 2" xfId="30808" xr:uid="{00000000-0005-0000-0000-000058780000}"/>
    <cellStyle name="好 2 10" xfId="30809" xr:uid="{00000000-0005-0000-0000-000059780000}"/>
    <cellStyle name="好 2 11" xfId="30810" xr:uid="{00000000-0005-0000-0000-00005A780000}"/>
    <cellStyle name="好 2 2" xfId="30811" xr:uid="{00000000-0005-0000-0000-00005B780000}"/>
    <cellStyle name="好 2 2 10" xfId="30812" xr:uid="{00000000-0005-0000-0000-00005C780000}"/>
    <cellStyle name="好 2 2 11" xfId="30813" xr:uid="{00000000-0005-0000-0000-00005D780000}"/>
    <cellStyle name="好 2 2 2" xfId="30814" xr:uid="{00000000-0005-0000-0000-00005E780000}"/>
    <cellStyle name="好 2 2 2 2" xfId="30815" xr:uid="{00000000-0005-0000-0000-00005F780000}"/>
    <cellStyle name="好 2 2 2 2 2" xfId="30816" xr:uid="{00000000-0005-0000-0000-000060780000}"/>
    <cellStyle name="好 2 2 2 2 2 2" xfId="30817" xr:uid="{00000000-0005-0000-0000-000061780000}"/>
    <cellStyle name="好 2 2 2 2 2 3" xfId="30818" xr:uid="{00000000-0005-0000-0000-000062780000}"/>
    <cellStyle name="好 2 2 2 2 2 3 2" xfId="30819" xr:uid="{00000000-0005-0000-0000-000063780000}"/>
    <cellStyle name="好 2 2 2 2 2 3 2 2" xfId="30820" xr:uid="{00000000-0005-0000-0000-000064780000}"/>
    <cellStyle name="好 2 2 2 2 2 4" xfId="30821" xr:uid="{00000000-0005-0000-0000-000065780000}"/>
    <cellStyle name="好 2 2 2 2 2 4 2" xfId="30822" xr:uid="{00000000-0005-0000-0000-000066780000}"/>
    <cellStyle name="好 2 2 2 2 3" xfId="30823" xr:uid="{00000000-0005-0000-0000-000067780000}"/>
    <cellStyle name="好 2 2 2 2 3 2" xfId="30824" xr:uid="{00000000-0005-0000-0000-000068780000}"/>
    <cellStyle name="好 2 2 2 2 3 2 2" xfId="30825" xr:uid="{00000000-0005-0000-0000-000069780000}"/>
    <cellStyle name="好 2 2 2 2 3 2 2 2" xfId="30826" xr:uid="{00000000-0005-0000-0000-00006A780000}"/>
    <cellStyle name="好 2 2 2 2 3 3" xfId="30827" xr:uid="{00000000-0005-0000-0000-00006B780000}"/>
    <cellStyle name="好 2 2 2 2 3 3 2" xfId="30828" xr:uid="{00000000-0005-0000-0000-00006C780000}"/>
    <cellStyle name="好 2 2 2 2 4" xfId="30829" xr:uid="{00000000-0005-0000-0000-00006D780000}"/>
    <cellStyle name="好 2 2 2 2 5" xfId="30830" xr:uid="{00000000-0005-0000-0000-00006E780000}"/>
    <cellStyle name="好 2 2 2 2 6" xfId="30831" xr:uid="{00000000-0005-0000-0000-00006F780000}"/>
    <cellStyle name="好 2 2 2 3" xfId="30832" xr:uid="{00000000-0005-0000-0000-000070780000}"/>
    <cellStyle name="好 2 2 2 3 2" xfId="30833" xr:uid="{00000000-0005-0000-0000-000071780000}"/>
    <cellStyle name="好 2 2 2 3 3" xfId="30834" xr:uid="{00000000-0005-0000-0000-000072780000}"/>
    <cellStyle name="好 2 2 2 3 3 2" xfId="30835" xr:uid="{00000000-0005-0000-0000-000073780000}"/>
    <cellStyle name="好 2 2 2 3 3 2 2" xfId="30836" xr:uid="{00000000-0005-0000-0000-000074780000}"/>
    <cellStyle name="好 2 2 2 3 4" xfId="30837" xr:uid="{00000000-0005-0000-0000-000075780000}"/>
    <cellStyle name="好 2 2 2 3 4 2" xfId="30838" xr:uid="{00000000-0005-0000-0000-000076780000}"/>
    <cellStyle name="好 2 2 2 4" xfId="30839" xr:uid="{00000000-0005-0000-0000-000077780000}"/>
    <cellStyle name="好 2 2 2 4 2" xfId="30840" xr:uid="{00000000-0005-0000-0000-000078780000}"/>
    <cellStyle name="好 2 2 2 4 2 2" xfId="30841" xr:uid="{00000000-0005-0000-0000-000079780000}"/>
    <cellStyle name="好 2 2 2 4 2 2 2" xfId="30842" xr:uid="{00000000-0005-0000-0000-00007A780000}"/>
    <cellStyle name="好 2 2 2 4 3" xfId="30843" xr:uid="{00000000-0005-0000-0000-00007B780000}"/>
    <cellStyle name="好 2 2 2 4 3 2" xfId="30844" xr:uid="{00000000-0005-0000-0000-00007C780000}"/>
    <cellStyle name="好 2 2 2 5" xfId="30845" xr:uid="{00000000-0005-0000-0000-00007D780000}"/>
    <cellStyle name="好 2 2 2 6" xfId="30846" xr:uid="{00000000-0005-0000-0000-00007E780000}"/>
    <cellStyle name="好 2 2 2 7" xfId="30847" xr:uid="{00000000-0005-0000-0000-00007F780000}"/>
    <cellStyle name="好 2 2 3" xfId="30848" xr:uid="{00000000-0005-0000-0000-000080780000}"/>
    <cellStyle name="好 2 2 3 2" xfId="30849" xr:uid="{00000000-0005-0000-0000-000081780000}"/>
    <cellStyle name="好 2 2 3 2 2" xfId="30850" xr:uid="{00000000-0005-0000-0000-000082780000}"/>
    <cellStyle name="好 2 2 3 2 3" xfId="30851" xr:uid="{00000000-0005-0000-0000-000083780000}"/>
    <cellStyle name="好 2 2 3 2 3 2" xfId="30852" xr:uid="{00000000-0005-0000-0000-000084780000}"/>
    <cellStyle name="好 2 2 3 2 3 2 2" xfId="30853" xr:uid="{00000000-0005-0000-0000-000085780000}"/>
    <cellStyle name="好 2 2 3 2 4" xfId="30854" xr:uid="{00000000-0005-0000-0000-000086780000}"/>
    <cellStyle name="好 2 2 3 2 4 2" xfId="30855" xr:uid="{00000000-0005-0000-0000-000087780000}"/>
    <cellStyle name="好 2 2 3 3" xfId="30856" xr:uid="{00000000-0005-0000-0000-000088780000}"/>
    <cellStyle name="好 2 2 3 3 2" xfId="30857" xr:uid="{00000000-0005-0000-0000-000089780000}"/>
    <cellStyle name="好 2 2 3 3 2 2" xfId="30858" xr:uid="{00000000-0005-0000-0000-00008A780000}"/>
    <cellStyle name="好 2 2 3 3 2 2 2" xfId="30859" xr:uid="{00000000-0005-0000-0000-00008B780000}"/>
    <cellStyle name="好 2 2 3 3 3" xfId="30860" xr:uid="{00000000-0005-0000-0000-00008C780000}"/>
    <cellStyle name="好 2 2 3 3 3 2" xfId="30861" xr:uid="{00000000-0005-0000-0000-00008D780000}"/>
    <cellStyle name="好 2 2 3 4" xfId="30862" xr:uid="{00000000-0005-0000-0000-00008E780000}"/>
    <cellStyle name="好 2 2 3 5" xfId="30863" xr:uid="{00000000-0005-0000-0000-00008F780000}"/>
    <cellStyle name="好 2 2 3 6" xfId="30864" xr:uid="{00000000-0005-0000-0000-000090780000}"/>
    <cellStyle name="好 2 2 4" xfId="30865" xr:uid="{00000000-0005-0000-0000-000091780000}"/>
    <cellStyle name="好 2 2 4 2" xfId="30866" xr:uid="{00000000-0005-0000-0000-000092780000}"/>
    <cellStyle name="好 2 2 4 2 2" xfId="30867" xr:uid="{00000000-0005-0000-0000-000093780000}"/>
    <cellStyle name="好 2 2 4 2 3" xfId="30868" xr:uid="{00000000-0005-0000-0000-000094780000}"/>
    <cellStyle name="好 2 2 4 2 3 2" xfId="30869" xr:uid="{00000000-0005-0000-0000-000095780000}"/>
    <cellStyle name="好 2 2 4 2 3 2 2" xfId="30870" xr:uid="{00000000-0005-0000-0000-000096780000}"/>
    <cellStyle name="好 2 2 4 2 4" xfId="30871" xr:uid="{00000000-0005-0000-0000-000097780000}"/>
    <cellStyle name="好 2 2 4 2 4 2" xfId="30872" xr:uid="{00000000-0005-0000-0000-000098780000}"/>
    <cellStyle name="好 2 2 4 3" xfId="30873" xr:uid="{00000000-0005-0000-0000-000099780000}"/>
    <cellStyle name="好 2 2 4 4" xfId="30874" xr:uid="{00000000-0005-0000-0000-00009A780000}"/>
    <cellStyle name="好 2 2 4 5" xfId="30875" xr:uid="{00000000-0005-0000-0000-00009B780000}"/>
    <cellStyle name="好 2 2 4 6" xfId="30876" xr:uid="{00000000-0005-0000-0000-00009C780000}"/>
    <cellStyle name="好 2 2 5" xfId="30877" xr:uid="{00000000-0005-0000-0000-00009D780000}"/>
    <cellStyle name="好 2 2 5 2" xfId="30878" xr:uid="{00000000-0005-0000-0000-00009E780000}"/>
    <cellStyle name="好 2 2 5 2 2" xfId="30879" xr:uid="{00000000-0005-0000-0000-00009F780000}"/>
    <cellStyle name="好 2 2 5 2 2 2" xfId="30880" xr:uid="{00000000-0005-0000-0000-0000A0780000}"/>
    <cellStyle name="好 2 2 5 2 2 2 2" xfId="30881" xr:uid="{00000000-0005-0000-0000-0000A1780000}"/>
    <cellStyle name="好 2 2 5 2 3" xfId="30882" xr:uid="{00000000-0005-0000-0000-0000A2780000}"/>
    <cellStyle name="好 2 2 5 2 3 2" xfId="30883" xr:uid="{00000000-0005-0000-0000-0000A3780000}"/>
    <cellStyle name="好 2 2 5 3" xfId="30884" xr:uid="{00000000-0005-0000-0000-0000A4780000}"/>
    <cellStyle name="好 2 2 5 3 2" xfId="30885" xr:uid="{00000000-0005-0000-0000-0000A5780000}"/>
    <cellStyle name="好 2 2 5 3 2 2" xfId="30886" xr:uid="{00000000-0005-0000-0000-0000A6780000}"/>
    <cellStyle name="好 2 2 5 4" xfId="30887" xr:uid="{00000000-0005-0000-0000-0000A7780000}"/>
    <cellStyle name="好 2 2 5 4 2" xfId="30888" xr:uid="{00000000-0005-0000-0000-0000A8780000}"/>
    <cellStyle name="好 2 2 6" xfId="30889" xr:uid="{00000000-0005-0000-0000-0000A9780000}"/>
    <cellStyle name="好 2 2 6 2" xfId="30890" xr:uid="{00000000-0005-0000-0000-0000AA780000}"/>
    <cellStyle name="好 2 2 6 2 2" xfId="30891" xr:uid="{00000000-0005-0000-0000-0000AB780000}"/>
    <cellStyle name="好 2 2 6 2 2 2" xfId="30892" xr:uid="{00000000-0005-0000-0000-0000AC780000}"/>
    <cellStyle name="好 2 2 6 2 2 2 2" xfId="30893" xr:uid="{00000000-0005-0000-0000-0000AD780000}"/>
    <cellStyle name="好 2 2 6 2 3" xfId="30894" xr:uid="{00000000-0005-0000-0000-0000AE780000}"/>
    <cellStyle name="好 2 2 6 2 3 2" xfId="30895" xr:uid="{00000000-0005-0000-0000-0000AF780000}"/>
    <cellStyle name="好 2 2 6 3" xfId="30896" xr:uid="{00000000-0005-0000-0000-0000B0780000}"/>
    <cellStyle name="好 2 2 6 3 2" xfId="30897" xr:uid="{00000000-0005-0000-0000-0000B1780000}"/>
    <cellStyle name="好 2 2 6 3 2 2" xfId="30898" xr:uid="{00000000-0005-0000-0000-0000B2780000}"/>
    <cellStyle name="好 2 2 6 4" xfId="30899" xr:uid="{00000000-0005-0000-0000-0000B3780000}"/>
    <cellStyle name="好 2 2 6 4 2" xfId="30900" xr:uid="{00000000-0005-0000-0000-0000B4780000}"/>
    <cellStyle name="好 2 2 7" xfId="30901" xr:uid="{00000000-0005-0000-0000-0000B5780000}"/>
    <cellStyle name="好 2 2 7 2" xfId="30902" xr:uid="{00000000-0005-0000-0000-0000B6780000}"/>
    <cellStyle name="好 2 2 7 2 2" xfId="30903" xr:uid="{00000000-0005-0000-0000-0000B7780000}"/>
    <cellStyle name="好 2 2 7 2 2 2" xfId="30904" xr:uid="{00000000-0005-0000-0000-0000B8780000}"/>
    <cellStyle name="好 2 2 7 2 2 2 2" xfId="30905" xr:uid="{00000000-0005-0000-0000-0000B9780000}"/>
    <cellStyle name="好 2 2 7 2 3" xfId="30906" xr:uid="{00000000-0005-0000-0000-0000BA780000}"/>
    <cellStyle name="好 2 2 7 2 3 2" xfId="30907" xr:uid="{00000000-0005-0000-0000-0000BB780000}"/>
    <cellStyle name="好 2 2 7 3" xfId="30908" xr:uid="{00000000-0005-0000-0000-0000BC780000}"/>
    <cellStyle name="好 2 2 7 3 2" xfId="30909" xr:uid="{00000000-0005-0000-0000-0000BD780000}"/>
    <cellStyle name="好 2 2 7 3 2 2" xfId="30910" xr:uid="{00000000-0005-0000-0000-0000BE780000}"/>
    <cellStyle name="好 2 2 7 4" xfId="30911" xr:uid="{00000000-0005-0000-0000-0000BF780000}"/>
    <cellStyle name="好 2 2 7 4 2" xfId="30912" xr:uid="{00000000-0005-0000-0000-0000C0780000}"/>
    <cellStyle name="好 2 2 8" xfId="30913" xr:uid="{00000000-0005-0000-0000-0000C1780000}"/>
    <cellStyle name="好 2 2 8 2" xfId="30914" xr:uid="{00000000-0005-0000-0000-0000C2780000}"/>
    <cellStyle name="好 2 2 8 2 2" xfId="30915" xr:uid="{00000000-0005-0000-0000-0000C3780000}"/>
    <cellStyle name="好 2 2 8 2 2 2" xfId="30916" xr:uid="{00000000-0005-0000-0000-0000C4780000}"/>
    <cellStyle name="好 2 2 8 3" xfId="30917" xr:uid="{00000000-0005-0000-0000-0000C5780000}"/>
    <cellStyle name="好 2 2 8 3 2" xfId="30918" xr:uid="{00000000-0005-0000-0000-0000C6780000}"/>
    <cellStyle name="好 2 2 9" xfId="30919" xr:uid="{00000000-0005-0000-0000-0000C7780000}"/>
    <cellStyle name="好 2 2 9 2" xfId="30920" xr:uid="{00000000-0005-0000-0000-0000C8780000}"/>
    <cellStyle name="好 2 2 9 2 2" xfId="30921" xr:uid="{00000000-0005-0000-0000-0000C9780000}"/>
    <cellStyle name="好 2 2 9 2 2 2" xfId="30922" xr:uid="{00000000-0005-0000-0000-0000CA780000}"/>
    <cellStyle name="好 2 2 9 3" xfId="30923" xr:uid="{00000000-0005-0000-0000-0000CB780000}"/>
    <cellStyle name="好 2 2 9 3 2" xfId="30924" xr:uid="{00000000-0005-0000-0000-0000CC780000}"/>
    <cellStyle name="好 2 3" xfId="30925" xr:uid="{00000000-0005-0000-0000-0000CD780000}"/>
    <cellStyle name="好 2 3 2" xfId="30926" xr:uid="{00000000-0005-0000-0000-0000CE780000}"/>
    <cellStyle name="好 2 3 2 2" xfId="30927" xr:uid="{00000000-0005-0000-0000-0000CF780000}"/>
    <cellStyle name="好 2 3 2 2 2" xfId="30928" xr:uid="{00000000-0005-0000-0000-0000D0780000}"/>
    <cellStyle name="好 2 3 2 2 2 2" xfId="30929" xr:uid="{00000000-0005-0000-0000-0000D1780000}"/>
    <cellStyle name="好 2 3 2 2 2 3" xfId="30930" xr:uid="{00000000-0005-0000-0000-0000D2780000}"/>
    <cellStyle name="好 2 3 2 2 2 3 2" xfId="30931" xr:uid="{00000000-0005-0000-0000-0000D3780000}"/>
    <cellStyle name="好 2 3 2 2 2 3 2 2" xfId="30932" xr:uid="{00000000-0005-0000-0000-0000D4780000}"/>
    <cellStyle name="好 2 3 2 2 2 4" xfId="30933" xr:uid="{00000000-0005-0000-0000-0000D5780000}"/>
    <cellStyle name="好 2 3 2 2 2 4 2" xfId="30934" xr:uid="{00000000-0005-0000-0000-0000D6780000}"/>
    <cellStyle name="好 2 3 2 2 3" xfId="30935" xr:uid="{00000000-0005-0000-0000-0000D7780000}"/>
    <cellStyle name="好 2 3 2 2 3 2" xfId="30936" xr:uid="{00000000-0005-0000-0000-0000D8780000}"/>
    <cellStyle name="好 2 3 2 2 3 2 2" xfId="30937" xr:uid="{00000000-0005-0000-0000-0000D9780000}"/>
    <cellStyle name="好 2 3 2 2 3 2 2 2" xfId="30938" xr:uid="{00000000-0005-0000-0000-0000DA780000}"/>
    <cellStyle name="好 2 3 2 2 3 3" xfId="30939" xr:uid="{00000000-0005-0000-0000-0000DB780000}"/>
    <cellStyle name="好 2 3 2 2 3 3 2" xfId="30940" xr:uid="{00000000-0005-0000-0000-0000DC780000}"/>
    <cellStyle name="好 2 3 2 2 4" xfId="30941" xr:uid="{00000000-0005-0000-0000-0000DD780000}"/>
    <cellStyle name="好 2 3 2 2 5" xfId="30942" xr:uid="{00000000-0005-0000-0000-0000DE780000}"/>
    <cellStyle name="好 2 3 2 2 6" xfId="30943" xr:uid="{00000000-0005-0000-0000-0000DF780000}"/>
    <cellStyle name="好 2 3 2 3" xfId="30944" xr:uid="{00000000-0005-0000-0000-0000E0780000}"/>
    <cellStyle name="好 2 3 2 3 2" xfId="30945" xr:uid="{00000000-0005-0000-0000-0000E1780000}"/>
    <cellStyle name="好 2 3 2 3 3" xfId="30946" xr:uid="{00000000-0005-0000-0000-0000E2780000}"/>
    <cellStyle name="好 2 3 2 3 3 2" xfId="30947" xr:uid="{00000000-0005-0000-0000-0000E3780000}"/>
    <cellStyle name="好 2 3 2 3 3 2 2" xfId="30948" xr:uid="{00000000-0005-0000-0000-0000E4780000}"/>
    <cellStyle name="好 2 3 2 3 4" xfId="30949" xr:uid="{00000000-0005-0000-0000-0000E5780000}"/>
    <cellStyle name="好 2 3 2 3 4 2" xfId="30950" xr:uid="{00000000-0005-0000-0000-0000E6780000}"/>
    <cellStyle name="好 2 3 2 4" xfId="30951" xr:uid="{00000000-0005-0000-0000-0000E7780000}"/>
    <cellStyle name="好 2 3 2 4 2" xfId="30952" xr:uid="{00000000-0005-0000-0000-0000E8780000}"/>
    <cellStyle name="好 2 3 2 4 2 2" xfId="30953" xr:uid="{00000000-0005-0000-0000-0000E9780000}"/>
    <cellStyle name="好 2 3 2 4 2 2 2" xfId="30954" xr:uid="{00000000-0005-0000-0000-0000EA780000}"/>
    <cellStyle name="好 2 3 2 4 3" xfId="30955" xr:uid="{00000000-0005-0000-0000-0000EB780000}"/>
    <cellStyle name="好 2 3 2 4 3 2" xfId="30956" xr:uid="{00000000-0005-0000-0000-0000EC780000}"/>
    <cellStyle name="好 2 3 2 5" xfId="30957" xr:uid="{00000000-0005-0000-0000-0000ED780000}"/>
    <cellStyle name="好 2 3 2 6" xfId="30958" xr:uid="{00000000-0005-0000-0000-0000EE780000}"/>
    <cellStyle name="好 2 3 2 7" xfId="30959" xr:uid="{00000000-0005-0000-0000-0000EF780000}"/>
    <cellStyle name="好 2 3 3" xfId="30960" xr:uid="{00000000-0005-0000-0000-0000F0780000}"/>
    <cellStyle name="好 2 3 3 2" xfId="30961" xr:uid="{00000000-0005-0000-0000-0000F1780000}"/>
    <cellStyle name="好 2 3 3 2 2" xfId="30962" xr:uid="{00000000-0005-0000-0000-0000F2780000}"/>
    <cellStyle name="好 2 3 3 2 3" xfId="30963" xr:uid="{00000000-0005-0000-0000-0000F3780000}"/>
    <cellStyle name="好 2 3 3 2 3 2" xfId="30964" xr:uid="{00000000-0005-0000-0000-0000F4780000}"/>
    <cellStyle name="好 2 3 3 2 3 2 2" xfId="30965" xr:uid="{00000000-0005-0000-0000-0000F5780000}"/>
    <cellStyle name="好 2 3 3 2 4" xfId="30966" xr:uid="{00000000-0005-0000-0000-0000F6780000}"/>
    <cellStyle name="好 2 3 3 2 4 2" xfId="30967" xr:uid="{00000000-0005-0000-0000-0000F7780000}"/>
    <cellStyle name="好 2 3 3 3" xfId="30968" xr:uid="{00000000-0005-0000-0000-0000F8780000}"/>
    <cellStyle name="好 2 3 3 3 2" xfId="30969" xr:uid="{00000000-0005-0000-0000-0000F9780000}"/>
    <cellStyle name="好 2 3 3 3 2 2" xfId="30970" xr:uid="{00000000-0005-0000-0000-0000FA780000}"/>
    <cellStyle name="好 2 3 3 3 2 2 2" xfId="30971" xr:uid="{00000000-0005-0000-0000-0000FB780000}"/>
    <cellStyle name="好 2 3 3 3 3" xfId="30972" xr:uid="{00000000-0005-0000-0000-0000FC780000}"/>
    <cellStyle name="好 2 3 3 3 3 2" xfId="30973" xr:uid="{00000000-0005-0000-0000-0000FD780000}"/>
    <cellStyle name="好 2 3 3 4" xfId="30974" xr:uid="{00000000-0005-0000-0000-0000FE780000}"/>
    <cellStyle name="好 2 3 3 5" xfId="30975" xr:uid="{00000000-0005-0000-0000-0000FF780000}"/>
    <cellStyle name="好 2 3 3 6" xfId="30976" xr:uid="{00000000-0005-0000-0000-000000790000}"/>
    <cellStyle name="好 2 3 4" xfId="30977" xr:uid="{00000000-0005-0000-0000-000001790000}"/>
    <cellStyle name="好 2 3 4 2" xfId="30978" xr:uid="{00000000-0005-0000-0000-000002790000}"/>
    <cellStyle name="好 2 3 4 2 2" xfId="30979" xr:uid="{00000000-0005-0000-0000-000003790000}"/>
    <cellStyle name="好 2 3 4 2 3" xfId="30980" xr:uid="{00000000-0005-0000-0000-000004790000}"/>
    <cellStyle name="好 2 3 4 2 3 2" xfId="30981" xr:uid="{00000000-0005-0000-0000-000005790000}"/>
    <cellStyle name="好 2 3 4 2 3 2 2" xfId="30982" xr:uid="{00000000-0005-0000-0000-000006790000}"/>
    <cellStyle name="好 2 3 4 2 4" xfId="30983" xr:uid="{00000000-0005-0000-0000-000007790000}"/>
    <cellStyle name="好 2 3 4 2 4 2" xfId="30984" xr:uid="{00000000-0005-0000-0000-000008790000}"/>
    <cellStyle name="好 2 3 4 3" xfId="30985" xr:uid="{00000000-0005-0000-0000-000009790000}"/>
    <cellStyle name="好 2 3 4 4" xfId="30986" xr:uid="{00000000-0005-0000-0000-00000A790000}"/>
    <cellStyle name="好 2 3 4 5" xfId="30987" xr:uid="{00000000-0005-0000-0000-00000B790000}"/>
    <cellStyle name="好 2 3 4 6" xfId="30988" xr:uid="{00000000-0005-0000-0000-00000C790000}"/>
    <cellStyle name="好 2 3 5" xfId="30989" xr:uid="{00000000-0005-0000-0000-00000D790000}"/>
    <cellStyle name="好 2 3 5 2" xfId="30990" xr:uid="{00000000-0005-0000-0000-00000E790000}"/>
    <cellStyle name="好 2 3 5 2 2" xfId="30991" xr:uid="{00000000-0005-0000-0000-00000F790000}"/>
    <cellStyle name="好 2 3 5 2 2 2" xfId="30992" xr:uid="{00000000-0005-0000-0000-000010790000}"/>
    <cellStyle name="好 2 3 5 2 2 2 2" xfId="30993" xr:uid="{00000000-0005-0000-0000-000011790000}"/>
    <cellStyle name="好 2 3 5 2 3" xfId="30994" xr:uid="{00000000-0005-0000-0000-000012790000}"/>
    <cellStyle name="好 2 3 5 2 3 2" xfId="30995" xr:uid="{00000000-0005-0000-0000-000013790000}"/>
    <cellStyle name="好 2 3 5 3" xfId="30996" xr:uid="{00000000-0005-0000-0000-000014790000}"/>
    <cellStyle name="好 2 3 5 3 2" xfId="30997" xr:uid="{00000000-0005-0000-0000-000015790000}"/>
    <cellStyle name="好 2 3 5 3 2 2" xfId="30998" xr:uid="{00000000-0005-0000-0000-000016790000}"/>
    <cellStyle name="好 2 3 5 4" xfId="30999" xr:uid="{00000000-0005-0000-0000-000017790000}"/>
    <cellStyle name="好 2 3 5 4 2" xfId="31000" xr:uid="{00000000-0005-0000-0000-000018790000}"/>
    <cellStyle name="好 2 3 6" xfId="31001" xr:uid="{00000000-0005-0000-0000-000019790000}"/>
    <cellStyle name="好 2 3 6 2" xfId="31002" xr:uid="{00000000-0005-0000-0000-00001A790000}"/>
    <cellStyle name="好 2 3 6 2 2" xfId="31003" xr:uid="{00000000-0005-0000-0000-00001B790000}"/>
    <cellStyle name="好 2 3 6 2 2 2" xfId="31004" xr:uid="{00000000-0005-0000-0000-00001C790000}"/>
    <cellStyle name="好 2 3 6 3" xfId="31005" xr:uid="{00000000-0005-0000-0000-00001D790000}"/>
    <cellStyle name="好 2 3 6 3 2" xfId="31006" xr:uid="{00000000-0005-0000-0000-00001E790000}"/>
    <cellStyle name="好 2 3 7" xfId="31007" xr:uid="{00000000-0005-0000-0000-00001F790000}"/>
    <cellStyle name="好 2 3 7 2" xfId="31008" xr:uid="{00000000-0005-0000-0000-000020790000}"/>
    <cellStyle name="好 2 3 7 2 2" xfId="31009" xr:uid="{00000000-0005-0000-0000-000021790000}"/>
    <cellStyle name="好 2 3 7 2 2 2" xfId="31010" xr:uid="{00000000-0005-0000-0000-000022790000}"/>
    <cellStyle name="好 2 3 7 3" xfId="31011" xr:uid="{00000000-0005-0000-0000-000023790000}"/>
    <cellStyle name="好 2 3 7 3 2" xfId="31012" xr:uid="{00000000-0005-0000-0000-000024790000}"/>
    <cellStyle name="好 2 3 8" xfId="31013" xr:uid="{00000000-0005-0000-0000-000025790000}"/>
    <cellStyle name="好 2 3 9" xfId="31014" xr:uid="{00000000-0005-0000-0000-000026790000}"/>
    <cellStyle name="好 2 4" xfId="31015" xr:uid="{00000000-0005-0000-0000-000027790000}"/>
    <cellStyle name="好 2 4 2" xfId="31016" xr:uid="{00000000-0005-0000-0000-000028790000}"/>
    <cellStyle name="好 2 4 2 2" xfId="31017" xr:uid="{00000000-0005-0000-0000-000029790000}"/>
    <cellStyle name="好 2 4 2 3" xfId="31018" xr:uid="{00000000-0005-0000-0000-00002A790000}"/>
    <cellStyle name="好 2 4 2 3 2" xfId="31019" xr:uid="{00000000-0005-0000-0000-00002B790000}"/>
    <cellStyle name="好 2 4 2 3 2 2" xfId="31020" xr:uid="{00000000-0005-0000-0000-00002C790000}"/>
    <cellStyle name="好 2 4 2 4" xfId="31021" xr:uid="{00000000-0005-0000-0000-00002D790000}"/>
    <cellStyle name="好 2 4 2 4 2" xfId="31022" xr:uid="{00000000-0005-0000-0000-00002E790000}"/>
    <cellStyle name="好 2 4 3" xfId="31023" xr:uid="{00000000-0005-0000-0000-00002F790000}"/>
    <cellStyle name="好 2 4 3 2" xfId="31024" xr:uid="{00000000-0005-0000-0000-000030790000}"/>
    <cellStyle name="好 2 4 3 2 2" xfId="31025" xr:uid="{00000000-0005-0000-0000-000031790000}"/>
    <cellStyle name="好 2 4 3 2 2 2" xfId="31026" xr:uid="{00000000-0005-0000-0000-000032790000}"/>
    <cellStyle name="好 2 4 3 3" xfId="31027" xr:uid="{00000000-0005-0000-0000-000033790000}"/>
    <cellStyle name="好 2 4 3 3 2" xfId="31028" xr:uid="{00000000-0005-0000-0000-000034790000}"/>
    <cellStyle name="好 2 4 4" xfId="31029" xr:uid="{00000000-0005-0000-0000-000035790000}"/>
    <cellStyle name="好 2 4 5" xfId="31030" xr:uid="{00000000-0005-0000-0000-000036790000}"/>
    <cellStyle name="好 2 4 6" xfId="31031" xr:uid="{00000000-0005-0000-0000-000037790000}"/>
    <cellStyle name="好 2 5" xfId="31032" xr:uid="{00000000-0005-0000-0000-000038790000}"/>
    <cellStyle name="好 2 5 2" xfId="31033" xr:uid="{00000000-0005-0000-0000-000039790000}"/>
    <cellStyle name="好 2 5 2 2" xfId="31034" xr:uid="{00000000-0005-0000-0000-00003A790000}"/>
    <cellStyle name="好 2 5 2 3" xfId="31035" xr:uid="{00000000-0005-0000-0000-00003B790000}"/>
    <cellStyle name="好 2 5 2 3 2" xfId="31036" xr:uid="{00000000-0005-0000-0000-00003C790000}"/>
    <cellStyle name="好 2 5 2 3 2 2" xfId="31037" xr:uid="{00000000-0005-0000-0000-00003D790000}"/>
    <cellStyle name="好 2 5 2 4" xfId="31038" xr:uid="{00000000-0005-0000-0000-00003E790000}"/>
    <cellStyle name="好 2 5 2 4 2" xfId="31039" xr:uid="{00000000-0005-0000-0000-00003F790000}"/>
    <cellStyle name="好 2 5 3" xfId="31040" xr:uid="{00000000-0005-0000-0000-000040790000}"/>
    <cellStyle name="好 2 5 4" xfId="31041" xr:uid="{00000000-0005-0000-0000-000041790000}"/>
    <cellStyle name="好 2 5 5" xfId="31042" xr:uid="{00000000-0005-0000-0000-000042790000}"/>
    <cellStyle name="好 2 5 6" xfId="31043" xr:uid="{00000000-0005-0000-0000-000043790000}"/>
    <cellStyle name="好 2 6" xfId="31044" xr:uid="{00000000-0005-0000-0000-000044790000}"/>
    <cellStyle name="好 2 6 2" xfId="31045" xr:uid="{00000000-0005-0000-0000-000045790000}"/>
    <cellStyle name="好 2 6 2 2" xfId="31046" xr:uid="{00000000-0005-0000-0000-000046790000}"/>
    <cellStyle name="好 2 6 2 2 2" xfId="31047" xr:uid="{00000000-0005-0000-0000-000047790000}"/>
    <cellStyle name="好 2 6 2 2 2 2" xfId="31048" xr:uid="{00000000-0005-0000-0000-000048790000}"/>
    <cellStyle name="好 2 6 2 3" xfId="31049" xr:uid="{00000000-0005-0000-0000-000049790000}"/>
    <cellStyle name="好 2 6 2 3 2" xfId="31050" xr:uid="{00000000-0005-0000-0000-00004A790000}"/>
    <cellStyle name="好 2 6 3" xfId="31051" xr:uid="{00000000-0005-0000-0000-00004B790000}"/>
    <cellStyle name="好 2 6 3 2" xfId="31052" xr:uid="{00000000-0005-0000-0000-00004C790000}"/>
    <cellStyle name="好 2 6 3 2 2" xfId="31053" xr:uid="{00000000-0005-0000-0000-00004D790000}"/>
    <cellStyle name="好 2 6 4" xfId="31054" xr:uid="{00000000-0005-0000-0000-00004E790000}"/>
    <cellStyle name="好 2 6 4 2" xfId="31055" xr:uid="{00000000-0005-0000-0000-00004F790000}"/>
    <cellStyle name="好 2 7" xfId="31056" xr:uid="{00000000-0005-0000-0000-000050790000}"/>
    <cellStyle name="好 2 7 2" xfId="31057" xr:uid="{00000000-0005-0000-0000-000051790000}"/>
    <cellStyle name="好 2 7 2 2" xfId="31058" xr:uid="{00000000-0005-0000-0000-000052790000}"/>
    <cellStyle name="好 2 7 2 2 2" xfId="31059" xr:uid="{00000000-0005-0000-0000-000053790000}"/>
    <cellStyle name="好 2 7 2 2 2 2" xfId="31060" xr:uid="{00000000-0005-0000-0000-000054790000}"/>
    <cellStyle name="好 2 7 2 3" xfId="31061" xr:uid="{00000000-0005-0000-0000-000055790000}"/>
    <cellStyle name="好 2 7 2 3 2" xfId="31062" xr:uid="{00000000-0005-0000-0000-000056790000}"/>
    <cellStyle name="好 2 7 3" xfId="31063" xr:uid="{00000000-0005-0000-0000-000057790000}"/>
    <cellStyle name="好 2 7 3 2" xfId="31064" xr:uid="{00000000-0005-0000-0000-000058790000}"/>
    <cellStyle name="好 2 7 3 2 2" xfId="31065" xr:uid="{00000000-0005-0000-0000-000059790000}"/>
    <cellStyle name="好 2 7 4" xfId="31066" xr:uid="{00000000-0005-0000-0000-00005A790000}"/>
    <cellStyle name="好 2 7 4 2" xfId="31067" xr:uid="{00000000-0005-0000-0000-00005B790000}"/>
    <cellStyle name="好 2 8" xfId="31068" xr:uid="{00000000-0005-0000-0000-00005C790000}"/>
    <cellStyle name="好 2 8 2" xfId="31069" xr:uid="{00000000-0005-0000-0000-00005D790000}"/>
    <cellStyle name="好 2 8 2 2" xfId="31070" xr:uid="{00000000-0005-0000-0000-00005E790000}"/>
    <cellStyle name="好 2 8 2 2 2" xfId="31071" xr:uid="{00000000-0005-0000-0000-00005F790000}"/>
    <cellStyle name="好 2 8 2 2 2 2" xfId="31072" xr:uid="{00000000-0005-0000-0000-000060790000}"/>
    <cellStyle name="好 2 8 2 3" xfId="31073" xr:uid="{00000000-0005-0000-0000-000061790000}"/>
    <cellStyle name="好 2 8 2 3 2" xfId="31074" xr:uid="{00000000-0005-0000-0000-000062790000}"/>
    <cellStyle name="好 2 8 3" xfId="31075" xr:uid="{00000000-0005-0000-0000-000063790000}"/>
    <cellStyle name="好 2 8 3 2" xfId="31076" xr:uid="{00000000-0005-0000-0000-000064790000}"/>
    <cellStyle name="好 2 8 3 2 2" xfId="31077" xr:uid="{00000000-0005-0000-0000-000065790000}"/>
    <cellStyle name="好 2 8 4" xfId="31078" xr:uid="{00000000-0005-0000-0000-000066790000}"/>
    <cellStyle name="好 2 8 4 2" xfId="31079" xr:uid="{00000000-0005-0000-0000-000067790000}"/>
    <cellStyle name="好 2 9" xfId="31080" xr:uid="{00000000-0005-0000-0000-000068790000}"/>
    <cellStyle name="好 2 9 2" xfId="31081" xr:uid="{00000000-0005-0000-0000-000069790000}"/>
    <cellStyle name="好 2 9 2 2" xfId="31082" xr:uid="{00000000-0005-0000-0000-00006A790000}"/>
    <cellStyle name="好 2 9 2 2 2" xfId="31083" xr:uid="{00000000-0005-0000-0000-00006B790000}"/>
    <cellStyle name="好 2 9 3" xfId="31084" xr:uid="{00000000-0005-0000-0000-00006C790000}"/>
    <cellStyle name="好 2 9 3 2" xfId="31085" xr:uid="{00000000-0005-0000-0000-00006D790000}"/>
    <cellStyle name="好 3" xfId="31086" xr:uid="{00000000-0005-0000-0000-00006E790000}"/>
    <cellStyle name="好 3 2" xfId="31087" xr:uid="{00000000-0005-0000-0000-00006F790000}"/>
    <cellStyle name="好 3 2 2" xfId="31088" xr:uid="{00000000-0005-0000-0000-000070790000}"/>
    <cellStyle name="好 3 2 2 2" xfId="31089" xr:uid="{00000000-0005-0000-0000-000071790000}"/>
    <cellStyle name="好 3 2 2 2 2" xfId="31090" xr:uid="{00000000-0005-0000-0000-000072790000}"/>
    <cellStyle name="好 3 2 2 2 3" xfId="31091" xr:uid="{00000000-0005-0000-0000-000073790000}"/>
    <cellStyle name="好 3 2 2 2 3 2" xfId="31092" xr:uid="{00000000-0005-0000-0000-000074790000}"/>
    <cellStyle name="好 3 2 2 2 3 2 2" xfId="31093" xr:uid="{00000000-0005-0000-0000-000075790000}"/>
    <cellStyle name="好 3 2 2 2 4" xfId="31094" xr:uid="{00000000-0005-0000-0000-000076790000}"/>
    <cellStyle name="好 3 2 2 2 4 2" xfId="31095" xr:uid="{00000000-0005-0000-0000-000077790000}"/>
    <cellStyle name="好 3 2 2 3" xfId="31096" xr:uid="{00000000-0005-0000-0000-000078790000}"/>
    <cellStyle name="好 3 2 2 3 2" xfId="31097" xr:uid="{00000000-0005-0000-0000-000079790000}"/>
    <cellStyle name="好 3 2 2 3 2 2" xfId="31098" xr:uid="{00000000-0005-0000-0000-00007A790000}"/>
    <cellStyle name="好 3 2 2 3 2 2 2" xfId="31099" xr:uid="{00000000-0005-0000-0000-00007B790000}"/>
    <cellStyle name="好 3 2 2 3 3" xfId="31100" xr:uid="{00000000-0005-0000-0000-00007C790000}"/>
    <cellStyle name="好 3 2 2 3 3 2" xfId="31101" xr:uid="{00000000-0005-0000-0000-00007D790000}"/>
    <cellStyle name="好 3 2 2 4" xfId="31102" xr:uid="{00000000-0005-0000-0000-00007E790000}"/>
    <cellStyle name="好 3 2 2 5" xfId="31103" xr:uid="{00000000-0005-0000-0000-00007F790000}"/>
    <cellStyle name="好 3 2 2 6" xfId="31104" xr:uid="{00000000-0005-0000-0000-000080790000}"/>
    <cellStyle name="好 3 2 3" xfId="31105" xr:uid="{00000000-0005-0000-0000-000081790000}"/>
    <cellStyle name="好 3 2 3 2" xfId="31106" xr:uid="{00000000-0005-0000-0000-000082790000}"/>
    <cellStyle name="好 3 2 3 3" xfId="31107" xr:uid="{00000000-0005-0000-0000-000083790000}"/>
    <cellStyle name="好 3 2 3 3 2" xfId="31108" xr:uid="{00000000-0005-0000-0000-000084790000}"/>
    <cellStyle name="好 3 2 3 3 2 2" xfId="31109" xr:uid="{00000000-0005-0000-0000-000085790000}"/>
    <cellStyle name="好 3 2 3 4" xfId="31110" xr:uid="{00000000-0005-0000-0000-000086790000}"/>
    <cellStyle name="好 3 2 3 4 2" xfId="31111" xr:uid="{00000000-0005-0000-0000-000087790000}"/>
    <cellStyle name="好 3 2 4" xfId="31112" xr:uid="{00000000-0005-0000-0000-000088790000}"/>
    <cellStyle name="好 3 2 4 2" xfId="31113" xr:uid="{00000000-0005-0000-0000-000089790000}"/>
    <cellStyle name="好 3 2 4 2 2" xfId="31114" xr:uid="{00000000-0005-0000-0000-00008A790000}"/>
    <cellStyle name="好 3 2 4 2 2 2" xfId="31115" xr:uid="{00000000-0005-0000-0000-00008B790000}"/>
    <cellStyle name="好 3 2 4 3" xfId="31116" xr:uid="{00000000-0005-0000-0000-00008C790000}"/>
    <cellStyle name="好 3 2 4 3 2" xfId="31117" xr:uid="{00000000-0005-0000-0000-00008D790000}"/>
    <cellStyle name="好 3 2 5" xfId="31118" xr:uid="{00000000-0005-0000-0000-00008E790000}"/>
    <cellStyle name="好 3 2 6" xfId="31119" xr:uid="{00000000-0005-0000-0000-00008F790000}"/>
    <cellStyle name="好 3 2 7" xfId="31120" xr:uid="{00000000-0005-0000-0000-000090790000}"/>
    <cellStyle name="好 3 3" xfId="31121" xr:uid="{00000000-0005-0000-0000-000091790000}"/>
    <cellStyle name="好 3 3 2" xfId="31122" xr:uid="{00000000-0005-0000-0000-000092790000}"/>
    <cellStyle name="好 3 3 2 2" xfId="31123" xr:uid="{00000000-0005-0000-0000-000093790000}"/>
    <cellStyle name="好 3 3 2 3" xfId="31124" xr:uid="{00000000-0005-0000-0000-000094790000}"/>
    <cellStyle name="好 3 3 2 3 2" xfId="31125" xr:uid="{00000000-0005-0000-0000-000095790000}"/>
    <cellStyle name="好 3 3 2 3 2 2" xfId="31126" xr:uid="{00000000-0005-0000-0000-000096790000}"/>
    <cellStyle name="好 3 3 2 4" xfId="31127" xr:uid="{00000000-0005-0000-0000-000097790000}"/>
    <cellStyle name="好 3 3 2 4 2" xfId="31128" xr:uid="{00000000-0005-0000-0000-000098790000}"/>
    <cellStyle name="好 3 3 3" xfId="31129" xr:uid="{00000000-0005-0000-0000-000099790000}"/>
    <cellStyle name="好 3 3 3 2" xfId="31130" xr:uid="{00000000-0005-0000-0000-00009A790000}"/>
    <cellStyle name="好 3 3 3 2 2" xfId="31131" xr:uid="{00000000-0005-0000-0000-00009B790000}"/>
    <cellStyle name="好 3 3 3 2 2 2" xfId="31132" xr:uid="{00000000-0005-0000-0000-00009C790000}"/>
    <cellStyle name="好 3 3 3 3" xfId="31133" xr:uid="{00000000-0005-0000-0000-00009D790000}"/>
    <cellStyle name="好 3 3 3 3 2" xfId="31134" xr:uid="{00000000-0005-0000-0000-00009E790000}"/>
    <cellStyle name="好 3 3 4" xfId="31135" xr:uid="{00000000-0005-0000-0000-00009F790000}"/>
    <cellStyle name="好 3 3 5" xfId="31136" xr:uid="{00000000-0005-0000-0000-0000A0790000}"/>
    <cellStyle name="好 3 3 6" xfId="31137" xr:uid="{00000000-0005-0000-0000-0000A1790000}"/>
    <cellStyle name="好 3 4" xfId="31138" xr:uid="{00000000-0005-0000-0000-0000A2790000}"/>
    <cellStyle name="好 3 4 2" xfId="31139" xr:uid="{00000000-0005-0000-0000-0000A3790000}"/>
    <cellStyle name="好 3 4 2 2" xfId="31140" xr:uid="{00000000-0005-0000-0000-0000A4790000}"/>
    <cellStyle name="好 3 4 2 3" xfId="31141" xr:uid="{00000000-0005-0000-0000-0000A5790000}"/>
    <cellStyle name="好 3 4 2 3 2" xfId="31142" xr:uid="{00000000-0005-0000-0000-0000A6790000}"/>
    <cellStyle name="好 3 4 2 3 2 2" xfId="31143" xr:uid="{00000000-0005-0000-0000-0000A7790000}"/>
    <cellStyle name="好 3 4 2 4" xfId="31144" xr:uid="{00000000-0005-0000-0000-0000A8790000}"/>
    <cellStyle name="好 3 4 2 4 2" xfId="31145" xr:uid="{00000000-0005-0000-0000-0000A9790000}"/>
    <cellStyle name="好 3 4 3" xfId="31146" xr:uid="{00000000-0005-0000-0000-0000AA790000}"/>
    <cellStyle name="好 3 4 4" xfId="31147" xr:uid="{00000000-0005-0000-0000-0000AB790000}"/>
    <cellStyle name="好 3 4 5" xfId="31148" xr:uid="{00000000-0005-0000-0000-0000AC790000}"/>
    <cellStyle name="好 3 4 6" xfId="31149" xr:uid="{00000000-0005-0000-0000-0000AD790000}"/>
    <cellStyle name="好 3 5" xfId="31150" xr:uid="{00000000-0005-0000-0000-0000AE790000}"/>
    <cellStyle name="好 3 5 2" xfId="31151" xr:uid="{00000000-0005-0000-0000-0000AF790000}"/>
    <cellStyle name="好 3 5 2 2" xfId="31152" xr:uid="{00000000-0005-0000-0000-0000B0790000}"/>
    <cellStyle name="好 3 5 2 2 2" xfId="31153" xr:uid="{00000000-0005-0000-0000-0000B1790000}"/>
    <cellStyle name="好 3 5 2 2 2 2" xfId="31154" xr:uid="{00000000-0005-0000-0000-0000B2790000}"/>
    <cellStyle name="好 3 5 2 3" xfId="31155" xr:uid="{00000000-0005-0000-0000-0000B3790000}"/>
    <cellStyle name="好 3 5 2 3 2" xfId="31156" xr:uid="{00000000-0005-0000-0000-0000B4790000}"/>
    <cellStyle name="好 3 5 3" xfId="31157" xr:uid="{00000000-0005-0000-0000-0000B5790000}"/>
    <cellStyle name="好 3 5 3 2" xfId="31158" xr:uid="{00000000-0005-0000-0000-0000B6790000}"/>
    <cellStyle name="好 3 5 3 2 2" xfId="31159" xr:uid="{00000000-0005-0000-0000-0000B7790000}"/>
    <cellStyle name="好 3 5 4" xfId="31160" xr:uid="{00000000-0005-0000-0000-0000B8790000}"/>
    <cellStyle name="好 3 5 4 2" xfId="31161" xr:uid="{00000000-0005-0000-0000-0000B9790000}"/>
    <cellStyle name="好 3 6" xfId="31162" xr:uid="{00000000-0005-0000-0000-0000BA790000}"/>
    <cellStyle name="好 3 6 2" xfId="31163" xr:uid="{00000000-0005-0000-0000-0000BB790000}"/>
    <cellStyle name="好 3 6 2 2" xfId="31164" xr:uid="{00000000-0005-0000-0000-0000BC790000}"/>
    <cellStyle name="好 3 6 2 2 2" xfId="31165" xr:uid="{00000000-0005-0000-0000-0000BD790000}"/>
    <cellStyle name="好 3 6 3" xfId="31166" xr:uid="{00000000-0005-0000-0000-0000BE790000}"/>
    <cellStyle name="好 3 6 3 2" xfId="31167" xr:uid="{00000000-0005-0000-0000-0000BF790000}"/>
    <cellStyle name="好 3 7" xfId="31168" xr:uid="{00000000-0005-0000-0000-0000C0790000}"/>
    <cellStyle name="好 3 8" xfId="31169" xr:uid="{00000000-0005-0000-0000-0000C1790000}"/>
    <cellStyle name="好_报关单" xfId="31170" xr:uid="{00000000-0005-0000-0000-0000C2790000}"/>
    <cellStyle name="好_报关单 2" xfId="31171" xr:uid="{00000000-0005-0000-0000-0000C3790000}"/>
    <cellStyle name="好_报关单 3" xfId="31172" xr:uid="{00000000-0005-0000-0000-0000C4790000}"/>
    <cellStyle name="差 2" xfId="31173" xr:uid="{00000000-0005-0000-0000-0000C5790000}"/>
    <cellStyle name="差 2 10" xfId="31174" xr:uid="{00000000-0005-0000-0000-0000C6790000}"/>
    <cellStyle name="差 2 11" xfId="31175" xr:uid="{00000000-0005-0000-0000-0000C7790000}"/>
    <cellStyle name="差 2 2" xfId="31176" xr:uid="{00000000-0005-0000-0000-0000C8790000}"/>
    <cellStyle name="差 2 2 10" xfId="31177" xr:uid="{00000000-0005-0000-0000-0000C9790000}"/>
    <cellStyle name="差 2 2 11" xfId="31178" xr:uid="{00000000-0005-0000-0000-0000CA790000}"/>
    <cellStyle name="差 2 2 2" xfId="31179" xr:uid="{00000000-0005-0000-0000-0000CB790000}"/>
    <cellStyle name="差 2 2 2 2" xfId="31180" xr:uid="{00000000-0005-0000-0000-0000CC790000}"/>
    <cellStyle name="差 2 2 2 2 2" xfId="31181" xr:uid="{00000000-0005-0000-0000-0000CD790000}"/>
    <cellStyle name="差 2 2 2 2 2 2" xfId="31182" xr:uid="{00000000-0005-0000-0000-0000CE790000}"/>
    <cellStyle name="差 2 2 2 2 2 3" xfId="31183" xr:uid="{00000000-0005-0000-0000-0000CF790000}"/>
    <cellStyle name="差 2 2 2 2 2 3 2" xfId="31184" xr:uid="{00000000-0005-0000-0000-0000D0790000}"/>
    <cellStyle name="差 2 2 2 2 2 3 2 2" xfId="31185" xr:uid="{00000000-0005-0000-0000-0000D1790000}"/>
    <cellStyle name="差 2 2 2 2 2 4" xfId="31186" xr:uid="{00000000-0005-0000-0000-0000D2790000}"/>
    <cellStyle name="差 2 2 2 2 2 4 2" xfId="31187" xr:uid="{00000000-0005-0000-0000-0000D3790000}"/>
    <cellStyle name="差 2 2 2 2 3" xfId="31188" xr:uid="{00000000-0005-0000-0000-0000D4790000}"/>
    <cellStyle name="差 2 2 2 2 3 2" xfId="31189" xr:uid="{00000000-0005-0000-0000-0000D5790000}"/>
    <cellStyle name="差 2 2 2 2 3 2 2" xfId="31190" xr:uid="{00000000-0005-0000-0000-0000D6790000}"/>
    <cellStyle name="差 2 2 2 2 3 2 2 2" xfId="31191" xr:uid="{00000000-0005-0000-0000-0000D7790000}"/>
    <cellStyle name="差 2 2 2 2 3 3" xfId="31192" xr:uid="{00000000-0005-0000-0000-0000D8790000}"/>
    <cellStyle name="差 2 2 2 2 3 3 2" xfId="31193" xr:uid="{00000000-0005-0000-0000-0000D9790000}"/>
    <cellStyle name="差 2 2 2 2 4" xfId="31194" xr:uid="{00000000-0005-0000-0000-0000DA790000}"/>
    <cellStyle name="差 2 2 2 2 5" xfId="31195" xr:uid="{00000000-0005-0000-0000-0000DB790000}"/>
    <cellStyle name="差 2 2 2 2 6" xfId="31196" xr:uid="{00000000-0005-0000-0000-0000DC790000}"/>
    <cellStyle name="差 2 2 2 3" xfId="31197" xr:uid="{00000000-0005-0000-0000-0000DD790000}"/>
    <cellStyle name="差 2 2 2 3 2" xfId="31198" xr:uid="{00000000-0005-0000-0000-0000DE790000}"/>
    <cellStyle name="差 2 2 2 3 3" xfId="31199" xr:uid="{00000000-0005-0000-0000-0000DF790000}"/>
    <cellStyle name="差 2 2 2 3 3 2" xfId="31200" xr:uid="{00000000-0005-0000-0000-0000E0790000}"/>
    <cellStyle name="差 2 2 2 3 3 2 2" xfId="31201" xr:uid="{00000000-0005-0000-0000-0000E1790000}"/>
    <cellStyle name="差 2 2 2 3 4" xfId="31202" xr:uid="{00000000-0005-0000-0000-0000E2790000}"/>
    <cellStyle name="差 2 2 2 3 4 2" xfId="31203" xr:uid="{00000000-0005-0000-0000-0000E3790000}"/>
    <cellStyle name="差 2 2 2 4" xfId="31204" xr:uid="{00000000-0005-0000-0000-0000E4790000}"/>
    <cellStyle name="差 2 2 2 4 2" xfId="31205" xr:uid="{00000000-0005-0000-0000-0000E5790000}"/>
    <cellStyle name="差 2 2 2 4 2 2" xfId="31206" xr:uid="{00000000-0005-0000-0000-0000E6790000}"/>
    <cellStyle name="差 2 2 2 4 2 2 2" xfId="31207" xr:uid="{00000000-0005-0000-0000-0000E7790000}"/>
    <cellStyle name="差 2 2 2 4 3" xfId="31208" xr:uid="{00000000-0005-0000-0000-0000E8790000}"/>
    <cellStyle name="差 2 2 2 4 3 2" xfId="31209" xr:uid="{00000000-0005-0000-0000-0000E9790000}"/>
    <cellStyle name="差 2 2 2 5" xfId="31210" xr:uid="{00000000-0005-0000-0000-0000EA790000}"/>
    <cellStyle name="差 2 2 2 6" xfId="31211" xr:uid="{00000000-0005-0000-0000-0000EB790000}"/>
    <cellStyle name="差 2 2 2 7" xfId="31212" xr:uid="{00000000-0005-0000-0000-0000EC790000}"/>
    <cellStyle name="差 2 2 3" xfId="31213" xr:uid="{00000000-0005-0000-0000-0000ED790000}"/>
    <cellStyle name="差 2 2 3 2" xfId="31214" xr:uid="{00000000-0005-0000-0000-0000EE790000}"/>
    <cellStyle name="差 2 2 3 2 2" xfId="31215" xr:uid="{00000000-0005-0000-0000-0000EF790000}"/>
    <cellStyle name="差 2 2 3 2 3" xfId="31216" xr:uid="{00000000-0005-0000-0000-0000F0790000}"/>
    <cellStyle name="差 2 2 3 2 3 2" xfId="31217" xr:uid="{00000000-0005-0000-0000-0000F1790000}"/>
    <cellStyle name="差 2 2 3 2 3 2 2" xfId="31218" xr:uid="{00000000-0005-0000-0000-0000F2790000}"/>
    <cellStyle name="差 2 2 3 2 4" xfId="31219" xr:uid="{00000000-0005-0000-0000-0000F3790000}"/>
    <cellStyle name="差 2 2 3 2 4 2" xfId="31220" xr:uid="{00000000-0005-0000-0000-0000F4790000}"/>
    <cellStyle name="差 2 2 3 3" xfId="31221" xr:uid="{00000000-0005-0000-0000-0000F5790000}"/>
    <cellStyle name="差 2 2 3 3 2" xfId="31222" xr:uid="{00000000-0005-0000-0000-0000F6790000}"/>
    <cellStyle name="差 2 2 3 3 2 2" xfId="31223" xr:uid="{00000000-0005-0000-0000-0000F7790000}"/>
    <cellStyle name="差 2 2 3 3 2 2 2" xfId="31224" xr:uid="{00000000-0005-0000-0000-0000F8790000}"/>
    <cellStyle name="差 2 2 3 3 3" xfId="31225" xr:uid="{00000000-0005-0000-0000-0000F9790000}"/>
    <cellStyle name="差 2 2 3 3 3 2" xfId="31226" xr:uid="{00000000-0005-0000-0000-0000FA790000}"/>
    <cellStyle name="差 2 2 3 4" xfId="31227" xr:uid="{00000000-0005-0000-0000-0000FB790000}"/>
    <cellStyle name="差 2 2 3 5" xfId="31228" xr:uid="{00000000-0005-0000-0000-0000FC790000}"/>
    <cellStyle name="差 2 2 3 6" xfId="31229" xr:uid="{00000000-0005-0000-0000-0000FD790000}"/>
    <cellStyle name="差 2 2 4" xfId="31230" xr:uid="{00000000-0005-0000-0000-0000FE790000}"/>
    <cellStyle name="差 2 2 4 2" xfId="31231" xr:uid="{00000000-0005-0000-0000-0000FF790000}"/>
    <cellStyle name="差 2 2 4 2 2" xfId="31232" xr:uid="{00000000-0005-0000-0000-0000007A0000}"/>
    <cellStyle name="差 2 2 4 2 3" xfId="31233" xr:uid="{00000000-0005-0000-0000-0000017A0000}"/>
    <cellStyle name="差 2 2 4 2 3 2" xfId="31234" xr:uid="{00000000-0005-0000-0000-0000027A0000}"/>
    <cellStyle name="差 2 2 4 2 3 2 2" xfId="31235" xr:uid="{00000000-0005-0000-0000-0000037A0000}"/>
    <cellStyle name="差 2 2 4 2 4" xfId="31236" xr:uid="{00000000-0005-0000-0000-0000047A0000}"/>
    <cellStyle name="差 2 2 4 2 4 2" xfId="31237" xr:uid="{00000000-0005-0000-0000-0000057A0000}"/>
    <cellStyle name="差 2 2 4 3" xfId="31238" xr:uid="{00000000-0005-0000-0000-0000067A0000}"/>
    <cellStyle name="差 2 2 4 4" xfId="31239" xr:uid="{00000000-0005-0000-0000-0000077A0000}"/>
    <cellStyle name="差 2 2 4 5" xfId="31240" xr:uid="{00000000-0005-0000-0000-0000087A0000}"/>
    <cellStyle name="差 2 2 4 6" xfId="31241" xr:uid="{00000000-0005-0000-0000-0000097A0000}"/>
    <cellStyle name="差 2 2 5" xfId="31242" xr:uid="{00000000-0005-0000-0000-00000A7A0000}"/>
    <cellStyle name="差 2 2 5 2" xfId="31243" xr:uid="{00000000-0005-0000-0000-00000B7A0000}"/>
    <cellStyle name="差 2 2 5 2 2" xfId="31244" xr:uid="{00000000-0005-0000-0000-00000C7A0000}"/>
    <cellStyle name="差 2 2 5 2 2 2" xfId="31245" xr:uid="{00000000-0005-0000-0000-00000D7A0000}"/>
    <cellStyle name="差 2 2 5 2 2 2 2" xfId="31246" xr:uid="{00000000-0005-0000-0000-00000E7A0000}"/>
    <cellStyle name="差 2 2 5 2 3" xfId="31247" xr:uid="{00000000-0005-0000-0000-00000F7A0000}"/>
    <cellStyle name="差 2 2 5 2 3 2" xfId="31248" xr:uid="{00000000-0005-0000-0000-0000107A0000}"/>
    <cellStyle name="差 2 2 5 3" xfId="31249" xr:uid="{00000000-0005-0000-0000-0000117A0000}"/>
    <cellStyle name="差 2 2 5 3 2" xfId="31250" xr:uid="{00000000-0005-0000-0000-0000127A0000}"/>
    <cellStyle name="差 2 2 5 3 2 2" xfId="31251" xr:uid="{00000000-0005-0000-0000-0000137A0000}"/>
    <cellStyle name="差 2 2 5 4" xfId="31252" xr:uid="{00000000-0005-0000-0000-0000147A0000}"/>
    <cellStyle name="差 2 2 5 4 2" xfId="31253" xr:uid="{00000000-0005-0000-0000-0000157A0000}"/>
    <cellStyle name="差 2 2 6" xfId="31254" xr:uid="{00000000-0005-0000-0000-0000167A0000}"/>
    <cellStyle name="差 2 2 6 2" xfId="31255" xr:uid="{00000000-0005-0000-0000-0000177A0000}"/>
    <cellStyle name="差 2 2 6 2 2" xfId="31256" xr:uid="{00000000-0005-0000-0000-0000187A0000}"/>
    <cellStyle name="差 2 2 6 2 2 2" xfId="31257" xr:uid="{00000000-0005-0000-0000-0000197A0000}"/>
    <cellStyle name="差 2 2 6 2 2 2 2" xfId="31258" xr:uid="{00000000-0005-0000-0000-00001A7A0000}"/>
    <cellStyle name="差 2 2 6 2 3" xfId="31259" xr:uid="{00000000-0005-0000-0000-00001B7A0000}"/>
    <cellStyle name="差 2 2 6 2 3 2" xfId="31260" xr:uid="{00000000-0005-0000-0000-00001C7A0000}"/>
    <cellStyle name="差 2 2 6 3" xfId="31261" xr:uid="{00000000-0005-0000-0000-00001D7A0000}"/>
    <cellStyle name="差 2 2 6 3 2" xfId="31262" xr:uid="{00000000-0005-0000-0000-00001E7A0000}"/>
    <cellStyle name="差 2 2 6 3 2 2" xfId="31263" xr:uid="{00000000-0005-0000-0000-00001F7A0000}"/>
    <cellStyle name="差 2 2 6 4" xfId="31264" xr:uid="{00000000-0005-0000-0000-0000207A0000}"/>
    <cellStyle name="差 2 2 6 4 2" xfId="31265" xr:uid="{00000000-0005-0000-0000-0000217A0000}"/>
    <cellStyle name="差 2 2 7" xfId="31266" xr:uid="{00000000-0005-0000-0000-0000227A0000}"/>
    <cellStyle name="差 2 2 7 2" xfId="31267" xr:uid="{00000000-0005-0000-0000-0000237A0000}"/>
    <cellStyle name="差 2 2 7 2 2" xfId="31268" xr:uid="{00000000-0005-0000-0000-0000247A0000}"/>
    <cellStyle name="差 2 2 7 2 2 2" xfId="31269" xr:uid="{00000000-0005-0000-0000-0000257A0000}"/>
    <cellStyle name="差 2 2 7 2 2 2 2" xfId="31270" xr:uid="{00000000-0005-0000-0000-0000267A0000}"/>
    <cellStyle name="差 2 2 7 2 3" xfId="31271" xr:uid="{00000000-0005-0000-0000-0000277A0000}"/>
    <cellStyle name="差 2 2 7 2 3 2" xfId="31272" xr:uid="{00000000-0005-0000-0000-0000287A0000}"/>
    <cellStyle name="差 2 2 7 3" xfId="31273" xr:uid="{00000000-0005-0000-0000-0000297A0000}"/>
    <cellStyle name="差 2 2 7 3 2" xfId="31274" xr:uid="{00000000-0005-0000-0000-00002A7A0000}"/>
    <cellStyle name="差 2 2 7 3 2 2" xfId="31275" xr:uid="{00000000-0005-0000-0000-00002B7A0000}"/>
    <cellStyle name="差 2 2 7 4" xfId="31276" xr:uid="{00000000-0005-0000-0000-00002C7A0000}"/>
    <cellStyle name="差 2 2 7 4 2" xfId="31277" xr:uid="{00000000-0005-0000-0000-00002D7A0000}"/>
    <cellStyle name="差 2 2 8" xfId="31278" xr:uid="{00000000-0005-0000-0000-00002E7A0000}"/>
    <cellStyle name="差 2 2 8 2" xfId="31279" xr:uid="{00000000-0005-0000-0000-00002F7A0000}"/>
    <cellStyle name="差 2 2 8 2 2" xfId="31280" xr:uid="{00000000-0005-0000-0000-0000307A0000}"/>
    <cellStyle name="差 2 2 8 2 2 2" xfId="31281" xr:uid="{00000000-0005-0000-0000-0000317A0000}"/>
    <cellStyle name="差 2 2 8 3" xfId="31282" xr:uid="{00000000-0005-0000-0000-0000327A0000}"/>
    <cellStyle name="差 2 2 8 3 2" xfId="31283" xr:uid="{00000000-0005-0000-0000-0000337A0000}"/>
    <cellStyle name="差 2 2 9" xfId="31284" xr:uid="{00000000-0005-0000-0000-0000347A0000}"/>
    <cellStyle name="差 2 2 9 2" xfId="31285" xr:uid="{00000000-0005-0000-0000-0000357A0000}"/>
    <cellStyle name="差 2 2 9 2 2" xfId="31286" xr:uid="{00000000-0005-0000-0000-0000367A0000}"/>
    <cellStyle name="差 2 2 9 2 2 2" xfId="31287" xr:uid="{00000000-0005-0000-0000-0000377A0000}"/>
    <cellStyle name="差 2 2 9 3" xfId="31288" xr:uid="{00000000-0005-0000-0000-0000387A0000}"/>
    <cellStyle name="差 2 2 9 3 2" xfId="31289" xr:uid="{00000000-0005-0000-0000-0000397A0000}"/>
    <cellStyle name="差 2 3" xfId="31290" xr:uid="{00000000-0005-0000-0000-00003A7A0000}"/>
    <cellStyle name="差 2 3 2" xfId="31291" xr:uid="{00000000-0005-0000-0000-00003B7A0000}"/>
    <cellStyle name="差 2 3 2 2" xfId="31292" xr:uid="{00000000-0005-0000-0000-00003C7A0000}"/>
    <cellStyle name="差 2 3 2 2 2" xfId="31293" xr:uid="{00000000-0005-0000-0000-00003D7A0000}"/>
    <cellStyle name="差 2 3 2 2 2 2" xfId="31294" xr:uid="{00000000-0005-0000-0000-00003E7A0000}"/>
    <cellStyle name="差 2 3 2 2 2 3" xfId="31295" xr:uid="{00000000-0005-0000-0000-00003F7A0000}"/>
    <cellStyle name="差 2 3 2 2 2 3 2" xfId="31296" xr:uid="{00000000-0005-0000-0000-0000407A0000}"/>
    <cellStyle name="差 2 3 2 2 2 3 2 2" xfId="31297" xr:uid="{00000000-0005-0000-0000-0000417A0000}"/>
    <cellStyle name="差 2 3 2 2 2 4" xfId="31298" xr:uid="{00000000-0005-0000-0000-0000427A0000}"/>
    <cellStyle name="差 2 3 2 2 2 4 2" xfId="31299" xr:uid="{00000000-0005-0000-0000-0000437A0000}"/>
    <cellStyle name="差 2 3 2 2 3" xfId="31300" xr:uid="{00000000-0005-0000-0000-0000447A0000}"/>
    <cellStyle name="差 2 3 2 2 3 2" xfId="31301" xr:uid="{00000000-0005-0000-0000-0000457A0000}"/>
    <cellStyle name="差 2 3 2 2 3 2 2" xfId="31302" xr:uid="{00000000-0005-0000-0000-0000467A0000}"/>
    <cellStyle name="差 2 3 2 2 3 2 2 2" xfId="31303" xr:uid="{00000000-0005-0000-0000-0000477A0000}"/>
    <cellStyle name="差 2 3 2 2 3 3" xfId="31304" xr:uid="{00000000-0005-0000-0000-0000487A0000}"/>
    <cellStyle name="差 2 3 2 2 3 3 2" xfId="31305" xr:uid="{00000000-0005-0000-0000-0000497A0000}"/>
    <cellStyle name="差 2 3 2 2 4" xfId="31306" xr:uid="{00000000-0005-0000-0000-00004A7A0000}"/>
    <cellStyle name="差 2 3 2 2 5" xfId="31307" xr:uid="{00000000-0005-0000-0000-00004B7A0000}"/>
    <cellStyle name="差 2 3 2 2 6" xfId="31308" xr:uid="{00000000-0005-0000-0000-00004C7A0000}"/>
    <cellStyle name="差 2 3 2 3" xfId="31309" xr:uid="{00000000-0005-0000-0000-00004D7A0000}"/>
    <cellStyle name="差 2 3 2 3 2" xfId="31310" xr:uid="{00000000-0005-0000-0000-00004E7A0000}"/>
    <cellStyle name="差 2 3 2 3 3" xfId="31311" xr:uid="{00000000-0005-0000-0000-00004F7A0000}"/>
    <cellStyle name="差 2 3 2 3 3 2" xfId="31312" xr:uid="{00000000-0005-0000-0000-0000507A0000}"/>
    <cellStyle name="差 2 3 2 3 3 2 2" xfId="31313" xr:uid="{00000000-0005-0000-0000-0000517A0000}"/>
    <cellStyle name="差 2 3 2 3 4" xfId="31314" xr:uid="{00000000-0005-0000-0000-0000527A0000}"/>
    <cellStyle name="差 2 3 2 3 4 2" xfId="31315" xr:uid="{00000000-0005-0000-0000-0000537A0000}"/>
    <cellStyle name="差 2 3 2 4" xfId="31316" xr:uid="{00000000-0005-0000-0000-0000547A0000}"/>
    <cellStyle name="差 2 3 2 4 2" xfId="31317" xr:uid="{00000000-0005-0000-0000-0000557A0000}"/>
    <cellStyle name="差 2 3 2 4 2 2" xfId="31318" xr:uid="{00000000-0005-0000-0000-0000567A0000}"/>
    <cellStyle name="差 2 3 2 4 2 2 2" xfId="31319" xr:uid="{00000000-0005-0000-0000-0000577A0000}"/>
    <cellStyle name="差 2 3 2 4 3" xfId="31320" xr:uid="{00000000-0005-0000-0000-0000587A0000}"/>
    <cellStyle name="差 2 3 2 4 3 2" xfId="31321" xr:uid="{00000000-0005-0000-0000-0000597A0000}"/>
    <cellStyle name="差 2 3 2 5" xfId="31322" xr:uid="{00000000-0005-0000-0000-00005A7A0000}"/>
    <cellStyle name="差 2 3 2 6" xfId="31323" xr:uid="{00000000-0005-0000-0000-00005B7A0000}"/>
    <cellStyle name="差 2 3 2 7" xfId="31324" xr:uid="{00000000-0005-0000-0000-00005C7A0000}"/>
    <cellStyle name="差 2 3 3" xfId="31325" xr:uid="{00000000-0005-0000-0000-00005D7A0000}"/>
    <cellStyle name="差 2 3 3 2" xfId="31326" xr:uid="{00000000-0005-0000-0000-00005E7A0000}"/>
    <cellStyle name="差 2 3 3 2 2" xfId="31327" xr:uid="{00000000-0005-0000-0000-00005F7A0000}"/>
    <cellStyle name="差 2 3 3 2 3" xfId="31328" xr:uid="{00000000-0005-0000-0000-0000607A0000}"/>
    <cellStyle name="差 2 3 3 2 3 2" xfId="31329" xr:uid="{00000000-0005-0000-0000-0000617A0000}"/>
    <cellStyle name="差 2 3 3 2 3 2 2" xfId="31330" xr:uid="{00000000-0005-0000-0000-0000627A0000}"/>
    <cellStyle name="差 2 3 3 2 4" xfId="31331" xr:uid="{00000000-0005-0000-0000-0000637A0000}"/>
    <cellStyle name="差 2 3 3 2 4 2" xfId="31332" xr:uid="{00000000-0005-0000-0000-0000647A0000}"/>
    <cellStyle name="差 2 3 3 3" xfId="31333" xr:uid="{00000000-0005-0000-0000-0000657A0000}"/>
    <cellStyle name="差 2 3 3 3 2" xfId="31334" xr:uid="{00000000-0005-0000-0000-0000667A0000}"/>
    <cellStyle name="差 2 3 3 3 2 2" xfId="31335" xr:uid="{00000000-0005-0000-0000-0000677A0000}"/>
    <cellStyle name="差 2 3 3 3 2 2 2" xfId="31336" xr:uid="{00000000-0005-0000-0000-0000687A0000}"/>
    <cellStyle name="差 2 3 3 3 3" xfId="31337" xr:uid="{00000000-0005-0000-0000-0000697A0000}"/>
    <cellStyle name="差 2 3 3 3 3 2" xfId="31338" xr:uid="{00000000-0005-0000-0000-00006A7A0000}"/>
    <cellStyle name="差 2 3 3 4" xfId="31339" xr:uid="{00000000-0005-0000-0000-00006B7A0000}"/>
    <cellStyle name="差 2 3 3 5" xfId="31340" xr:uid="{00000000-0005-0000-0000-00006C7A0000}"/>
    <cellStyle name="差 2 3 3 6" xfId="31341" xr:uid="{00000000-0005-0000-0000-00006D7A0000}"/>
    <cellStyle name="差 2 3 4" xfId="31342" xr:uid="{00000000-0005-0000-0000-00006E7A0000}"/>
    <cellStyle name="差 2 3 4 2" xfId="31343" xr:uid="{00000000-0005-0000-0000-00006F7A0000}"/>
    <cellStyle name="差 2 3 4 2 2" xfId="31344" xr:uid="{00000000-0005-0000-0000-0000707A0000}"/>
    <cellStyle name="差 2 3 4 2 3" xfId="31345" xr:uid="{00000000-0005-0000-0000-0000717A0000}"/>
    <cellStyle name="差 2 3 4 2 3 2" xfId="31346" xr:uid="{00000000-0005-0000-0000-0000727A0000}"/>
    <cellStyle name="差 2 3 4 2 3 2 2" xfId="31347" xr:uid="{00000000-0005-0000-0000-0000737A0000}"/>
    <cellStyle name="差 2 3 4 2 4" xfId="31348" xr:uid="{00000000-0005-0000-0000-0000747A0000}"/>
    <cellStyle name="差 2 3 4 2 4 2" xfId="31349" xr:uid="{00000000-0005-0000-0000-0000757A0000}"/>
    <cellStyle name="差 2 3 4 3" xfId="31350" xr:uid="{00000000-0005-0000-0000-0000767A0000}"/>
    <cellStyle name="差 2 3 4 4" xfId="31351" xr:uid="{00000000-0005-0000-0000-0000777A0000}"/>
    <cellStyle name="差 2 3 4 5" xfId="31352" xr:uid="{00000000-0005-0000-0000-0000787A0000}"/>
    <cellStyle name="差 2 3 4 6" xfId="31353" xr:uid="{00000000-0005-0000-0000-0000797A0000}"/>
    <cellStyle name="差 2 3 5" xfId="31354" xr:uid="{00000000-0005-0000-0000-00007A7A0000}"/>
    <cellStyle name="差 2 3 5 2" xfId="31355" xr:uid="{00000000-0005-0000-0000-00007B7A0000}"/>
    <cellStyle name="差 2 3 5 2 2" xfId="31356" xr:uid="{00000000-0005-0000-0000-00007C7A0000}"/>
    <cellStyle name="差 2 3 5 2 2 2" xfId="31357" xr:uid="{00000000-0005-0000-0000-00007D7A0000}"/>
    <cellStyle name="差 2 3 5 2 2 2 2" xfId="31358" xr:uid="{00000000-0005-0000-0000-00007E7A0000}"/>
    <cellStyle name="差 2 3 5 2 3" xfId="31359" xr:uid="{00000000-0005-0000-0000-00007F7A0000}"/>
    <cellStyle name="差 2 3 5 2 3 2" xfId="31360" xr:uid="{00000000-0005-0000-0000-0000807A0000}"/>
    <cellStyle name="差 2 3 5 3" xfId="31361" xr:uid="{00000000-0005-0000-0000-0000817A0000}"/>
    <cellStyle name="差 2 3 5 3 2" xfId="31362" xr:uid="{00000000-0005-0000-0000-0000827A0000}"/>
    <cellStyle name="差 2 3 5 3 2 2" xfId="31363" xr:uid="{00000000-0005-0000-0000-0000837A0000}"/>
    <cellStyle name="差 2 3 5 4" xfId="31364" xr:uid="{00000000-0005-0000-0000-0000847A0000}"/>
    <cellStyle name="差 2 3 5 4 2" xfId="31365" xr:uid="{00000000-0005-0000-0000-0000857A0000}"/>
    <cellStyle name="差 2 3 6" xfId="31366" xr:uid="{00000000-0005-0000-0000-0000867A0000}"/>
    <cellStyle name="差 2 3 6 2" xfId="31367" xr:uid="{00000000-0005-0000-0000-0000877A0000}"/>
    <cellStyle name="差 2 3 6 2 2" xfId="31368" xr:uid="{00000000-0005-0000-0000-0000887A0000}"/>
    <cellStyle name="差 2 3 6 2 2 2" xfId="31369" xr:uid="{00000000-0005-0000-0000-0000897A0000}"/>
    <cellStyle name="差 2 3 6 3" xfId="31370" xr:uid="{00000000-0005-0000-0000-00008A7A0000}"/>
    <cellStyle name="差 2 3 6 3 2" xfId="31371" xr:uid="{00000000-0005-0000-0000-00008B7A0000}"/>
    <cellStyle name="差 2 3 7" xfId="31372" xr:uid="{00000000-0005-0000-0000-00008C7A0000}"/>
    <cellStyle name="差 2 3 7 2" xfId="31373" xr:uid="{00000000-0005-0000-0000-00008D7A0000}"/>
    <cellStyle name="差 2 3 7 2 2" xfId="31374" xr:uid="{00000000-0005-0000-0000-00008E7A0000}"/>
    <cellStyle name="差 2 3 7 2 2 2" xfId="31375" xr:uid="{00000000-0005-0000-0000-00008F7A0000}"/>
    <cellStyle name="差 2 3 7 3" xfId="31376" xr:uid="{00000000-0005-0000-0000-0000907A0000}"/>
    <cellStyle name="差 2 3 7 3 2" xfId="31377" xr:uid="{00000000-0005-0000-0000-0000917A0000}"/>
    <cellStyle name="差 2 3 8" xfId="31378" xr:uid="{00000000-0005-0000-0000-0000927A0000}"/>
    <cellStyle name="差 2 3 9" xfId="31379" xr:uid="{00000000-0005-0000-0000-0000937A0000}"/>
    <cellStyle name="差 2 4" xfId="31380" xr:uid="{00000000-0005-0000-0000-0000947A0000}"/>
    <cellStyle name="差 2 4 2" xfId="31381" xr:uid="{00000000-0005-0000-0000-0000957A0000}"/>
    <cellStyle name="差 2 4 2 2" xfId="31382" xr:uid="{00000000-0005-0000-0000-0000967A0000}"/>
    <cellStyle name="差 2 4 2 3" xfId="31383" xr:uid="{00000000-0005-0000-0000-0000977A0000}"/>
    <cellStyle name="差 2 4 2 3 2" xfId="31384" xr:uid="{00000000-0005-0000-0000-0000987A0000}"/>
    <cellStyle name="差 2 4 2 3 2 2" xfId="31385" xr:uid="{00000000-0005-0000-0000-0000997A0000}"/>
    <cellStyle name="差 2 4 2 4" xfId="31386" xr:uid="{00000000-0005-0000-0000-00009A7A0000}"/>
    <cellStyle name="差 2 4 2 4 2" xfId="31387" xr:uid="{00000000-0005-0000-0000-00009B7A0000}"/>
    <cellStyle name="差 2 4 3" xfId="31388" xr:uid="{00000000-0005-0000-0000-00009C7A0000}"/>
    <cellStyle name="差 2 4 3 2" xfId="31389" xr:uid="{00000000-0005-0000-0000-00009D7A0000}"/>
    <cellStyle name="差 2 4 3 2 2" xfId="31390" xr:uid="{00000000-0005-0000-0000-00009E7A0000}"/>
    <cellStyle name="差 2 4 3 2 2 2" xfId="31391" xr:uid="{00000000-0005-0000-0000-00009F7A0000}"/>
    <cellStyle name="差 2 4 3 3" xfId="31392" xr:uid="{00000000-0005-0000-0000-0000A07A0000}"/>
    <cellStyle name="差 2 4 3 3 2" xfId="31393" xr:uid="{00000000-0005-0000-0000-0000A17A0000}"/>
    <cellStyle name="差 2 4 4" xfId="31394" xr:uid="{00000000-0005-0000-0000-0000A27A0000}"/>
    <cellStyle name="差 2 4 5" xfId="31395" xr:uid="{00000000-0005-0000-0000-0000A37A0000}"/>
    <cellStyle name="差 2 4 6" xfId="31396" xr:uid="{00000000-0005-0000-0000-0000A47A0000}"/>
    <cellStyle name="差 2 5" xfId="31397" xr:uid="{00000000-0005-0000-0000-0000A57A0000}"/>
    <cellStyle name="差 2 5 2" xfId="31398" xr:uid="{00000000-0005-0000-0000-0000A67A0000}"/>
    <cellStyle name="差 2 5 2 2" xfId="31399" xr:uid="{00000000-0005-0000-0000-0000A77A0000}"/>
    <cellStyle name="差 2 5 2 3" xfId="31400" xr:uid="{00000000-0005-0000-0000-0000A87A0000}"/>
    <cellStyle name="差 2 5 2 3 2" xfId="31401" xr:uid="{00000000-0005-0000-0000-0000A97A0000}"/>
    <cellStyle name="差 2 5 2 3 2 2" xfId="31402" xr:uid="{00000000-0005-0000-0000-0000AA7A0000}"/>
    <cellStyle name="差 2 5 2 4" xfId="31403" xr:uid="{00000000-0005-0000-0000-0000AB7A0000}"/>
    <cellStyle name="差 2 5 2 4 2" xfId="31404" xr:uid="{00000000-0005-0000-0000-0000AC7A0000}"/>
    <cellStyle name="差 2 5 3" xfId="31405" xr:uid="{00000000-0005-0000-0000-0000AD7A0000}"/>
    <cellStyle name="差 2 5 4" xfId="31406" xr:uid="{00000000-0005-0000-0000-0000AE7A0000}"/>
    <cellStyle name="差 2 5 5" xfId="31407" xr:uid="{00000000-0005-0000-0000-0000AF7A0000}"/>
    <cellStyle name="差 2 5 6" xfId="31408" xr:uid="{00000000-0005-0000-0000-0000B07A0000}"/>
    <cellStyle name="差 2 6" xfId="31409" xr:uid="{00000000-0005-0000-0000-0000B17A0000}"/>
    <cellStyle name="差 2 6 2" xfId="31410" xr:uid="{00000000-0005-0000-0000-0000B27A0000}"/>
    <cellStyle name="差 2 6 2 2" xfId="31411" xr:uid="{00000000-0005-0000-0000-0000B37A0000}"/>
    <cellStyle name="差 2 6 2 2 2" xfId="31412" xr:uid="{00000000-0005-0000-0000-0000B47A0000}"/>
    <cellStyle name="差 2 6 2 2 2 2" xfId="31413" xr:uid="{00000000-0005-0000-0000-0000B57A0000}"/>
    <cellStyle name="差 2 6 2 3" xfId="31414" xr:uid="{00000000-0005-0000-0000-0000B67A0000}"/>
    <cellStyle name="差 2 6 2 3 2" xfId="31415" xr:uid="{00000000-0005-0000-0000-0000B77A0000}"/>
    <cellStyle name="差 2 6 3" xfId="31416" xr:uid="{00000000-0005-0000-0000-0000B87A0000}"/>
    <cellStyle name="差 2 6 3 2" xfId="31417" xr:uid="{00000000-0005-0000-0000-0000B97A0000}"/>
    <cellStyle name="差 2 6 3 2 2" xfId="31418" xr:uid="{00000000-0005-0000-0000-0000BA7A0000}"/>
    <cellStyle name="差 2 6 4" xfId="31419" xr:uid="{00000000-0005-0000-0000-0000BB7A0000}"/>
    <cellStyle name="差 2 6 4 2" xfId="31420" xr:uid="{00000000-0005-0000-0000-0000BC7A0000}"/>
    <cellStyle name="差 2 7" xfId="31421" xr:uid="{00000000-0005-0000-0000-0000BD7A0000}"/>
    <cellStyle name="差 2 7 2" xfId="31422" xr:uid="{00000000-0005-0000-0000-0000BE7A0000}"/>
    <cellStyle name="差 2 7 2 2" xfId="31423" xr:uid="{00000000-0005-0000-0000-0000BF7A0000}"/>
    <cellStyle name="差 2 7 2 2 2" xfId="31424" xr:uid="{00000000-0005-0000-0000-0000C07A0000}"/>
    <cellStyle name="差 2 7 2 2 2 2" xfId="31425" xr:uid="{00000000-0005-0000-0000-0000C17A0000}"/>
    <cellStyle name="差 2 7 2 3" xfId="31426" xr:uid="{00000000-0005-0000-0000-0000C27A0000}"/>
    <cellStyle name="差 2 7 2 3 2" xfId="31427" xr:uid="{00000000-0005-0000-0000-0000C37A0000}"/>
    <cellStyle name="差 2 7 3" xfId="31428" xr:uid="{00000000-0005-0000-0000-0000C47A0000}"/>
    <cellStyle name="差 2 7 3 2" xfId="31429" xr:uid="{00000000-0005-0000-0000-0000C57A0000}"/>
    <cellStyle name="差 2 7 3 2 2" xfId="31430" xr:uid="{00000000-0005-0000-0000-0000C67A0000}"/>
    <cellStyle name="差 2 7 4" xfId="31431" xr:uid="{00000000-0005-0000-0000-0000C77A0000}"/>
    <cellStyle name="差 2 7 4 2" xfId="31432" xr:uid="{00000000-0005-0000-0000-0000C87A0000}"/>
    <cellStyle name="差 2 8" xfId="31433" xr:uid="{00000000-0005-0000-0000-0000C97A0000}"/>
    <cellStyle name="差 2 8 2" xfId="31434" xr:uid="{00000000-0005-0000-0000-0000CA7A0000}"/>
    <cellStyle name="差 2 8 2 2" xfId="31435" xr:uid="{00000000-0005-0000-0000-0000CB7A0000}"/>
    <cellStyle name="差 2 8 2 2 2" xfId="31436" xr:uid="{00000000-0005-0000-0000-0000CC7A0000}"/>
    <cellStyle name="差 2 8 2 2 2 2" xfId="31437" xr:uid="{00000000-0005-0000-0000-0000CD7A0000}"/>
    <cellStyle name="差 2 8 2 3" xfId="31438" xr:uid="{00000000-0005-0000-0000-0000CE7A0000}"/>
    <cellStyle name="差 2 8 2 3 2" xfId="31439" xr:uid="{00000000-0005-0000-0000-0000CF7A0000}"/>
    <cellStyle name="差 2 8 3" xfId="31440" xr:uid="{00000000-0005-0000-0000-0000D07A0000}"/>
    <cellStyle name="差 2 8 3 2" xfId="31441" xr:uid="{00000000-0005-0000-0000-0000D17A0000}"/>
    <cellStyle name="差 2 8 3 2 2" xfId="31442" xr:uid="{00000000-0005-0000-0000-0000D27A0000}"/>
    <cellStyle name="差 2 8 4" xfId="31443" xr:uid="{00000000-0005-0000-0000-0000D37A0000}"/>
    <cellStyle name="差 2 8 4 2" xfId="31444" xr:uid="{00000000-0005-0000-0000-0000D47A0000}"/>
    <cellStyle name="差 2 9" xfId="31445" xr:uid="{00000000-0005-0000-0000-0000D57A0000}"/>
    <cellStyle name="差 2 9 2" xfId="31446" xr:uid="{00000000-0005-0000-0000-0000D67A0000}"/>
    <cellStyle name="差 2 9 2 2" xfId="31447" xr:uid="{00000000-0005-0000-0000-0000D77A0000}"/>
    <cellStyle name="差 2 9 2 2 2" xfId="31448" xr:uid="{00000000-0005-0000-0000-0000D87A0000}"/>
    <cellStyle name="差 2 9 3" xfId="31449" xr:uid="{00000000-0005-0000-0000-0000D97A0000}"/>
    <cellStyle name="差 2 9 3 2" xfId="31450" xr:uid="{00000000-0005-0000-0000-0000DA7A0000}"/>
    <cellStyle name="差 3" xfId="31451" xr:uid="{00000000-0005-0000-0000-0000DB7A0000}"/>
    <cellStyle name="差 3 2" xfId="31452" xr:uid="{00000000-0005-0000-0000-0000DC7A0000}"/>
    <cellStyle name="差 3 2 2" xfId="31453" xr:uid="{00000000-0005-0000-0000-0000DD7A0000}"/>
    <cellStyle name="差 3 2 2 2" xfId="31454" xr:uid="{00000000-0005-0000-0000-0000DE7A0000}"/>
    <cellStyle name="差 3 2 2 2 2" xfId="31455" xr:uid="{00000000-0005-0000-0000-0000DF7A0000}"/>
    <cellStyle name="差 3 2 2 2 3" xfId="31456" xr:uid="{00000000-0005-0000-0000-0000E07A0000}"/>
    <cellStyle name="差 3 2 2 2 3 2" xfId="31457" xr:uid="{00000000-0005-0000-0000-0000E17A0000}"/>
    <cellStyle name="差 3 2 2 2 3 2 2" xfId="31458" xr:uid="{00000000-0005-0000-0000-0000E27A0000}"/>
    <cellStyle name="差 3 2 2 2 4" xfId="31459" xr:uid="{00000000-0005-0000-0000-0000E37A0000}"/>
    <cellStyle name="差 3 2 2 2 4 2" xfId="31460" xr:uid="{00000000-0005-0000-0000-0000E47A0000}"/>
    <cellStyle name="差 3 2 2 3" xfId="31461" xr:uid="{00000000-0005-0000-0000-0000E57A0000}"/>
    <cellStyle name="差 3 2 2 3 2" xfId="31462" xr:uid="{00000000-0005-0000-0000-0000E67A0000}"/>
    <cellStyle name="差 3 2 2 3 2 2" xfId="31463" xr:uid="{00000000-0005-0000-0000-0000E77A0000}"/>
    <cellStyle name="差 3 2 2 3 2 2 2" xfId="31464" xr:uid="{00000000-0005-0000-0000-0000E87A0000}"/>
    <cellStyle name="差 3 2 2 3 3" xfId="31465" xr:uid="{00000000-0005-0000-0000-0000E97A0000}"/>
    <cellStyle name="差 3 2 2 3 3 2" xfId="31466" xr:uid="{00000000-0005-0000-0000-0000EA7A0000}"/>
    <cellStyle name="差 3 2 2 4" xfId="31467" xr:uid="{00000000-0005-0000-0000-0000EB7A0000}"/>
    <cellStyle name="差 3 2 2 5" xfId="31468" xr:uid="{00000000-0005-0000-0000-0000EC7A0000}"/>
    <cellStyle name="差 3 2 2 6" xfId="31469" xr:uid="{00000000-0005-0000-0000-0000ED7A0000}"/>
    <cellStyle name="差 3 2 3" xfId="31470" xr:uid="{00000000-0005-0000-0000-0000EE7A0000}"/>
    <cellStyle name="差 3 2 3 2" xfId="31471" xr:uid="{00000000-0005-0000-0000-0000EF7A0000}"/>
    <cellStyle name="差 3 2 3 3" xfId="31472" xr:uid="{00000000-0005-0000-0000-0000F07A0000}"/>
    <cellStyle name="差 3 2 3 3 2" xfId="31473" xr:uid="{00000000-0005-0000-0000-0000F17A0000}"/>
    <cellStyle name="差 3 2 3 3 2 2" xfId="31474" xr:uid="{00000000-0005-0000-0000-0000F27A0000}"/>
    <cellStyle name="差 3 2 3 4" xfId="31475" xr:uid="{00000000-0005-0000-0000-0000F37A0000}"/>
    <cellStyle name="差 3 2 3 4 2" xfId="31476" xr:uid="{00000000-0005-0000-0000-0000F47A0000}"/>
    <cellStyle name="差 3 2 4" xfId="31477" xr:uid="{00000000-0005-0000-0000-0000F57A0000}"/>
    <cellStyle name="差 3 2 4 2" xfId="31478" xr:uid="{00000000-0005-0000-0000-0000F67A0000}"/>
    <cellStyle name="差 3 2 4 2 2" xfId="31479" xr:uid="{00000000-0005-0000-0000-0000F77A0000}"/>
    <cellStyle name="差 3 2 4 2 2 2" xfId="31480" xr:uid="{00000000-0005-0000-0000-0000F87A0000}"/>
    <cellStyle name="差 3 2 4 3" xfId="31481" xr:uid="{00000000-0005-0000-0000-0000F97A0000}"/>
    <cellStyle name="差 3 2 4 3 2" xfId="31482" xr:uid="{00000000-0005-0000-0000-0000FA7A0000}"/>
    <cellStyle name="差 3 2 5" xfId="31483" xr:uid="{00000000-0005-0000-0000-0000FB7A0000}"/>
    <cellStyle name="差 3 2 6" xfId="31484" xr:uid="{00000000-0005-0000-0000-0000FC7A0000}"/>
    <cellStyle name="差 3 2 7" xfId="31485" xr:uid="{00000000-0005-0000-0000-0000FD7A0000}"/>
    <cellStyle name="差 3 3" xfId="31486" xr:uid="{00000000-0005-0000-0000-0000FE7A0000}"/>
    <cellStyle name="差 3 3 2" xfId="31487" xr:uid="{00000000-0005-0000-0000-0000FF7A0000}"/>
    <cellStyle name="差 3 3 2 2" xfId="31488" xr:uid="{00000000-0005-0000-0000-0000007B0000}"/>
    <cellStyle name="差 3 3 2 3" xfId="31489" xr:uid="{00000000-0005-0000-0000-0000017B0000}"/>
    <cellStyle name="差 3 3 2 3 2" xfId="31490" xr:uid="{00000000-0005-0000-0000-0000027B0000}"/>
    <cellStyle name="差 3 3 2 3 2 2" xfId="31491" xr:uid="{00000000-0005-0000-0000-0000037B0000}"/>
    <cellStyle name="差 3 3 2 4" xfId="31492" xr:uid="{00000000-0005-0000-0000-0000047B0000}"/>
    <cellStyle name="差 3 3 2 4 2" xfId="31493" xr:uid="{00000000-0005-0000-0000-0000057B0000}"/>
    <cellStyle name="差 3 3 3" xfId="31494" xr:uid="{00000000-0005-0000-0000-0000067B0000}"/>
    <cellStyle name="差 3 3 3 2" xfId="31495" xr:uid="{00000000-0005-0000-0000-0000077B0000}"/>
    <cellStyle name="差 3 3 3 2 2" xfId="31496" xr:uid="{00000000-0005-0000-0000-0000087B0000}"/>
    <cellStyle name="差 3 3 3 2 2 2" xfId="31497" xr:uid="{00000000-0005-0000-0000-0000097B0000}"/>
    <cellStyle name="差 3 3 3 3" xfId="31498" xr:uid="{00000000-0005-0000-0000-00000A7B0000}"/>
    <cellStyle name="差 3 3 3 3 2" xfId="31499" xr:uid="{00000000-0005-0000-0000-00000B7B0000}"/>
    <cellStyle name="差 3 3 4" xfId="31500" xr:uid="{00000000-0005-0000-0000-00000C7B0000}"/>
    <cellStyle name="差 3 3 5" xfId="31501" xr:uid="{00000000-0005-0000-0000-00000D7B0000}"/>
    <cellStyle name="差 3 3 6" xfId="31502" xr:uid="{00000000-0005-0000-0000-00000E7B0000}"/>
    <cellStyle name="差 3 4" xfId="31503" xr:uid="{00000000-0005-0000-0000-00000F7B0000}"/>
    <cellStyle name="差 3 4 2" xfId="31504" xr:uid="{00000000-0005-0000-0000-0000107B0000}"/>
    <cellStyle name="差 3 4 2 2" xfId="31505" xr:uid="{00000000-0005-0000-0000-0000117B0000}"/>
    <cellStyle name="差 3 4 2 3" xfId="31506" xr:uid="{00000000-0005-0000-0000-0000127B0000}"/>
    <cellStyle name="差 3 4 2 3 2" xfId="31507" xr:uid="{00000000-0005-0000-0000-0000137B0000}"/>
    <cellStyle name="差 3 4 2 3 2 2" xfId="31508" xr:uid="{00000000-0005-0000-0000-0000147B0000}"/>
    <cellStyle name="差 3 4 2 4" xfId="31509" xr:uid="{00000000-0005-0000-0000-0000157B0000}"/>
    <cellStyle name="差 3 4 2 4 2" xfId="31510" xr:uid="{00000000-0005-0000-0000-0000167B0000}"/>
    <cellStyle name="差 3 4 3" xfId="31511" xr:uid="{00000000-0005-0000-0000-0000177B0000}"/>
    <cellStyle name="差 3 4 4" xfId="31512" xr:uid="{00000000-0005-0000-0000-0000187B0000}"/>
    <cellStyle name="差 3 4 5" xfId="31513" xr:uid="{00000000-0005-0000-0000-0000197B0000}"/>
    <cellStyle name="差 3 4 6" xfId="31514" xr:uid="{00000000-0005-0000-0000-00001A7B0000}"/>
    <cellStyle name="差 3 5" xfId="31515" xr:uid="{00000000-0005-0000-0000-00001B7B0000}"/>
    <cellStyle name="差 3 5 2" xfId="31516" xr:uid="{00000000-0005-0000-0000-00001C7B0000}"/>
    <cellStyle name="差 3 5 2 2" xfId="31517" xr:uid="{00000000-0005-0000-0000-00001D7B0000}"/>
    <cellStyle name="差 3 5 2 2 2" xfId="31518" xr:uid="{00000000-0005-0000-0000-00001E7B0000}"/>
    <cellStyle name="差 3 5 2 2 2 2" xfId="31519" xr:uid="{00000000-0005-0000-0000-00001F7B0000}"/>
    <cellStyle name="差 3 5 2 3" xfId="31520" xr:uid="{00000000-0005-0000-0000-0000207B0000}"/>
    <cellStyle name="差 3 5 2 3 2" xfId="31521" xr:uid="{00000000-0005-0000-0000-0000217B0000}"/>
    <cellStyle name="差 3 5 3" xfId="31522" xr:uid="{00000000-0005-0000-0000-0000227B0000}"/>
    <cellStyle name="差 3 5 3 2" xfId="31523" xr:uid="{00000000-0005-0000-0000-0000237B0000}"/>
    <cellStyle name="差 3 5 3 2 2" xfId="31524" xr:uid="{00000000-0005-0000-0000-0000247B0000}"/>
    <cellStyle name="差 3 5 4" xfId="31525" xr:uid="{00000000-0005-0000-0000-0000257B0000}"/>
    <cellStyle name="差 3 5 4 2" xfId="31526" xr:uid="{00000000-0005-0000-0000-0000267B0000}"/>
    <cellStyle name="差 3 6" xfId="31527" xr:uid="{00000000-0005-0000-0000-0000277B0000}"/>
    <cellStyle name="差 3 6 2" xfId="31528" xr:uid="{00000000-0005-0000-0000-0000287B0000}"/>
    <cellStyle name="差 3 6 2 2" xfId="31529" xr:uid="{00000000-0005-0000-0000-0000297B0000}"/>
    <cellStyle name="差 3 6 2 2 2" xfId="31530" xr:uid="{00000000-0005-0000-0000-00002A7B0000}"/>
    <cellStyle name="差 3 6 3" xfId="31531" xr:uid="{00000000-0005-0000-0000-00002B7B0000}"/>
    <cellStyle name="差 3 6 3 2" xfId="31532" xr:uid="{00000000-0005-0000-0000-00002C7B0000}"/>
    <cellStyle name="差 3 7" xfId="31533" xr:uid="{00000000-0005-0000-0000-00002D7B0000}"/>
    <cellStyle name="差 3 8" xfId="31534" xr:uid="{00000000-0005-0000-0000-00002E7B0000}"/>
    <cellStyle name="差_报关单" xfId="31535" xr:uid="{00000000-0005-0000-0000-00002F7B0000}"/>
    <cellStyle name="常规 10" xfId="31536" xr:uid="{00000000-0005-0000-0000-0000307B0000}"/>
    <cellStyle name="常规 10 10" xfId="31537" xr:uid="{00000000-0005-0000-0000-0000317B0000}"/>
    <cellStyle name="常规 10 10 2" xfId="31538" xr:uid="{00000000-0005-0000-0000-0000327B0000}"/>
    <cellStyle name="常规 10 10 3" xfId="31539" xr:uid="{00000000-0005-0000-0000-0000337B0000}"/>
    <cellStyle name="常规 10 13" xfId="31540" xr:uid="{00000000-0005-0000-0000-0000347B0000}"/>
    <cellStyle name="常规 10 2" xfId="31541" xr:uid="{00000000-0005-0000-0000-0000357B0000}"/>
    <cellStyle name="常规 10 2 2" xfId="31542" xr:uid="{00000000-0005-0000-0000-0000367B0000}"/>
    <cellStyle name="常规 10 2 2 2" xfId="31543" xr:uid="{00000000-0005-0000-0000-0000377B0000}"/>
    <cellStyle name="常规 10 2 2 2 2" xfId="31544" xr:uid="{00000000-0005-0000-0000-0000387B0000}"/>
    <cellStyle name="常规 10 2 2 2 3" xfId="31545" xr:uid="{00000000-0005-0000-0000-0000397B0000}"/>
    <cellStyle name="常规 10 2 2 2 4" xfId="31546" xr:uid="{00000000-0005-0000-0000-00003A7B0000}"/>
    <cellStyle name="常规 10 2 2 2 5" xfId="31547" xr:uid="{00000000-0005-0000-0000-00003B7B0000}"/>
    <cellStyle name="常规 10 2 2 2 5 2" xfId="31548" xr:uid="{00000000-0005-0000-0000-00003C7B0000}"/>
    <cellStyle name="常规 10 2 2 3" xfId="31549" xr:uid="{00000000-0005-0000-0000-00003D7B0000}"/>
    <cellStyle name="常规 10 2 2 3 2" xfId="31550" xr:uid="{00000000-0005-0000-0000-00003E7B0000}"/>
    <cellStyle name="常规 10 2 2 3 2 2" xfId="31551" xr:uid="{00000000-0005-0000-0000-00003F7B0000}"/>
    <cellStyle name="常规 10 2 2 4" xfId="31552" xr:uid="{00000000-0005-0000-0000-0000407B0000}"/>
    <cellStyle name="常规 10 2 2 4 2" xfId="31553" xr:uid="{00000000-0005-0000-0000-0000417B0000}"/>
    <cellStyle name="常规 10 2 2 4 2 2" xfId="31554" xr:uid="{00000000-0005-0000-0000-0000427B0000}"/>
    <cellStyle name="常规 10 2 2 5" xfId="31555" xr:uid="{00000000-0005-0000-0000-0000437B0000}"/>
    <cellStyle name="常规 10 2 2 5 2" xfId="31556" xr:uid="{00000000-0005-0000-0000-0000447B0000}"/>
    <cellStyle name="常规 10 2 2 5 3" xfId="31557" xr:uid="{00000000-0005-0000-0000-0000457B0000}"/>
    <cellStyle name="常规 10 2 2 6" xfId="31558" xr:uid="{00000000-0005-0000-0000-0000467B0000}"/>
    <cellStyle name="常规 10 2 2 6 2" xfId="31559" xr:uid="{00000000-0005-0000-0000-0000477B0000}"/>
    <cellStyle name="常规 10 2 2 7" xfId="31560" xr:uid="{00000000-0005-0000-0000-0000487B0000}"/>
    <cellStyle name="常规 10 2 3" xfId="31561" xr:uid="{00000000-0005-0000-0000-0000497B0000}"/>
    <cellStyle name="常规 10 2 3 2" xfId="31562" xr:uid="{00000000-0005-0000-0000-00004A7B0000}"/>
    <cellStyle name="常规 10 2 3 2 2" xfId="31563" xr:uid="{00000000-0005-0000-0000-00004B7B0000}"/>
    <cellStyle name="常规 10 2 3 2 3" xfId="31564" xr:uid="{00000000-0005-0000-0000-00004C7B0000}"/>
    <cellStyle name="常规 10 2 3 2 4" xfId="31565" xr:uid="{00000000-0005-0000-0000-00004D7B0000}"/>
    <cellStyle name="常规 10 2 3 3" xfId="31566" xr:uid="{00000000-0005-0000-0000-00004E7B0000}"/>
    <cellStyle name="常规 10 2 3 4" xfId="31567" xr:uid="{00000000-0005-0000-0000-00004F7B0000}"/>
    <cellStyle name="常规 10 2 3 5" xfId="31568" xr:uid="{00000000-0005-0000-0000-0000507B0000}"/>
    <cellStyle name="常规 10 2 3 6" xfId="31569" xr:uid="{00000000-0005-0000-0000-0000517B0000}"/>
    <cellStyle name="常规 10 2 3 6 2" xfId="31570" xr:uid="{00000000-0005-0000-0000-0000527B0000}"/>
    <cellStyle name="常规 10 2 4" xfId="31571" xr:uid="{00000000-0005-0000-0000-0000537B0000}"/>
    <cellStyle name="常规 10 2 4 2" xfId="31572" xr:uid="{00000000-0005-0000-0000-0000547B0000}"/>
    <cellStyle name="常规 10 2 4 3" xfId="31573" xr:uid="{00000000-0005-0000-0000-0000557B0000}"/>
    <cellStyle name="常规 10 2 4 4" xfId="31574" xr:uid="{00000000-0005-0000-0000-0000567B0000}"/>
    <cellStyle name="常规 10 2 4 5" xfId="31575" xr:uid="{00000000-0005-0000-0000-0000577B0000}"/>
    <cellStyle name="常规 10 2 4 5 2" xfId="31576" xr:uid="{00000000-0005-0000-0000-0000587B0000}"/>
    <cellStyle name="常规 10 2 5" xfId="31577" xr:uid="{00000000-0005-0000-0000-0000597B0000}"/>
    <cellStyle name="常规 10 2 5 2" xfId="31578" xr:uid="{00000000-0005-0000-0000-00005A7B0000}"/>
    <cellStyle name="常规 10 2 5 2 2" xfId="31579" xr:uid="{00000000-0005-0000-0000-00005B7B0000}"/>
    <cellStyle name="常规 10 2 6" xfId="31580" xr:uid="{00000000-0005-0000-0000-00005C7B0000}"/>
    <cellStyle name="常规 10 2 6 2" xfId="31581" xr:uid="{00000000-0005-0000-0000-00005D7B0000}"/>
    <cellStyle name="常规 10 2 6 2 2" xfId="31582" xr:uid="{00000000-0005-0000-0000-00005E7B0000}"/>
    <cellStyle name="常规 10 2 7" xfId="31583" xr:uid="{00000000-0005-0000-0000-00005F7B0000}"/>
    <cellStyle name="常规 10 2 7 2" xfId="31584" xr:uid="{00000000-0005-0000-0000-0000607B0000}"/>
    <cellStyle name="常规 10 2 7 2 2" xfId="31585" xr:uid="{00000000-0005-0000-0000-0000617B0000}"/>
    <cellStyle name="常规 10 2 8" xfId="31586" xr:uid="{00000000-0005-0000-0000-0000627B0000}"/>
    <cellStyle name="常规 10 2 8 2" xfId="31587" xr:uid="{00000000-0005-0000-0000-0000637B0000}"/>
    <cellStyle name="常规 10 2 8 3" xfId="31588" xr:uid="{00000000-0005-0000-0000-0000647B0000}"/>
    <cellStyle name="常规 10 2 9" xfId="31589" xr:uid="{00000000-0005-0000-0000-0000657B0000}"/>
    <cellStyle name="常规 10 3" xfId="31590" xr:uid="{00000000-0005-0000-0000-0000667B0000}"/>
    <cellStyle name="常规 10 3 2" xfId="31591" xr:uid="{00000000-0005-0000-0000-0000677B0000}"/>
    <cellStyle name="常规 10 3 2 2" xfId="31592" xr:uid="{00000000-0005-0000-0000-0000687B0000}"/>
    <cellStyle name="常规 10 3 2 2 2" xfId="31593" xr:uid="{00000000-0005-0000-0000-0000697B0000}"/>
    <cellStyle name="常规 10 3 2 2 2 2" xfId="31594" xr:uid="{00000000-0005-0000-0000-00006A7B0000}"/>
    <cellStyle name="常规 10 3 2 3" xfId="31595" xr:uid="{00000000-0005-0000-0000-00006B7B0000}"/>
    <cellStyle name="常规 10 3 2 3 2" xfId="31596" xr:uid="{00000000-0005-0000-0000-00006C7B0000}"/>
    <cellStyle name="常规 10 3 2 3 2 2" xfId="31597" xr:uid="{00000000-0005-0000-0000-00006D7B0000}"/>
    <cellStyle name="常规 10 3 2 4" xfId="31598" xr:uid="{00000000-0005-0000-0000-00006E7B0000}"/>
    <cellStyle name="常规 10 3 2 4 2" xfId="31599" xr:uid="{00000000-0005-0000-0000-00006F7B0000}"/>
    <cellStyle name="常规 10 3 2 4 2 2" xfId="31600" xr:uid="{00000000-0005-0000-0000-0000707B0000}"/>
    <cellStyle name="常规 10 3 2 5" xfId="31601" xr:uid="{00000000-0005-0000-0000-0000717B0000}"/>
    <cellStyle name="常规 10 3 2 5 2" xfId="31602" xr:uid="{00000000-0005-0000-0000-0000727B0000}"/>
    <cellStyle name="常规 10 3 2 5 3" xfId="31603" xr:uid="{00000000-0005-0000-0000-0000737B0000}"/>
    <cellStyle name="常规 10 3 2 6" xfId="31604" xr:uid="{00000000-0005-0000-0000-0000747B0000}"/>
    <cellStyle name="常规 10 3 3" xfId="31605" xr:uid="{00000000-0005-0000-0000-0000757B0000}"/>
    <cellStyle name="常规 10 3 3 2" xfId="31606" xr:uid="{00000000-0005-0000-0000-0000767B0000}"/>
    <cellStyle name="常规 10 3 3 2 2" xfId="31607" xr:uid="{00000000-0005-0000-0000-0000777B0000}"/>
    <cellStyle name="常规 10 3 3 2 2 2" xfId="31608" xr:uid="{00000000-0005-0000-0000-0000787B0000}"/>
    <cellStyle name="常规 10 3 3 3" xfId="31609" xr:uid="{00000000-0005-0000-0000-0000797B0000}"/>
    <cellStyle name="常规 10 3 3 3 2" xfId="31610" xr:uid="{00000000-0005-0000-0000-00007A7B0000}"/>
    <cellStyle name="常规 10 3 3 3 2 2" xfId="31611" xr:uid="{00000000-0005-0000-0000-00007B7B0000}"/>
    <cellStyle name="常规 10 3 3 4" xfId="31612" xr:uid="{00000000-0005-0000-0000-00007C7B0000}"/>
    <cellStyle name="常规 10 3 3 4 2" xfId="31613" xr:uid="{00000000-0005-0000-0000-00007D7B0000}"/>
    <cellStyle name="常规 10 3 3 5" xfId="31614" xr:uid="{00000000-0005-0000-0000-00007E7B0000}"/>
    <cellStyle name="常规 10 3 4" xfId="31615" xr:uid="{00000000-0005-0000-0000-00007F7B0000}"/>
    <cellStyle name="常规 10 3 4 2" xfId="31616" xr:uid="{00000000-0005-0000-0000-0000807B0000}"/>
    <cellStyle name="常规 10 3 4 2 2" xfId="31617" xr:uid="{00000000-0005-0000-0000-0000817B0000}"/>
    <cellStyle name="常规 10 3 5" xfId="31618" xr:uid="{00000000-0005-0000-0000-0000827B0000}"/>
    <cellStyle name="常规 10 3 5 2" xfId="31619" xr:uid="{00000000-0005-0000-0000-0000837B0000}"/>
    <cellStyle name="常规 10 3 5 2 2" xfId="31620" xr:uid="{00000000-0005-0000-0000-0000847B0000}"/>
    <cellStyle name="常规 10 3 6" xfId="31621" xr:uid="{00000000-0005-0000-0000-0000857B0000}"/>
    <cellStyle name="常规 10 3 7" xfId="31622" xr:uid="{00000000-0005-0000-0000-0000867B0000}"/>
    <cellStyle name="常规 10 3 7 2" xfId="31623" xr:uid="{00000000-0005-0000-0000-0000877B0000}"/>
    <cellStyle name="常规 10 3 7 3" xfId="31624" xr:uid="{00000000-0005-0000-0000-0000887B0000}"/>
    <cellStyle name="常规 10 3 8" xfId="31625" xr:uid="{00000000-0005-0000-0000-0000897B0000}"/>
    <cellStyle name="常规 10 3 8 2" xfId="31626" xr:uid="{00000000-0005-0000-0000-00008A7B0000}"/>
    <cellStyle name="常规 10 4" xfId="31627" xr:uid="{00000000-0005-0000-0000-00008B7B0000}"/>
    <cellStyle name="常规 10 4 2" xfId="31628" xr:uid="{00000000-0005-0000-0000-00008C7B0000}"/>
    <cellStyle name="常规 10 4 2 2" xfId="31629" xr:uid="{00000000-0005-0000-0000-00008D7B0000}"/>
    <cellStyle name="常规 10 4 2 3" xfId="31630" xr:uid="{00000000-0005-0000-0000-00008E7B0000}"/>
    <cellStyle name="常规 10 4 2 4" xfId="31631" xr:uid="{00000000-0005-0000-0000-00008F7B0000}"/>
    <cellStyle name="常规 10 4 2 5" xfId="31632" xr:uid="{00000000-0005-0000-0000-0000907B0000}"/>
    <cellStyle name="常规 10 4 2 5 2" xfId="31633" xr:uid="{00000000-0005-0000-0000-0000917B0000}"/>
    <cellStyle name="常规 10 4 3" xfId="31634" xr:uid="{00000000-0005-0000-0000-0000927B0000}"/>
    <cellStyle name="常规 10 4 3 2" xfId="31635" xr:uid="{00000000-0005-0000-0000-0000937B0000}"/>
    <cellStyle name="常规 10 4 3 2 2" xfId="31636" xr:uid="{00000000-0005-0000-0000-0000947B0000}"/>
    <cellStyle name="常规 10 4 4" xfId="31637" xr:uid="{00000000-0005-0000-0000-0000957B0000}"/>
    <cellStyle name="常规 10 4 4 2" xfId="31638" xr:uid="{00000000-0005-0000-0000-0000967B0000}"/>
    <cellStyle name="常规 10 4 4 2 2" xfId="31639" xr:uid="{00000000-0005-0000-0000-0000977B0000}"/>
    <cellStyle name="常规 10 4 5" xfId="31640" xr:uid="{00000000-0005-0000-0000-0000987B0000}"/>
    <cellStyle name="常规 10 4 5 2" xfId="31641" xr:uid="{00000000-0005-0000-0000-0000997B0000}"/>
    <cellStyle name="常规 10 4 5 3" xfId="31642" xr:uid="{00000000-0005-0000-0000-00009A7B0000}"/>
    <cellStyle name="常规 10 4 6" xfId="31643" xr:uid="{00000000-0005-0000-0000-00009B7B0000}"/>
    <cellStyle name="常规 10 4 6 2" xfId="31644" xr:uid="{00000000-0005-0000-0000-00009C7B0000}"/>
    <cellStyle name="常规 10 4 7" xfId="31645" xr:uid="{00000000-0005-0000-0000-00009D7B0000}"/>
    <cellStyle name="常规 10 5" xfId="31646" xr:uid="{00000000-0005-0000-0000-00009E7B0000}"/>
    <cellStyle name="常规 10 5 2" xfId="31647" xr:uid="{00000000-0005-0000-0000-00009F7B0000}"/>
    <cellStyle name="常规 10 5 3" xfId="31648" xr:uid="{00000000-0005-0000-0000-0000A07B0000}"/>
    <cellStyle name="常规 10 5 4" xfId="31649" xr:uid="{00000000-0005-0000-0000-0000A17B0000}"/>
    <cellStyle name="常规 10 5 5" xfId="31650" xr:uid="{00000000-0005-0000-0000-0000A27B0000}"/>
    <cellStyle name="常规 10 5 5 2" xfId="31651" xr:uid="{00000000-0005-0000-0000-0000A37B0000}"/>
    <cellStyle name="常规 10 6" xfId="31652" xr:uid="{00000000-0005-0000-0000-0000A47B0000}"/>
    <cellStyle name="常规 10 6 2" xfId="31653" xr:uid="{00000000-0005-0000-0000-0000A57B0000}"/>
    <cellStyle name="常规 10 6 2 2" xfId="31654" xr:uid="{00000000-0005-0000-0000-0000A67B0000}"/>
    <cellStyle name="常规 10 7" xfId="31655" xr:uid="{00000000-0005-0000-0000-0000A77B0000}"/>
    <cellStyle name="常规 10 7 2" xfId="31656" xr:uid="{00000000-0005-0000-0000-0000A87B0000}"/>
    <cellStyle name="常规 10 7 2 2" xfId="31657" xr:uid="{00000000-0005-0000-0000-0000A97B0000}"/>
    <cellStyle name="常规 10 8" xfId="31658" xr:uid="{00000000-0005-0000-0000-0000AA7B0000}"/>
    <cellStyle name="常规 10 8 2" xfId="31659" xr:uid="{00000000-0005-0000-0000-0000AB7B0000}"/>
    <cellStyle name="常规 10 8 2 2" xfId="31660" xr:uid="{00000000-0005-0000-0000-0000AC7B0000}"/>
    <cellStyle name="常规 10 9" xfId="31661" xr:uid="{00000000-0005-0000-0000-0000AD7B0000}"/>
    <cellStyle name="常规 10 9 2" xfId="31662" xr:uid="{00000000-0005-0000-0000-0000AE7B0000}"/>
    <cellStyle name="常规 10 9 3" xfId="31663" xr:uid="{00000000-0005-0000-0000-0000AF7B0000}"/>
    <cellStyle name="常规 11" xfId="31664" xr:uid="{00000000-0005-0000-0000-0000B07B0000}"/>
    <cellStyle name="常规 11 10" xfId="31665" xr:uid="{00000000-0005-0000-0000-0000B17B0000}"/>
    <cellStyle name="常规 11 2" xfId="31666" xr:uid="{00000000-0005-0000-0000-0000B27B0000}"/>
    <cellStyle name="常规 11 2 2" xfId="31667" xr:uid="{00000000-0005-0000-0000-0000B37B0000}"/>
    <cellStyle name="常规 11 2 2 2" xfId="31668" xr:uid="{00000000-0005-0000-0000-0000B47B0000}"/>
    <cellStyle name="常规 11 2 2 2 2" xfId="31669" xr:uid="{00000000-0005-0000-0000-0000B57B0000}"/>
    <cellStyle name="常规 11 2 2 2 3" xfId="31670" xr:uid="{00000000-0005-0000-0000-0000B67B0000}"/>
    <cellStyle name="常规 11 2 2 2 4" xfId="31671" xr:uid="{00000000-0005-0000-0000-0000B77B0000}"/>
    <cellStyle name="常规 11 2 2 2 5" xfId="31672" xr:uid="{00000000-0005-0000-0000-0000B87B0000}"/>
    <cellStyle name="常规 11 2 2 2 5 2" xfId="31673" xr:uid="{00000000-0005-0000-0000-0000B97B0000}"/>
    <cellStyle name="常规 11 2 2 3" xfId="31674" xr:uid="{00000000-0005-0000-0000-0000BA7B0000}"/>
    <cellStyle name="常规 11 2 2 3 2" xfId="31675" xr:uid="{00000000-0005-0000-0000-0000BB7B0000}"/>
    <cellStyle name="常规 11 2 2 3 2 2" xfId="31676" xr:uid="{00000000-0005-0000-0000-0000BC7B0000}"/>
    <cellStyle name="常规 11 2 2 4" xfId="31677" xr:uid="{00000000-0005-0000-0000-0000BD7B0000}"/>
    <cellStyle name="常规 11 2 2 4 2" xfId="31678" xr:uid="{00000000-0005-0000-0000-0000BE7B0000}"/>
    <cellStyle name="常规 11 2 2 4 2 2" xfId="31679" xr:uid="{00000000-0005-0000-0000-0000BF7B0000}"/>
    <cellStyle name="常规 11 2 2 5" xfId="31680" xr:uid="{00000000-0005-0000-0000-0000C07B0000}"/>
    <cellStyle name="常规 11 2 2 5 2" xfId="31681" xr:uid="{00000000-0005-0000-0000-0000C17B0000}"/>
    <cellStyle name="常规 11 2 2 5 3" xfId="31682" xr:uid="{00000000-0005-0000-0000-0000C27B0000}"/>
    <cellStyle name="常规 11 2 2 6" xfId="31683" xr:uid="{00000000-0005-0000-0000-0000C37B0000}"/>
    <cellStyle name="常规 11 2 2 6 2" xfId="31684" xr:uid="{00000000-0005-0000-0000-0000C47B0000}"/>
    <cellStyle name="常规 11 2 2 7" xfId="31685" xr:uid="{00000000-0005-0000-0000-0000C57B0000}"/>
    <cellStyle name="常规 11 2 3" xfId="31686" xr:uid="{00000000-0005-0000-0000-0000C67B0000}"/>
    <cellStyle name="常规 11 2 3 2" xfId="31687" xr:uid="{00000000-0005-0000-0000-0000C77B0000}"/>
    <cellStyle name="常规 11 2 3 2 2" xfId="31688" xr:uid="{00000000-0005-0000-0000-0000C87B0000}"/>
    <cellStyle name="常规 11 2 3 2 3" xfId="31689" xr:uid="{00000000-0005-0000-0000-0000C97B0000}"/>
    <cellStyle name="常规 11 2 3 2 4" xfId="31690" xr:uid="{00000000-0005-0000-0000-0000CA7B0000}"/>
    <cellStyle name="常规 11 2 3 3" xfId="31691" xr:uid="{00000000-0005-0000-0000-0000CB7B0000}"/>
    <cellStyle name="常规 11 2 3 4" xfId="31692" xr:uid="{00000000-0005-0000-0000-0000CC7B0000}"/>
    <cellStyle name="常规 11 2 3 5" xfId="31693" xr:uid="{00000000-0005-0000-0000-0000CD7B0000}"/>
    <cellStyle name="常规 11 2 3 6" xfId="31694" xr:uid="{00000000-0005-0000-0000-0000CE7B0000}"/>
    <cellStyle name="常规 11 2 3 6 2" xfId="31695" xr:uid="{00000000-0005-0000-0000-0000CF7B0000}"/>
    <cellStyle name="常规 11 2 4" xfId="31696" xr:uid="{00000000-0005-0000-0000-0000D07B0000}"/>
    <cellStyle name="常规 11 2 4 2" xfId="31697" xr:uid="{00000000-0005-0000-0000-0000D17B0000}"/>
    <cellStyle name="常规 11 2 4 3" xfId="31698" xr:uid="{00000000-0005-0000-0000-0000D27B0000}"/>
    <cellStyle name="常规 11 2 4 4" xfId="31699" xr:uid="{00000000-0005-0000-0000-0000D37B0000}"/>
    <cellStyle name="常规 11 2 4 5" xfId="31700" xr:uid="{00000000-0005-0000-0000-0000D47B0000}"/>
    <cellStyle name="常规 11 2 4 5 2" xfId="31701" xr:uid="{00000000-0005-0000-0000-0000D57B0000}"/>
    <cellStyle name="常规 11 2 5" xfId="31702" xr:uid="{00000000-0005-0000-0000-0000D67B0000}"/>
    <cellStyle name="常规 11 2 5 2" xfId="31703" xr:uid="{00000000-0005-0000-0000-0000D77B0000}"/>
    <cellStyle name="常规 11 2 5 2 2" xfId="31704" xr:uid="{00000000-0005-0000-0000-0000D87B0000}"/>
    <cellStyle name="常规 11 2 6" xfId="31705" xr:uid="{00000000-0005-0000-0000-0000D97B0000}"/>
    <cellStyle name="常规 11 2 6 2" xfId="31706" xr:uid="{00000000-0005-0000-0000-0000DA7B0000}"/>
    <cellStyle name="常规 11 2 6 2 2" xfId="31707" xr:uid="{00000000-0005-0000-0000-0000DB7B0000}"/>
    <cellStyle name="常规 11 2 7" xfId="31708" xr:uid="{00000000-0005-0000-0000-0000DC7B0000}"/>
    <cellStyle name="常规 11 2 7 2" xfId="31709" xr:uid="{00000000-0005-0000-0000-0000DD7B0000}"/>
    <cellStyle name="常规 11 2 7 2 2" xfId="31710" xr:uid="{00000000-0005-0000-0000-0000DE7B0000}"/>
    <cellStyle name="常规 11 2 8" xfId="31711" xr:uid="{00000000-0005-0000-0000-0000DF7B0000}"/>
    <cellStyle name="常规 11 2 8 2" xfId="31712" xr:uid="{00000000-0005-0000-0000-0000E07B0000}"/>
    <cellStyle name="常规 11 2 8 3" xfId="31713" xr:uid="{00000000-0005-0000-0000-0000E17B0000}"/>
    <cellStyle name="常规 11 2 9" xfId="31714" xr:uid="{00000000-0005-0000-0000-0000E27B0000}"/>
    <cellStyle name="常规 11 3" xfId="31715" xr:uid="{00000000-0005-0000-0000-0000E37B0000}"/>
    <cellStyle name="常规 11 3 2" xfId="31716" xr:uid="{00000000-0005-0000-0000-0000E47B0000}"/>
    <cellStyle name="常规 11 3 2 2" xfId="31717" xr:uid="{00000000-0005-0000-0000-0000E57B0000}"/>
    <cellStyle name="常规 11 3 2 2 2" xfId="31718" xr:uid="{00000000-0005-0000-0000-0000E67B0000}"/>
    <cellStyle name="常规 11 3 2 2 2 2" xfId="31719" xr:uid="{00000000-0005-0000-0000-0000E77B0000}"/>
    <cellStyle name="常规 11 3 2 3" xfId="31720" xr:uid="{00000000-0005-0000-0000-0000E87B0000}"/>
    <cellStyle name="常规 11 3 2 3 2" xfId="31721" xr:uid="{00000000-0005-0000-0000-0000E97B0000}"/>
    <cellStyle name="常规 11 3 2 3 2 2" xfId="31722" xr:uid="{00000000-0005-0000-0000-0000EA7B0000}"/>
    <cellStyle name="常规 11 3 2 4" xfId="31723" xr:uid="{00000000-0005-0000-0000-0000EB7B0000}"/>
    <cellStyle name="常规 11 3 2 4 2" xfId="31724" xr:uid="{00000000-0005-0000-0000-0000EC7B0000}"/>
    <cellStyle name="常规 11 3 2 4 2 2" xfId="31725" xr:uid="{00000000-0005-0000-0000-0000ED7B0000}"/>
    <cellStyle name="常规 11 3 2 5" xfId="31726" xr:uid="{00000000-0005-0000-0000-0000EE7B0000}"/>
    <cellStyle name="常规 11 3 2 5 2" xfId="31727" xr:uid="{00000000-0005-0000-0000-0000EF7B0000}"/>
    <cellStyle name="常规 11 3 2 5 3" xfId="31728" xr:uid="{00000000-0005-0000-0000-0000F07B0000}"/>
    <cellStyle name="常规 11 3 2 6" xfId="31729" xr:uid="{00000000-0005-0000-0000-0000F17B0000}"/>
    <cellStyle name="常规 11 3 3" xfId="31730" xr:uid="{00000000-0005-0000-0000-0000F27B0000}"/>
    <cellStyle name="常规 11 3 3 2" xfId="31731" xr:uid="{00000000-0005-0000-0000-0000F37B0000}"/>
    <cellStyle name="常规 11 3 3 2 2" xfId="31732" xr:uid="{00000000-0005-0000-0000-0000F47B0000}"/>
    <cellStyle name="常规 11 3 3 2 2 2" xfId="31733" xr:uid="{00000000-0005-0000-0000-0000F57B0000}"/>
    <cellStyle name="常规 11 3 3 3" xfId="31734" xr:uid="{00000000-0005-0000-0000-0000F67B0000}"/>
    <cellStyle name="常规 11 3 3 3 2" xfId="31735" xr:uid="{00000000-0005-0000-0000-0000F77B0000}"/>
    <cellStyle name="常规 11 3 3 3 2 2" xfId="31736" xr:uid="{00000000-0005-0000-0000-0000F87B0000}"/>
    <cellStyle name="常规 11 3 3 4" xfId="31737" xr:uid="{00000000-0005-0000-0000-0000F97B0000}"/>
    <cellStyle name="常规 11 3 3 4 2" xfId="31738" xr:uid="{00000000-0005-0000-0000-0000FA7B0000}"/>
    <cellStyle name="常规 11 3 3 5" xfId="31739" xr:uid="{00000000-0005-0000-0000-0000FB7B0000}"/>
    <cellStyle name="常规 11 3 4" xfId="31740" xr:uid="{00000000-0005-0000-0000-0000FC7B0000}"/>
    <cellStyle name="常规 11 3 4 2" xfId="31741" xr:uid="{00000000-0005-0000-0000-0000FD7B0000}"/>
    <cellStyle name="常规 11 3 4 2 2" xfId="31742" xr:uid="{00000000-0005-0000-0000-0000FE7B0000}"/>
    <cellStyle name="常规 11 3 5" xfId="31743" xr:uid="{00000000-0005-0000-0000-0000FF7B0000}"/>
    <cellStyle name="常规 11 3 5 2" xfId="31744" xr:uid="{00000000-0005-0000-0000-0000007C0000}"/>
    <cellStyle name="常规 11 3 5 2 2" xfId="31745" xr:uid="{00000000-0005-0000-0000-0000017C0000}"/>
    <cellStyle name="常规 11 3 6" xfId="31746" xr:uid="{00000000-0005-0000-0000-0000027C0000}"/>
    <cellStyle name="常规 11 3 7" xfId="31747" xr:uid="{00000000-0005-0000-0000-0000037C0000}"/>
    <cellStyle name="常规 11 3 7 2" xfId="31748" xr:uid="{00000000-0005-0000-0000-0000047C0000}"/>
    <cellStyle name="常规 11 3 7 3" xfId="31749" xr:uid="{00000000-0005-0000-0000-0000057C0000}"/>
    <cellStyle name="常规 11 3 8" xfId="31750" xr:uid="{00000000-0005-0000-0000-0000067C0000}"/>
    <cellStyle name="常规 11 3 8 2" xfId="31751" xr:uid="{00000000-0005-0000-0000-0000077C0000}"/>
    <cellStyle name="常规 11 4" xfId="31752" xr:uid="{00000000-0005-0000-0000-0000087C0000}"/>
    <cellStyle name="常规 11 4 2" xfId="31753" xr:uid="{00000000-0005-0000-0000-0000097C0000}"/>
    <cellStyle name="常规 11 4 2 2" xfId="31754" xr:uid="{00000000-0005-0000-0000-00000A7C0000}"/>
    <cellStyle name="常规 11 4 2 2 2" xfId="31755" xr:uid="{00000000-0005-0000-0000-00000B7C0000}"/>
    <cellStyle name="常规 11 4 2 2 2 2" xfId="31756" xr:uid="{00000000-0005-0000-0000-00000C7C0000}"/>
    <cellStyle name="常规 11 4 2 2 3" xfId="31757" xr:uid="{00000000-0005-0000-0000-00000D7C0000}"/>
    <cellStyle name="常规 11 4 2 3" xfId="31758" xr:uid="{00000000-0005-0000-0000-00000E7C0000}"/>
    <cellStyle name="常规 11 4 2 3 2" xfId="31759" xr:uid="{00000000-0005-0000-0000-00000F7C0000}"/>
    <cellStyle name="常规 11 4 2 3 2 2" xfId="31760" xr:uid="{00000000-0005-0000-0000-0000107C0000}"/>
    <cellStyle name="常规 11 4 2 4" xfId="31761" xr:uid="{00000000-0005-0000-0000-0000117C0000}"/>
    <cellStyle name="常规 11 4 2 4 2" xfId="31762" xr:uid="{00000000-0005-0000-0000-0000127C0000}"/>
    <cellStyle name="常规 11 4 2 4 3" xfId="31763" xr:uid="{00000000-0005-0000-0000-0000137C0000}"/>
    <cellStyle name="常规 11 4 2 5" xfId="31764" xr:uid="{00000000-0005-0000-0000-0000147C0000}"/>
    <cellStyle name="常规 11 4 2 5 2" xfId="31765" xr:uid="{00000000-0005-0000-0000-0000157C0000}"/>
    <cellStyle name="常规 11 4 2 6" xfId="31766" xr:uid="{00000000-0005-0000-0000-0000167C0000}"/>
    <cellStyle name="常规 11 4 3" xfId="31767" xr:uid="{00000000-0005-0000-0000-0000177C0000}"/>
    <cellStyle name="常规 11 4 3 2" xfId="31768" xr:uid="{00000000-0005-0000-0000-0000187C0000}"/>
    <cellStyle name="常规 11 4 3 2 2" xfId="31769" xr:uid="{00000000-0005-0000-0000-0000197C0000}"/>
    <cellStyle name="常规 11 4 4" xfId="31770" xr:uid="{00000000-0005-0000-0000-00001A7C0000}"/>
    <cellStyle name="常规 11 4 4 2" xfId="31771" xr:uid="{00000000-0005-0000-0000-00001B7C0000}"/>
    <cellStyle name="常规 11 4 4 2 2" xfId="31772" xr:uid="{00000000-0005-0000-0000-00001C7C0000}"/>
    <cellStyle name="常规 11 4 5" xfId="31773" xr:uid="{00000000-0005-0000-0000-00001D7C0000}"/>
    <cellStyle name="常规 11 4 5 2" xfId="31774" xr:uid="{00000000-0005-0000-0000-00001E7C0000}"/>
    <cellStyle name="常规 11 4 5 2 2" xfId="31775" xr:uid="{00000000-0005-0000-0000-00001F7C0000}"/>
    <cellStyle name="常规 11 4 6" xfId="31776" xr:uid="{00000000-0005-0000-0000-0000207C0000}"/>
    <cellStyle name="常规 11 4 6 2" xfId="31777" xr:uid="{00000000-0005-0000-0000-0000217C0000}"/>
    <cellStyle name="常规 11 4 6 3" xfId="31778" xr:uid="{00000000-0005-0000-0000-0000227C0000}"/>
    <cellStyle name="常规 11 4 7" xfId="31779" xr:uid="{00000000-0005-0000-0000-0000237C0000}"/>
    <cellStyle name="常规 11 5" xfId="31780" xr:uid="{00000000-0005-0000-0000-0000247C0000}"/>
    <cellStyle name="常规 11 5 2" xfId="31781" xr:uid="{00000000-0005-0000-0000-0000257C0000}"/>
    <cellStyle name="常规 11 5 2 2" xfId="31782" xr:uid="{00000000-0005-0000-0000-0000267C0000}"/>
    <cellStyle name="常规 11 5 2 2 2" xfId="31783" xr:uid="{00000000-0005-0000-0000-0000277C0000}"/>
    <cellStyle name="常规 11 5 2 3" xfId="31784" xr:uid="{00000000-0005-0000-0000-0000287C0000}"/>
    <cellStyle name="常规 11 5 3" xfId="31785" xr:uid="{00000000-0005-0000-0000-0000297C0000}"/>
    <cellStyle name="常规 11 5 3 2" xfId="31786" xr:uid="{00000000-0005-0000-0000-00002A7C0000}"/>
    <cellStyle name="常规 11 5 3 2 2" xfId="31787" xr:uid="{00000000-0005-0000-0000-00002B7C0000}"/>
    <cellStyle name="常规 11 5 4" xfId="31788" xr:uid="{00000000-0005-0000-0000-00002C7C0000}"/>
    <cellStyle name="常规 11 5 4 2" xfId="31789" xr:uid="{00000000-0005-0000-0000-00002D7C0000}"/>
    <cellStyle name="常规 11 5 4 3" xfId="31790" xr:uid="{00000000-0005-0000-0000-00002E7C0000}"/>
    <cellStyle name="常规 11 5 5" xfId="31791" xr:uid="{00000000-0005-0000-0000-00002F7C0000}"/>
    <cellStyle name="常规 11 5 5 2" xfId="31792" xr:uid="{00000000-0005-0000-0000-0000307C0000}"/>
    <cellStyle name="常规 11 5 6" xfId="31793" xr:uid="{00000000-0005-0000-0000-0000317C0000}"/>
    <cellStyle name="常规 11 6" xfId="31794" xr:uid="{00000000-0005-0000-0000-0000327C0000}"/>
    <cellStyle name="常规 11 6 2" xfId="31795" xr:uid="{00000000-0005-0000-0000-0000337C0000}"/>
    <cellStyle name="常规 11 6 2 2" xfId="31796" xr:uid="{00000000-0005-0000-0000-0000347C0000}"/>
    <cellStyle name="常规 11 7" xfId="31797" xr:uid="{00000000-0005-0000-0000-0000357C0000}"/>
    <cellStyle name="常规 11 7 2" xfId="31798" xr:uid="{00000000-0005-0000-0000-0000367C0000}"/>
    <cellStyle name="常规 11 7 2 2" xfId="31799" xr:uid="{00000000-0005-0000-0000-0000377C0000}"/>
    <cellStyle name="常规 11 8" xfId="31800" xr:uid="{00000000-0005-0000-0000-0000387C0000}"/>
    <cellStyle name="常规 11 8 2" xfId="31801" xr:uid="{00000000-0005-0000-0000-0000397C0000}"/>
    <cellStyle name="常规 11 8 2 2" xfId="31802" xr:uid="{00000000-0005-0000-0000-00003A7C0000}"/>
    <cellStyle name="常规 11 9" xfId="31803" xr:uid="{00000000-0005-0000-0000-00003B7C0000}"/>
    <cellStyle name="常规 11 9 2" xfId="31804" xr:uid="{00000000-0005-0000-0000-00003C7C0000}"/>
    <cellStyle name="常规 11 9 3" xfId="31805" xr:uid="{00000000-0005-0000-0000-00003D7C0000}"/>
    <cellStyle name="常规 12" xfId="31806" xr:uid="{00000000-0005-0000-0000-00003E7C0000}"/>
    <cellStyle name="常规 12 10" xfId="31807" xr:uid="{00000000-0005-0000-0000-00003F7C0000}"/>
    <cellStyle name="常规 12 10 2" xfId="31808" xr:uid="{00000000-0005-0000-0000-0000407C0000}"/>
    <cellStyle name="常规 12 11" xfId="31809" xr:uid="{00000000-0005-0000-0000-0000417C0000}"/>
    <cellStyle name="常规 12 2" xfId="31810" xr:uid="{00000000-0005-0000-0000-0000427C0000}"/>
    <cellStyle name="常规 12 2 10" xfId="31811" xr:uid="{00000000-0005-0000-0000-0000437C0000}"/>
    <cellStyle name="常规 12 2 2" xfId="31812" xr:uid="{00000000-0005-0000-0000-0000447C0000}"/>
    <cellStyle name="常规 12 2 2 2" xfId="31813" xr:uid="{00000000-0005-0000-0000-0000457C0000}"/>
    <cellStyle name="常规 12 2 2 2 2" xfId="31814" xr:uid="{00000000-0005-0000-0000-0000467C0000}"/>
    <cellStyle name="常规 12 2 2 2 2 2" xfId="31815" xr:uid="{00000000-0005-0000-0000-0000477C0000}"/>
    <cellStyle name="常规 12 2 2 2 2 3" xfId="31816" xr:uid="{00000000-0005-0000-0000-0000487C0000}"/>
    <cellStyle name="常规 12 2 2 2 2 4" xfId="31817" xr:uid="{00000000-0005-0000-0000-0000497C0000}"/>
    <cellStyle name="常规 12 2 2 2 3" xfId="31818" xr:uid="{00000000-0005-0000-0000-00004A7C0000}"/>
    <cellStyle name="常规 12 2 2 2 4" xfId="31819" xr:uid="{00000000-0005-0000-0000-00004B7C0000}"/>
    <cellStyle name="常规 12 2 2 2 5" xfId="31820" xr:uid="{00000000-0005-0000-0000-00004C7C0000}"/>
    <cellStyle name="常规 12 2 2 3" xfId="31821" xr:uid="{00000000-0005-0000-0000-00004D7C0000}"/>
    <cellStyle name="常规 12 2 2 3 2" xfId="31822" xr:uid="{00000000-0005-0000-0000-00004E7C0000}"/>
    <cellStyle name="常规 12 2 2 3 2 2" xfId="31823" xr:uid="{00000000-0005-0000-0000-00004F7C0000}"/>
    <cellStyle name="常规 12 2 2 3 2 3" xfId="31824" xr:uid="{00000000-0005-0000-0000-0000507C0000}"/>
    <cellStyle name="常规 12 2 2 3 2 4" xfId="31825" xr:uid="{00000000-0005-0000-0000-0000517C0000}"/>
    <cellStyle name="常规 12 2 2 3 3" xfId="31826" xr:uid="{00000000-0005-0000-0000-0000527C0000}"/>
    <cellStyle name="常规 12 2 2 3 4" xfId="31827" xr:uid="{00000000-0005-0000-0000-0000537C0000}"/>
    <cellStyle name="常规 12 2 2 3 5" xfId="31828" xr:uid="{00000000-0005-0000-0000-0000547C0000}"/>
    <cellStyle name="常规 12 2 2 4" xfId="31829" xr:uid="{00000000-0005-0000-0000-0000557C0000}"/>
    <cellStyle name="常规 12 2 2 4 2" xfId="31830" xr:uid="{00000000-0005-0000-0000-0000567C0000}"/>
    <cellStyle name="常规 12 2 2 4 3" xfId="31831" xr:uid="{00000000-0005-0000-0000-0000577C0000}"/>
    <cellStyle name="常规 12 2 2 4 4" xfId="31832" xr:uid="{00000000-0005-0000-0000-0000587C0000}"/>
    <cellStyle name="常规 12 2 2 5" xfId="31833" xr:uid="{00000000-0005-0000-0000-0000597C0000}"/>
    <cellStyle name="常规 12 2 2 6" xfId="31834" xr:uid="{00000000-0005-0000-0000-00005A7C0000}"/>
    <cellStyle name="常规 12 2 2 7" xfId="31835" xr:uid="{00000000-0005-0000-0000-00005B7C0000}"/>
    <cellStyle name="常规 12 2 2 8" xfId="31836" xr:uid="{00000000-0005-0000-0000-00005C7C0000}"/>
    <cellStyle name="常规 12 2 2 8 2" xfId="31837" xr:uid="{00000000-0005-0000-0000-00005D7C0000}"/>
    <cellStyle name="常规 12 2 3" xfId="31838" xr:uid="{00000000-0005-0000-0000-00005E7C0000}"/>
    <cellStyle name="常规 12 2 3 2" xfId="31839" xr:uid="{00000000-0005-0000-0000-00005F7C0000}"/>
    <cellStyle name="常规 12 2 3 2 2" xfId="31840" xr:uid="{00000000-0005-0000-0000-0000607C0000}"/>
    <cellStyle name="常规 12 2 3 2 3" xfId="31841" xr:uid="{00000000-0005-0000-0000-0000617C0000}"/>
    <cellStyle name="常规 12 2 3 2 4" xfId="31842" xr:uid="{00000000-0005-0000-0000-0000627C0000}"/>
    <cellStyle name="常规 12 2 3 3" xfId="31843" xr:uid="{00000000-0005-0000-0000-0000637C0000}"/>
    <cellStyle name="常规 12 2 3 4" xfId="31844" xr:uid="{00000000-0005-0000-0000-0000647C0000}"/>
    <cellStyle name="常规 12 2 3 5" xfId="31845" xr:uid="{00000000-0005-0000-0000-0000657C0000}"/>
    <cellStyle name="常规 12 2 3 6" xfId="31846" xr:uid="{00000000-0005-0000-0000-0000667C0000}"/>
    <cellStyle name="常规 12 2 3 6 2" xfId="31847" xr:uid="{00000000-0005-0000-0000-0000677C0000}"/>
    <cellStyle name="常规 12 2 4" xfId="31848" xr:uid="{00000000-0005-0000-0000-0000687C0000}"/>
    <cellStyle name="常规 12 2 4 2" xfId="31849" xr:uid="{00000000-0005-0000-0000-0000697C0000}"/>
    <cellStyle name="常规 12 2 4 2 2" xfId="31850" xr:uid="{00000000-0005-0000-0000-00006A7C0000}"/>
    <cellStyle name="常规 12 2 4 2 3" xfId="31851" xr:uid="{00000000-0005-0000-0000-00006B7C0000}"/>
    <cellStyle name="常规 12 2 4 2 4" xfId="31852" xr:uid="{00000000-0005-0000-0000-00006C7C0000}"/>
    <cellStyle name="常规 12 2 4 2 5" xfId="31853" xr:uid="{00000000-0005-0000-0000-00006D7C0000}"/>
    <cellStyle name="常规 12 2 4 3" xfId="31854" xr:uid="{00000000-0005-0000-0000-00006E7C0000}"/>
    <cellStyle name="常规 12 2 4 4" xfId="31855" xr:uid="{00000000-0005-0000-0000-00006F7C0000}"/>
    <cellStyle name="常规 12 2 4 5" xfId="31856" xr:uid="{00000000-0005-0000-0000-0000707C0000}"/>
    <cellStyle name="常规 12 2 4 6" xfId="31857" xr:uid="{00000000-0005-0000-0000-0000717C0000}"/>
    <cellStyle name="常规 12 2 5" xfId="31858" xr:uid="{00000000-0005-0000-0000-0000727C0000}"/>
    <cellStyle name="常规 12 2 5 2" xfId="31859" xr:uid="{00000000-0005-0000-0000-0000737C0000}"/>
    <cellStyle name="常规 12 2 5 2 2" xfId="31860" xr:uid="{00000000-0005-0000-0000-0000747C0000}"/>
    <cellStyle name="常规 12 2 5 3" xfId="31861" xr:uid="{00000000-0005-0000-0000-0000757C0000}"/>
    <cellStyle name="常规 12 2 5 4" xfId="31862" xr:uid="{00000000-0005-0000-0000-0000767C0000}"/>
    <cellStyle name="常规 12 2 5 5" xfId="31863" xr:uid="{00000000-0005-0000-0000-0000777C0000}"/>
    <cellStyle name="常规 12 2 6" xfId="31864" xr:uid="{00000000-0005-0000-0000-0000787C0000}"/>
    <cellStyle name="常规 12 2 7" xfId="31865" xr:uid="{00000000-0005-0000-0000-0000797C0000}"/>
    <cellStyle name="常规 12 2 8" xfId="31866" xr:uid="{00000000-0005-0000-0000-00007A7C0000}"/>
    <cellStyle name="常规 12 2 9" xfId="31867" xr:uid="{00000000-0005-0000-0000-00007B7C0000}"/>
    <cellStyle name="常规 12 2 9 2" xfId="31868" xr:uid="{00000000-0005-0000-0000-00007C7C0000}"/>
    <cellStyle name="常规 12 3" xfId="31869" xr:uid="{00000000-0005-0000-0000-00007D7C0000}"/>
    <cellStyle name="常规 12 3 2" xfId="31870" xr:uid="{00000000-0005-0000-0000-00007E7C0000}"/>
    <cellStyle name="常规 12 3 2 2" xfId="31871" xr:uid="{00000000-0005-0000-0000-00007F7C0000}"/>
    <cellStyle name="常规 12 3 2 2 2" xfId="31872" xr:uid="{00000000-0005-0000-0000-0000807C0000}"/>
    <cellStyle name="常规 12 3 2 2 3" xfId="31873" xr:uid="{00000000-0005-0000-0000-0000817C0000}"/>
    <cellStyle name="常规 12 3 2 2 4" xfId="31874" xr:uid="{00000000-0005-0000-0000-0000827C0000}"/>
    <cellStyle name="常规 12 3 2 2 5" xfId="31875" xr:uid="{00000000-0005-0000-0000-0000837C0000}"/>
    <cellStyle name="常规 12 3 2 3" xfId="31876" xr:uid="{00000000-0005-0000-0000-0000847C0000}"/>
    <cellStyle name="常规 12 3 2 4" xfId="31877" xr:uid="{00000000-0005-0000-0000-0000857C0000}"/>
    <cellStyle name="常规 12 3 2 5" xfId="31878" xr:uid="{00000000-0005-0000-0000-0000867C0000}"/>
    <cellStyle name="常规 12 3 2 6" xfId="31879" xr:uid="{00000000-0005-0000-0000-0000877C0000}"/>
    <cellStyle name="常规 12 3 2 6 2" xfId="31880" xr:uid="{00000000-0005-0000-0000-0000887C0000}"/>
    <cellStyle name="常规 12 3 2 7" xfId="31881" xr:uid="{00000000-0005-0000-0000-0000897C0000}"/>
    <cellStyle name="常规 12 3 3" xfId="31882" xr:uid="{00000000-0005-0000-0000-00008A7C0000}"/>
    <cellStyle name="常规 12 3 3 2" xfId="31883" xr:uid="{00000000-0005-0000-0000-00008B7C0000}"/>
    <cellStyle name="常规 12 3 3 2 2" xfId="31884" xr:uid="{00000000-0005-0000-0000-00008C7C0000}"/>
    <cellStyle name="常规 12 3 3 2 3" xfId="31885" xr:uid="{00000000-0005-0000-0000-00008D7C0000}"/>
    <cellStyle name="常规 12 3 3 2 4" xfId="31886" xr:uid="{00000000-0005-0000-0000-00008E7C0000}"/>
    <cellStyle name="常规 12 3 3 2 5" xfId="31887" xr:uid="{00000000-0005-0000-0000-00008F7C0000}"/>
    <cellStyle name="常规 12 3 3 3" xfId="31888" xr:uid="{00000000-0005-0000-0000-0000907C0000}"/>
    <cellStyle name="常规 12 3 3 4" xfId="31889" xr:uid="{00000000-0005-0000-0000-0000917C0000}"/>
    <cellStyle name="常规 12 3 3 5" xfId="31890" xr:uid="{00000000-0005-0000-0000-0000927C0000}"/>
    <cellStyle name="常规 12 3 3 6" xfId="31891" xr:uid="{00000000-0005-0000-0000-0000937C0000}"/>
    <cellStyle name="常规 12 3 4" xfId="31892" xr:uid="{00000000-0005-0000-0000-0000947C0000}"/>
    <cellStyle name="常规 12 3 4 2" xfId="31893" xr:uid="{00000000-0005-0000-0000-0000957C0000}"/>
    <cellStyle name="常规 12 3 4 2 2" xfId="31894" xr:uid="{00000000-0005-0000-0000-0000967C0000}"/>
    <cellStyle name="常规 12 3 4 3" xfId="31895" xr:uid="{00000000-0005-0000-0000-0000977C0000}"/>
    <cellStyle name="常规 12 3 4 4" xfId="31896" xr:uid="{00000000-0005-0000-0000-0000987C0000}"/>
    <cellStyle name="常规 12 3 4 5" xfId="31897" xr:uid="{00000000-0005-0000-0000-0000997C0000}"/>
    <cellStyle name="常规 12 3 5" xfId="31898" xr:uid="{00000000-0005-0000-0000-00009A7C0000}"/>
    <cellStyle name="常规 12 3 5 2" xfId="31899" xr:uid="{00000000-0005-0000-0000-00009B7C0000}"/>
    <cellStyle name="常规 12 3 6" xfId="31900" xr:uid="{00000000-0005-0000-0000-00009C7C0000}"/>
    <cellStyle name="常规 12 3 7" xfId="31901" xr:uid="{00000000-0005-0000-0000-00009D7C0000}"/>
    <cellStyle name="常规 12 3 8" xfId="31902" xr:uid="{00000000-0005-0000-0000-00009E7C0000}"/>
    <cellStyle name="常规 12 3 8 2" xfId="31903" xr:uid="{00000000-0005-0000-0000-00009F7C0000}"/>
    <cellStyle name="常规 12 3 9" xfId="31904" xr:uid="{00000000-0005-0000-0000-0000A07C0000}"/>
    <cellStyle name="常规 12 4" xfId="31905" xr:uid="{00000000-0005-0000-0000-0000A17C0000}"/>
    <cellStyle name="常规 12 4 2" xfId="31906" xr:uid="{00000000-0005-0000-0000-0000A27C0000}"/>
    <cellStyle name="常规 12 4 2 2" xfId="31907" xr:uid="{00000000-0005-0000-0000-0000A37C0000}"/>
    <cellStyle name="常规 12 4 2 3" xfId="31908" xr:uid="{00000000-0005-0000-0000-0000A47C0000}"/>
    <cellStyle name="常规 12 4 2 4" xfId="31909" xr:uid="{00000000-0005-0000-0000-0000A57C0000}"/>
    <cellStyle name="常规 12 4 3" xfId="31910" xr:uid="{00000000-0005-0000-0000-0000A67C0000}"/>
    <cellStyle name="常规 12 4 4" xfId="31911" xr:uid="{00000000-0005-0000-0000-0000A77C0000}"/>
    <cellStyle name="常规 12 4 5" xfId="31912" xr:uid="{00000000-0005-0000-0000-0000A87C0000}"/>
    <cellStyle name="常规 12 4 6" xfId="31913" xr:uid="{00000000-0005-0000-0000-0000A97C0000}"/>
    <cellStyle name="常规 12 4 6 2" xfId="31914" xr:uid="{00000000-0005-0000-0000-0000AA7C0000}"/>
    <cellStyle name="常规 12 5" xfId="31915" xr:uid="{00000000-0005-0000-0000-0000AB7C0000}"/>
    <cellStyle name="常规 12 5 2" xfId="31916" xr:uid="{00000000-0005-0000-0000-0000AC7C0000}"/>
    <cellStyle name="常规 12 5 2 2" xfId="31917" xr:uid="{00000000-0005-0000-0000-0000AD7C0000}"/>
    <cellStyle name="常规 12 5 2 3" xfId="31918" xr:uid="{00000000-0005-0000-0000-0000AE7C0000}"/>
    <cellStyle name="常规 12 5 2 4" xfId="31919" xr:uid="{00000000-0005-0000-0000-0000AF7C0000}"/>
    <cellStyle name="常规 12 5 3" xfId="31920" xr:uid="{00000000-0005-0000-0000-0000B07C0000}"/>
    <cellStyle name="常规 12 5 4" xfId="31921" xr:uid="{00000000-0005-0000-0000-0000B17C0000}"/>
    <cellStyle name="常规 12 5 5" xfId="31922" xr:uid="{00000000-0005-0000-0000-0000B27C0000}"/>
    <cellStyle name="常规 12 5 6" xfId="31923" xr:uid="{00000000-0005-0000-0000-0000B37C0000}"/>
    <cellStyle name="常规 12 5 6 2" xfId="31924" xr:uid="{00000000-0005-0000-0000-0000B47C0000}"/>
    <cellStyle name="常规 12 6" xfId="31925" xr:uid="{00000000-0005-0000-0000-0000B57C0000}"/>
    <cellStyle name="常规 12 6 2" xfId="31926" xr:uid="{00000000-0005-0000-0000-0000B67C0000}"/>
    <cellStyle name="常规 12 6 3" xfId="31927" xr:uid="{00000000-0005-0000-0000-0000B77C0000}"/>
    <cellStyle name="常规 12 6 4" xfId="31928" xr:uid="{00000000-0005-0000-0000-0000B87C0000}"/>
    <cellStyle name="常规 12 6 5" xfId="31929" xr:uid="{00000000-0005-0000-0000-0000B97C0000}"/>
    <cellStyle name="常规 12 6 5 2" xfId="31930" xr:uid="{00000000-0005-0000-0000-0000BA7C0000}"/>
    <cellStyle name="常规 12 7" xfId="31931" xr:uid="{00000000-0005-0000-0000-0000BB7C0000}"/>
    <cellStyle name="常规 12 7 2" xfId="31932" xr:uid="{00000000-0005-0000-0000-0000BC7C0000}"/>
    <cellStyle name="常规 12 7 2 2" xfId="31933" xr:uid="{00000000-0005-0000-0000-0000BD7C0000}"/>
    <cellStyle name="常规 12 8" xfId="31934" xr:uid="{00000000-0005-0000-0000-0000BE7C0000}"/>
    <cellStyle name="常规 12 8 2" xfId="31935" xr:uid="{00000000-0005-0000-0000-0000BF7C0000}"/>
    <cellStyle name="常规 12 8 3" xfId="31936" xr:uid="{00000000-0005-0000-0000-0000C07C0000}"/>
    <cellStyle name="常规 12 9" xfId="31937" xr:uid="{00000000-0005-0000-0000-0000C17C0000}"/>
    <cellStyle name="常规 13" xfId="31938" xr:uid="{00000000-0005-0000-0000-0000C27C0000}"/>
    <cellStyle name="常规 13 2" xfId="31939" xr:uid="{00000000-0005-0000-0000-0000C37C0000}"/>
    <cellStyle name="常规 13 2 2" xfId="31940" xr:uid="{00000000-0005-0000-0000-0000C47C0000}"/>
    <cellStyle name="常规 13 2 2 2" xfId="31941" xr:uid="{00000000-0005-0000-0000-0000C57C0000}"/>
    <cellStyle name="常规 13 2 2 3" xfId="31942" xr:uid="{00000000-0005-0000-0000-0000C67C0000}"/>
    <cellStyle name="常规 13 2 2 4" xfId="31943" xr:uid="{00000000-0005-0000-0000-0000C77C0000}"/>
    <cellStyle name="常规 13 2 2 5" xfId="31944" xr:uid="{00000000-0005-0000-0000-0000C87C0000}"/>
    <cellStyle name="常规 13 2 2 5 2" xfId="31945" xr:uid="{00000000-0005-0000-0000-0000C97C0000}"/>
    <cellStyle name="常规 13 2 3" xfId="31946" xr:uid="{00000000-0005-0000-0000-0000CA7C0000}"/>
    <cellStyle name="常规 13 2 3 2" xfId="31947" xr:uid="{00000000-0005-0000-0000-0000CB7C0000}"/>
    <cellStyle name="常规 13 2 3 2 2" xfId="31948" xr:uid="{00000000-0005-0000-0000-0000CC7C0000}"/>
    <cellStyle name="常规 13 2 4" xfId="31949" xr:uid="{00000000-0005-0000-0000-0000CD7C0000}"/>
    <cellStyle name="常规 13 2 4 2" xfId="31950" xr:uid="{00000000-0005-0000-0000-0000CE7C0000}"/>
    <cellStyle name="常规 13 2 4 2 2" xfId="31951" xr:uid="{00000000-0005-0000-0000-0000CF7C0000}"/>
    <cellStyle name="常规 13 2 5" xfId="31952" xr:uid="{00000000-0005-0000-0000-0000D07C0000}"/>
    <cellStyle name="常规 13 2 5 2" xfId="31953" xr:uid="{00000000-0005-0000-0000-0000D17C0000}"/>
    <cellStyle name="常规 13 2 5 3" xfId="31954" xr:uid="{00000000-0005-0000-0000-0000D27C0000}"/>
    <cellStyle name="常规 13 2 6" xfId="31955" xr:uid="{00000000-0005-0000-0000-0000D37C0000}"/>
    <cellStyle name="常规 13 2 6 2" xfId="31956" xr:uid="{00000000-0005-0000-0000-0000D47C0000}"/>
    <cellStyle name="常规 13 2 7" xfId="31957" xr:uid="{00000000-0005-0000-0000-0000D57C0000}"/>
    <cellStyle name="常规 13 3" xfId="31958" xr:uid="{00000000-0005-0000-0000-0000D67C0000}"/>
    <cellStyle name="常规 13 3 2" xfId="31959" xr:uid="{00000000-0005-0000-0000-0000D77C0000}"/>
    <cellStyle name="常规 13 3 2 2" xfId="31960" xr:uid="{00000000-0005-0000-0000-0000D87C0000}"/>
    <cellStyle name="常规 13 3 2 3" xfId="31961" xr:uid="{00000000-0005-0000-0000-0000D97C0000}"/>
    <cellStyle name="常规 13 3 2 4" xfId="31962" xr:uid="{00000000-0005-0000-0000-0000DA7C0000}"/>
    <cellStyle name="常规 13 3 3" xfId="31963" xr:uid="{00000000-0005-0000-0000-0000DB7C0000}"/>
    <cellStyle name="常规 13 3 4" xfId="31964" xr:uid="{00000000-0005-0000-0000-0000DC7C0000}"/>
    <cellStyle name="常规 13 3 5" xfId="31965" xr:uid="{00000000-0005-0000-0000-0000DD7C0000}"/>
    <cellStyle name="常规 13 3 6" xfId="31966" xr:uid="{00000000-0005-0000-0000-0000DE7C0000}"/>
    <cellStyle name="常规 13 3 6 2" xfId="31967" xr:uid="{00000000-0005-0000-0000-0000DF7C0000}"/>
    <cellStyle name="常规 13 4" xfId="31968" xr:uid="{00000000-0005-0000-0000-0000E07C0000}"/>
    <cellStyle name="常规 13 4 2" xfId="31969" xr:uid="{00000000-0005-0000-0000-0000E17C0000}"/>
    <cellStyle name="常规 13 4 3" xfId="31970" xr:uid="{00000000-0005-0000-0000-0000E27C0000}"/>
    <cellStyle name="常规 13 4 4" xfId="31971" xr:uid="{00000000-0005-0000-0000-0000E37C0000}"/>
    <cellStyle name="常规 13 4 5" xfId="31972" xr:uid="{00000000-0005-0000-0000-0000E47C0000}"/>
    <cellStyle name="常规 13 4 5 2" xfId="31973" xr:uid="{00000000-0005-0000-0000-0000E57C0000}"/>
    <cellStyle name="常规 13 5" xfId="31974" xr:uid="{00000000-0005-0000-0000-0000E67C0000}"/>
    <cellStyle name="常规 13 5 2" xfId="31975" xr:uid="{00000000-0005-0000-0000-0000E77C0000}"/>
    <cellStyle name="常规 13 5 2 2" xfId="31976" xr:uid="{00000000-0005-0000-0000-0000E87C0000}"/>
    <cellStyle name="常规 13 6" xfId="31977" xr:uid="{00000000-0005-0000-0000-0000E97C0000}"/>
    <cellStyle name="常规 13 6 2" xfId="31978" xr:uid="{00000000-0005-0000-0000-0000EA7C0000}"/>
    <cellStyle name="常规 13 6 2 2" xfId="31979" xr:uid="{00000000-0005-0000-0000-0000EB7C0000}"/>
    <cellStyle name="常规 13 7" xfId="31980" xr:uid="{00000000-0005-0000-0000-0000EC7C0000}"/>
    <cellStyle name="常规 13 7 2" xfId="31981" xr:uid="{00000000-0005-0000-0000-0000ED7C0000}"/>
    <cellStyle name="常规 13 7 2 2" xfId="31982" xr:uid="{00000000-0005-0000-0000-0000EE7C0000}"/>
    <cellStyle name="常规 13 8" xfId="31983" xr:uid="{00000000-0005-0000-0000-0000EF7C0000}"/>
    <cellStyle name="常规 13 8 2" xfId="31984" xr:uid="{00000000-0005-0000-0000-0000F07C0000}"/>
    <cellStyle name="常规 13 8 3" xfId="31985" xr:uid="{00000000-0005-0000-0000-0000F17C0000}"/>
    <cellStyle name="常规 13 9" xfId="31986" xr:uid="{00000000-0005-0000-0000-0000F27C0000}"/>
    <cellStyle name="常规 14" xfId="31987" xr:uid="{00000000-0005-0000-0000-0000F37C0000}"/>
    <cellStyle name="常规 14 2" xfId="31988" xr:uid="{00000000-0005-0000-0000-0000F47C0000}"/>
    <cellStyle name="常规 14 2 2" xfId="31989" xr:uid="{00000000-0005-0000-0000-0000F57C0000}"/>
    <cellStyle name="常规 14 2 2 2" xfId="31990" xr:uid="{00000000-0005-0000-0000-0000F67C0000}"/>
    <cellStyle name="常规 14 2 2 3" xfId="31991" xr:uid="{00000000-0005-0000-0000-0000F77C0000}"/>
    <cellStyle name="常规 14 2 2 4" xfId="31992" xr:uid="{00000000-0005-0000-0000-0000F87C0000}"/>
    <cellStyle name="常规 14 2 2 5" xfId="31993" xr:uid="{00000000-0005-0000-0000-0000F97C0000}"/>
    <cellStyle name="常规 14 2 2 5 2" xfId="31994" xr:uid="{00000000-0005-0000-0000-0000FA7C0000}"/>
    <cellStyle name="常规 14 2 3" xfId="31995" xr:uid="{00000000-0005-0000-0000-0000FB7C0000}"/>
    <cellStyle name="常规 14 2 3 2" xfId="31996" xr:uid="{00000000-0005-0000-0000-0000FC7C0000}"/>
    <cellStyle name="常规 14 2 3 2 2" xfId="31997" xr:uid="{00000000-0005-0000-0000-0000FD7C0000}"/>
    <cellStyle name="常规 14 2 4" xfId="31998" xr:uid="{00000000-0005-0000-0000-0000FE7C0000}"/>
    <cellStyle name="常规 14 2 4 2" xfId="31999" xr:uid="{00000000-0005-0000-0000-0000FF7C0000}"/>
    <cellStyle name="常规 14 2 4 2 2" xfId="32000" xr:uid="{00000000-0005-0000-0000-0000007D0000}"/>
    <cellStyle name="常规 14 2 5" xfId="32001" xr:uid="{00000000-0005-0000-0000-0000017D0000}"/>
    <cellStyle name="常规 14 2 5 2" xfId="32002" xr:uid="{00000000-0005-0000-0000-0000027D0000}"/>
    <cellStyle name="常规 14 2 5 3" xfId="32003" xr:uid="{00000000-0005-0000-0000-0000037D0000}"/>
    <cellStyle name="常规 14 2 6" xfId="32004" xr:uid="{00000000-0005-0000-0000-0000047D0000}"/>
    <cellStyle name="常规 14 2 6 2" xfId="32005" xr:uid="{00000000-0005-0000-0000-0000057D0000}"/>
    <cellStyle name="常规 14 2 7" xfId="32006" xr:uid="{00000000-0005-0000-0000-0000067D0000}"/>
    <cellStyle name="常规 14 3" xfId="32007" xr:uid="{00000000-0005-0000-0000-0000077D0000}"/>
    <cellStyle name="常规 14 3 2" xfId="32008" xr:uid="{00000000-0005-0000-0000-0000087D0000}"/>
    <cellStyle name="常规 14 3 2 2" xfId="32009" xr:uid="{00000000-0005-0000-0000-0000097D0000}"/>
    <cellStyle name="常规 14 3 2 3" xfId="32010" xr:uid="{00000000-0005-0000-0000-00000A7D0000}"/>
    <cellStyle name="常规 14 3 2 4" xfId="32011" xr:uid="{00000000-0005-0000-0000-00000B7D0000}"/>
    <cellStyle name="常规 14 3 3" xfId="32012" xr:uid="{00000000-0005-0000-0000-00000C7D0000}"/>
    <cellStyle name="常规 14 3 4" xfId="32013" xr:uid="{00000000-0005-0000-0000-00000D7D0000}"/>
    <cellStyle name="常规 14 3 5" xfId="32014" xr:uid="{00000000-0005-0000-0000-00000E7D0000}"/>
    <cellStyle name="常规 14 3 6" xfId="32015" xr:uid="{00000000-0005-0000-0000-00000F7D0000}"/>
    <cellStyle name="常规 14 3 6 2" xfId="32016" xr:uid="{00000000-0005-0000-0000-0000107D0000}"/>
    <cellStyle name="常规 14 4" xfId="32017" xr:uid="{00000000-0005-0000-0000-0000117D0000}"/>
    <cellStyle name="常规 14 4 2" xfId="32018" xr:uid="{00000000-0005-0000-0000-0000127D0000}"/>
    <cellStyle name="常规 14 4 3" xfId="32019" xr:uid="{00000000-0005-0000-0000-0000137D0000}"/>
    <cellStyle name="常规 14 4 4" xfId="32020" xr:uid="{00000000-0005-0000-0000-0000147D0000}"/>
    <cellStyle name="常规 14 4 5" xfId="32021" xr:uid="{00000000-0005-0000-0000-0000157D0000}"/>
    <cellStyle name="常规 14 4 5 2" xfId="32022" xr:uid="{00000000-0005-0000-0000-0000167D0000}"/>
    <cellStyle name="常规 14 5" xfId="32023" xr:uid="{00000000-0005-0000-0000-0000177D0000}"/>
    <cellStyle name="常规 14 5 2" xfId="32024" xr:uid="{00000000-0005-0000-0000-0000187D0000}"/>
    <cellStyle name="常规 14 5 2 2" xfId="32025" xr:uid="{00000000-0005-0000-0000-0000197D0000}"/>
    <cellStyle name="常规 14 6" xfId="32026" xr:uid="{00000000-0005-0000-0000-00001A7D0000}"/>
    <cellStyle name="常规 14 6 2" xfId="32027" xr:uid="{00000000-0005-0000-0000-00001B7D0000}"/>
    <cellStyle name="常规 14 6 2 2" xfId="32028" xr:uid="{00000000-0005-0000-0000-00001C7D0000}"/>
    <cellStyle name="常规 14 7" xfId="32029" xr:uid="{00000000-0005-0000-0000-00001D7D0000}"/>
    <cellStyle name="常规 14 7 2" xfId="32030" xr:uid="{00000000-0005-0000-0000-00001E7D0000}"/>
    <cellStyle name="常规 14 7 2 2" xfId="32031" xr:uid="{00000000-0005-0000-0000-00001F7D0000}"/>
    <cellStyle name="常规 14 8" xfId="32032" xr:uid="{00000000-0005-0000-0000-0000207D0000}"/>
    <cellStyle name="常规 14 8 2" xfId="32033" xr:uid="{00000000-0005-0000-0000-0000217D0000}"/>
    <cellStyle name="常规 14 8 3" xfId="32034" xr:uid="{00000000-0005-0000-0000-0000227D0000}"/>
    <cellStyle name="常规 14 9" xfId="32035" xr:uid="{00000000-0005-0000-0000-0000237D0000}"/>
    <cellStyle name="常规 15" xfId="32036" xr:uid="{00000000-0005-0000-0000-0000247D0000}"/>
    <cellStyle name="常规 15 2" xfId="32037" xr:uid="{00000000-0005-0000-0000-0000257D0000}"/>
    <cellStyle name="常规 15 2 2" xfId="32038" xr:uid="{00000000-0005-0000-0000-0000267D0000}"/>
    <cellStyle name="常规 15 2 2 2" xfId="32039" xr:uid="{00000000-0005-0000-0000-0000277D0000}"/>
    <cellStyle name="常规 15 2 2 3" xfId="32040" xr:uid="{00000000-0005-0000-0000-0000287D0000}"/>
    <cellStyle name="常规 15 2 2 4" xfId="32041" xr:uid="{00000000-0005-0000-0000-0000297D0000}"/>
    <cellStyle name="常规 15 2 2 5" xfId="32042" xr:uid="{00000000-0005-0000-0000-00002A7D0000}"/>
    <cellStyle name="常规 15 2 2 5 2" xfId="32043" xr:uid="{00000000-0005-0000-0000-00002B7D0000}"/>
    <cellStyle name="常规 15 2 3" xfId="32044" xr:uid="{00000000-0005-0000-0000-00002C7D0000}"/>
    <cellStyle name="常规 15 2 3 2" xfId="32045" xr:uid="{00000000-0005-0000-0000-00002D7D0000}"/>
    <cellStyle name="常规 15 2 3 2 2" xfId="32046" xr:uid="{00000000-0005-0000-0000-00002E7D0000}"/>
    <cellStyle name="常规 15 2 4" xfId="32047" xr:uid="{00000000-0005-0000-0000-00002F7D0000}"/>
    <cellStyle name="常规 15 2 4 2" xfId="32048" xr:uid="{00000000-0005-0000-0000-0000307D0000}"/>
    <cellStyle name="常规 15 2 4 2 2" xfId="32049" xr:uid="{00000000-0005-0000-0000-0000317D0000}"/>
    <cellStyle name="常规 15 2 5" xfId="32050" xr:uid="{00000000-0005-0000-0000-0000327D0000}"/>
    <cellStyle name="常规 15 2 5 2" xfId="32051" xr:uid="{00000000-0005-0000-0000-0000337D0000}"/>
    <cellStyle name="常规 15 2 5 3" xfId="32052" xr:uid="{00000000-0005-0000-0000-0000347D0000}"/>
    <cellStyle name="常规 15 2 6" xfId="32053" xr:uid="{00000000-0005-0000-0000-0000357D0000}"/>
    <cellStyle name="常规 15 2 6 2" xfId="32054" xr:uid="{00000000-0005-0000-0000-0000367D0000}"/>
    <cellStyle name="常规 15 2 7" xfId="32055" xr:uid="{00000000-0005-0000-0000-0000377D0000}"/>
    <cellStyle name="常规 15 3" xfId="32056" xr:uid="{00000000-0005-0000-0000-0000387D0000}"/>
    <cellStyle name="常规 15 3 2" xfId="32057" xr:uid="{00000000-0005-0000-0000-0000397D0000}"/>
    <cellStyle name="常规 15 3 2 2" xfId="32058" xr:uid="{00000000-0005-0000-0000-00003A7D0000}"/>
    <cellStyle name="常规 15 3 2 3" xfId="32059" xr:uid="{00000000-0005-0000-0000-00003B7D0000}"/>
    <cellStyle name="常规 15 3 2 4" xfId="32060" xr:uid="{00000000-0005-0000-0000-00003C7D0000}"/>
    <cellStyle name="常规 15 3 3" xfId="32061" xr:uid="{00000000-0005-0000-0000-00003D7D0000}"/>
    <cellStyle name="常规 15 3 4" xfId="32062" xr:uid="{00000000-0005-0000-0000-00003E7D0000}"/>
    <cellStyle name="常规 15 3 5" xfId="32063" xr:uid="{00000000-0005-0000-0000-00003F7D0000}"/>
    <cellStyle name="常规 15 3 6" xfId="32064" xr:uid="{00000000-0005-0000-0000-0000407D0000}"/>
    <cellStyle name="常规 15 3 6 2" xfId="32065" xr:uid="{00000000-0005-0000-0000-0000417D0000}"/>
    <cellStyle name="常规 15 4" xfId="32066" xr:uid="{00000000-0005-0000-0000-0000427D0000}"/>
    <cellStyle name="常规 15 4 2" xfId="32067" xr:uid="{00000000-0005-0000-0000-0000437D0000}"/>
    <cellStyle name="常规 15 4 3" xfId="32068" xr:uid="{00000000-0005-0000-0000-0000447D0000}"/>
    <cellStyle name="常规 15 4 4" xfId="32069" xr:uid="{00000000-0005-0000-0000-0000457D0000}"/>
    <cellStyle name="常规 15 4 5" xfId="32070" xr:uid="{00000000-0005-0000-0000-0000467D0000}"/>
    <cellStyle name="常规 15 4 5 2" xfId="32071" xr:uid="{00000000-0005-0000-0000-0000477D0000}"/>
    <cellStyle name="常规 15 5" xfId="32072" xr:uid="{00000000-0005-0000-0000-0000487D0000}"/>
    <cellStyle name="常规 15 5 2" xfId="32073" xr:uid="{00000000-0005-0000-0000-0000497D0000}"/>
    <cellStyle name="常规 15 5 2 2" xfId="32074" xr:uid="{00000000-0005-0000-0000-00004A7D0000}"/>
    <cellStyle name="常规 15 6" xfId="32075" xr:uid="{00000000-0005-0000-0000-00004B7D0000}"/>
    <cellStyle name="常规 15 6 2" xfId="32076" xr:uid="{00000000-0005-0000-0000-00004C7D0000}"/>
    <cellStyle name="常规 15 6 2 2" xfId="32077" xr:uid="{00000000-0005-0000-0000-00004D7D0000}"/>
    <cellStyle name="常规 15 7" xfId="32078" xr:uid="{00000000-0005-0000-0000-00004E7D0000}"/>
    <cellStyle name="常规 15 7 2" xfId="32079" xr:uid="{00000000-0005-0000-0000-00004F7D0000}"/>
    <cellStyle name="常规 15 7 2 2" xfId="32080" xr:uid="{00000000-0005-0000-0000-0000507D0000}"/>
    <cellStyle name="常规 15 8" xfId="32081" xr:uid="{00000000-0005-0000-0000-0000517D0000}"/>
    <cellStyle name="常规 15 8 2" xfId="32082" xr:uid="{00000000-0005-0000-0000-0000527D0000}"/>
    <cellStyle name="常规 15 8 3" xfId="32083" xr:uid="{00000000-0005-0000-0000-0000537D0000}"/>
    <cellStyle name="常规 15 9" xfId="32084" xr:uid="{00000000-0005-0000-0000-0000547D0000}"/>
    <cellStyle name="常规 16" xfId="32085" xr:uid="{00000000-0005-0000-0000-0000557D0000}"/>
    <cellStyle name="常规 16 2" xfId="32086" xr:uid="{00000000-0005-0000-0000-0000567D0000}"/>
    <cellStyle name="常规 16 2 2" xfId="32087" xr:uid="{00000000-0005-0000-0000-0000577D0000}"/>
    <cellStyle name="常规 16 2 2 2" xfId="32088" xr:uid="{00000000-0005-0000-0000-0000587D0000}"/>
    <cellStyle name="常规 16 2 2 2 2" xfId="32089" xr:uid="{00000000-0005-0000-0000-0000597D0000}"/>
    <cellStyle name="常规 16 2 3" xfId="32090" xr:uid="{00000000-0005-0000-0000-00005A7D0000}"/>
    <cellStyle name="常规 16 2 3 2" xfId="32091" xr:uid="{00000000-0005-0000-0000-00005B7D0000}"/>
    <cellStyle name="常规 16 2 3 2 2" xfId="32092" xr:uid="{00000000-0005-0000-0000-00005C7D0000}"/>
    <cellStyle name="常规 16 2 4" xfId="32093" xr:uid="{00000000-0005-0000-0000-00005D7D0000}"/>
    <cellStyle name="常规 16 2 4 2" xfId="32094" xr:uid="{00000000-0005-0000-0000-00005E7D0000}"/>
    <cellStyle name="常规 16 2 4 2 2" xfId="32095" xr:uid="{00000000-0005-0000-0000-00005F7D0000}"/>
    <cellStyle name="常规 16 2 5" xfId="32096" xr:uid="{00000000-0005-0000-0000-0000607D0000}"/>
    <cellStyle name="常规 16 2 5 2" xfId="32097" xr:uid="{00000000-0005-0000-0000-0000617D0000}"/>
    <cellStyle name="常规 16 2 5 3" xfId="32098" xr:uid="{00000000-0005-0000-0000-0000627D0000}"/>
    <cellStyle name="常规 16 2 6" xfId="32099" xr:uid="{00000000-0005-0000-0000-0000637D0000}"/>
    <cellStyle name="常规 16 3" xfId="32100" xr:uid="{00000000-0005-0000-0000-0000647D0000}"/>
    <cellStyle name="常规 16 3 2" xfId="32101" xr:uid="{00000000-0005-0000-0000-0000657D0000}"/>
    <cellStyle name="常规 16 3 2 2" xfId="32102" xr:uid="{00000000-0005-0000-0000-0000667D0000}"/>
    <cellStyle name="常规 16 4" xfId="32103" xr:uid="{00000000-0005-0000-0000-0000677D0000}"/>
    <cellStyle name="常规 16 4 2" xfId="32104" xr:uid="{00000000-0005-0000-0000-0000687D0000}"/>
    <cellStyle name="常规 16 4 2 2" xfId="32105" xr:uid="{00000000-0005-0000-0000-0000697D0000}"/>
    <cellStyle name="常规 16 5" xfId="32106" xr:uid="{00000000-0005-0000-0000-00006A7D0000}"/>
    <cellStyle name="常规 16 5 2" xfId="32107" xr:uid="{00000000-0005-0000-0000-00006B7D0000}"/>
    <cellStyle name="常规 16 5 2 2" xfId="32108" xr:uid="{00000000-0005-0000-0000-00006C7D0000}"/>
    <cellStyle name="常规 16 6" xfId="32109" xr:uid="{00000000-0005-0000-0000-00006D7D0000}"/>
    <cellStyle name="常规 16 6 2" xfId="32110" xr:uid="{00000000-0005-0000-0000-00006E7D0000}"/>
    <cellStyle name="常规 16 6 3" xfId="32111" xr:uid="{00000000-0005-0000-0000-00006F7D0000}"/>
    <cellStyle name="常规 16 7" xfId="32112" xr:uid="{00000000-0005-0000-0000-0000707D0000}"/>
    <cellStyle name="常规 16 7 2" xfId="32113" xr:uid="{00000000-0005-0000-0000-0000717D0000}"/>
    <cellStyle name="常规 17" xfId="32114" xr:uid="{00000000-0005-0000-0000-0000727D0000}"/>
    <cellStyle name="常规 17 2" xfId="32115" xr:uid="{00000000-0005-0000-0000-0000737D0000}"/>
    <cellStyle name="常规 17 2 2" xfId="32116" xr:uid="{00000000-0005-0000-0000-0000747D0000}"/>
    <cellStyle name="常规 17 2 3" xfId="32117" xr:uid="{00000000-0005-0000-0000-0000757D0000}"/>
    <cellStyle name="常规 17 2 3 2" xfId="32118" xr:uid="{00000000-0005-0000-0000-0000767D0000}"/>
    <cellStyle name="常规 17 2 3 2 2" xfId="32119" xr:uid="{00000000-0005-0000-0000-0000777D0000}"/>
    <cellStyle name="常规 17 2 3 3" xfId="32120" xr:uid="{00000000-0005-0000-0000-0000787D0000}"/>
    <cellStyle name="常规 17 2 4" xfId="32121" xr:uid="{00000000-0005-0000-0000-0000797D0000}"/>
    <cellStyle name="常规 17 2 4 2" xfId="32122" xr:uid="{00000000-0005-0000-0000-00007A7D0000}"/>
    <cellStyle name="常规 17 2 4 2 2" xfId="32123" xr:uid="{00000000-0005-0000-0000-00007B7D0000}"/>
    <cellStyle name="常规 17 2 5" xfId="32124" xr:uid="{00000000-0005-0000-0000-00007C7D0000}"/>
    <cellStyle name="常规 17 2 5 2" xfId="32125" xr:uid="{00000000-0005-0000-0000-00007D7D0000}"/>
    <cellStyle name="常规 17 2 6" xfId="32126" xr:uid="{00000000-0005-0000-0000-00007E7D0000}"/>
    <cellStyle name="常规 17 3" xfId="32127" xr:uid="{00000000-0005-0000-0000-00007F7D0000}"/>
    <cellStyle name="常规 17 3 2" xfId="32128" xr:uid="{00000000-0005-0000-0000-0000807D0000}"/>
    <cellStyle name="常规 17 3 2 2" xfId="32129" xr:uid="{00000000-0005-0000-0000-0000817D0000}"/>
    <cellStyle name="常规 17 4" xfId="32130" xr:uid="{00000000-0005-0000-0000-0000827D0000}"/>
    <cellStyle name="常规 17 4 2" xfId="32131" xr:uid="{00000000-0005-0000-0000-0000837D0000}"/>
    <cellStyle name="常规 17 4 2 2" xfId="32132" xr:uid="{00000000-0005-0000-0000-0000847D0000}"/>
    <cellStyle name="常规 17 5" xfId="32133" xr:uid="{00000000-0005-0000-0000-0000857D0000}"/>
    <cellStyle name="常规 17 5 2" xfId="32134" xr:uid="{00000000-0005-0000-0000-0000867D0000}"/>
    <cellStyle name="常规 17 5 2 2" xfId="32135" xr:uid="{00000000-0005-0000-0000-0000877D0000}"/>
    <cellStyle name="常规 17 6" xfId="32136" xr:uid="{00000000-0005-0000-0000-0000887D0000}"/>
    <cellStyle name="常规 17 6 2" xfId="32137" xr:uid="{00000000-0005-0000-0000-0000897D0000}"/>
    <cellStyle name="常规 17 6 2 2" xfId="32138" xr:uid="{00000000-0005-0000-0000-00008A7D0000}"/>
    <cellStyle name="常规 17 6 3" xfId="32139" xr:uid="{00000000-0005-0000-0000-00008B7D0000}"/>
    <cellStyle name="常规 17 7" xfId="32140" xr:uid="{00000000-0005-0000-0000-00008C7D0000}"/>
    <cellStyle name="常规 17 7 2" xfId="32141" xr:uid="{00000000-0005-0000-0000-00008D7D0000}"/>
    <cellStyle name="常规 17 8" xfId="32142" xr:uid="{00000000-0005-0000-0000-00008E7D0000}"/>
    <cellStyle name="常规 18" xfId="32143" xr:uid="{00000000-0005-0000-0000-00008F7D0000}"/>
    <cellStyle name="常规 18 2" xfId="32144" xr:uid="{00000000-0005-0000-0000-0000907D0000}"/>
    <cellStyle name="常规 18 2 2" xfId="32145" xr:uid="{00000000-0005-0000-0000-0000917D0000}"/>
    <cellStyle name="常规 18 2 2 2" xfId="32146" xr:uid="{00000000-0005-0000-0000-0000927D0000}"/>
    <cellStyle name="常规 18 3" xfId="32147" xr:uid="{00000000-0005-0000-0000-0000937D0000}"/>
    <cellStyle name="常规 18 3 2" xfId="32148" xr:uid="{00000000-0005-0000-0000-0000947D0000}"/>
    <cellStyle name="常规 18 3 2 2" xfId="32149" xr:uid="{00000000-0005-0000-0000-0000957D0000}"/>
    <cellStyle name="常规 18 4" xfId="32150" xr:uid="{00000000-0005-0000-0000-0000967D0000}"/>
    <cellStyle name="常规 18 5" xfId="32151" xr:uid="{00000000-0005-0000-0000-0000977D0000}"/>
    <cellStyle name="常规 18 5 2" xfId="32152" xr:uid="{00000000-0005-0000-0000-0000987D0000}"/>
    <cellStyle name="常规 18 5 2 2" xfId="32153" xr:uid="{00000000-0005-0000-0000-0000997D0000}"/>
    <cellStyle name="常规 18 5 3" xfId="32154" xr:uid="{00000000-0005-0000-0000-00009A7D0000}"/>
    <cellStyle name="常规 18 6" xfId="32155" xr:uid="{00000000-0005-0000-0000-00009B7D0000}"/>
    <cellStyle name="常规 18 6 2" xfId="32156" xr:uid="{00000000-0005-0000-0000-00009C7D0000}"/>
    <cellStyle name="常规 18 7" xfId="32157" xr:uid="{00000000-0005-0000-0000-00009D7D0000}"/>
    <cellStyle name="常规 18 7 2" xfId="32158" xr:uid="{00000000-0005-0000-0000-00009E7D0000}"/>
    <cellStyle name="常规 19" xfId="32159" xr:uid="{00000000-0005-0000-0000-00009F7D0000}"/>
    <cellStyle name="常规 19 2" xfId="32160" xr:uid="{00000000-0005-0000-0000-0000A07D0000}"/>
    <cellStyle name="常规 19 2 2" xfId="32161" xr:uid="{00000000-0005-0000-0000-0000A17D0000}"/>
    <cellStyle name="常规 19 2 2 2" xfId="32162" xr:uid="{00000000-0005-0000-0000-0000A27D0000}"/>
    <cellStyle name="常规 19 2 2 3" xfId="32163" xr:uid="{00000000-0005-0000-0000-0000A37D0000}"/>
    <cellStyle name="常规 19 2 3" xfId="32164" xr:uid="{00000000-0005-0000-0000-0000A47D0000}"/>
    <cellStyle name="常规 19 2 3 2" xfId="32165" xr:uid="{00000000-0005-0000-0000-0000A57D0000}"/>
    <cellStyle name="常规 19 2 4" xfId="32166" xr:uid="{00000000-0005-0000-0000-0000A67D0000}"/>
    <cellStyle name="常规 19 2 5" xfId="32167" xr:uid="{00000000-0005-0000-0000-0000A77D0000}"/>
    <cellStyle name="常规 19 3" xfId="32168" xr:uid="{00000000-0005-0000-0000-0000A87D0000}"/>
    <cellStyle name="常规 19 3 2" xfId="32169" xr:uid="{00000000-0005-0000-0000-0000A97D0000}"/>
    <cellStyle name="常规 19 3 2 2" xfId="32170" xr:uid="{00000000-0005-0000-0000-0000AA7D0000}"/>
    <cellStyle name="常规 19 4" xfId="32171" xr:uid="{00000000-0005-0000-0000-0000AB7D0000}"/>
    <cellStyle name="常规 19 4 2" xfId="32172" xr:uid="{00000000-0005-0000-0000-0000AC7D0000}"/>
    <cellStyle name="常规 19 4 2 2" xfId="32173" xr:uid="{00000000-0005-0000-0000-0000AD7D0000}"/>
    <cellStyle name="常规 19 4 3" xfId="32174" xr:uid="{00000000-0005-0000-0000-0000AE7D0000}"/>
    <cellStyle name="常规 19 5" xfId="32175" xr:uid="{00000000-0005-0000-0000-0000AF7D0000}"/>
    <cellStyle name="常规 19 5 2" xfId="32176" xr:uid="{00000000-0005-0000-0000-0000B07D0000}"/>
    <cellStyle name="常规 19 5 3" xfId="32177" xr:uid="{00000000-0005-0000-0000-0000B17D0000}"/>
    <cellStyle name="常规 19 6" xfId="32178" xr:uid="{00000000-0005-0000-0000-0000B27D0000}"/>
    <cellStyle name="常规 19 7" xfId="32179" xr:uid="{00000000-0005-0000-0000-0000B37D0000}"/>
    <cellStyle name="常规 2" xfId="32180" xr:uid="{00000000-0005-0000-0000-0000B47D0000}"/>
    <cellStyle name="常规 2 10" xfId="32181" xr:uid="{00000000-0005-0000-0000-0000B57D0000}"/>
    <cellStyle name="常规 2 10 10" xfId="32182" xr:uid="{00000000-0005-0000-0000-0000B67D0000}"/>
    <cellStyle name="常规 2 10 2" xfId="32183" xr:uid="{00000000-0005-0000-0000-0000B77D0000}"/>
    <cellStyle name="常规 2 10 2 2" xfId="32184" xr:uid="{00000000-0005-0000-0000-0000B87D0000}"/>
    <cellStyle name="常规 2 10 2 2 2" xfId="32185" xr:uid="{00000000-0005-0000-0000-0000B97D0000}"/>
    <cellStyle name="常规 2 10 2 2 2 2" xfId="32186" xr:uid="{00000000-0005-0000-0000-0000BA7D0000}"/>
    <cellStyle name="常规 2 10 2 2 2 3" xfId="32187" xr:uid="{00000000-0005-0000-0000-0000BB7D0000}"/>
    <cellStyle name="常规 2 10 2 2 2 4" xfId="32188" xr:uid="{00000000-0005-0000-0000-0000BC7D0000}"/>
    <cellStyle name="常规 2 10 2 2 2 5" xfId="32189" xr:uid="{00000000-0005-0000-0000-0000BD7D0000}"/>
    <cellStyle name="常规 2 10 2 2 2 5 2" xfId="32190" xr:uid="{00000000-0005-0000-0000-0000BE7D0000}"/>
    <cellStyle name="常规 2 10 2 2 3" xfId="32191" xr:uid="{00000000-0005-0000-0000-0000BF7D0000}"/>
    <cellStyle name="常规 2 10 2 2 3 2" xfId="32192" xr:uid="{00000000-0005-0000-0000-0000C07D0000}"/>
    <cellStyle name="常规 2 10 2 2 3 2 2" xfId="32193" xr:uid="{00000000-0005-0000-0000-0000C17D0000}"/>
    <cellStyle name="常规 2 10 2 2 4" xfId="32194" xr:uid="{00000000-0005-0000-0000-0000C27D0000}"/>
    <cellStyle name="常规 2 10 2 2 4 2" xfId="32195" xr:uid="{00000000-0005-0000-0000-0000C37D0000}"/>
    <cellStyle name="常规 2 10 2 2 4 2 2" xfId="32196" xr:uid="{00000000-0005-0000-0000-0000C47D0000}"/>
    <cellStyle name="常规 2 10 2 2 5" xfId="32197" xr:uid="{00000000-0005-0000-0000-0000C57D0000}"/>
    <cellStyle name="常规 2 10 2 2 5 2" xfId="32198" xr:uid="{00000000-0005-0000-0000-0000C67D0000}"/>
    <cellStyle name="常规 2 10 2 2 5 3" xfId="32199" xr:uid="{00000000-0005-0000-0000-0000C77D0000}"/>
    <cellStyle name="常规 2 10 2 2 6" xfId="32200" xr:uid="{00000000-0005-0000-0000-0000C87D0000}"/>
    <cellStyle name="常规 2 10 2 2 6 2" xfId="32201" xr:uid="{00000000-0005-0000-0000-0000C97D0000}"/>
    <cellStyle name="常规 2 10 2 2 7" xfId="32202" xr:uid="{00000000-0005-0000-0000-0000CA7D0000}"/>
    <cellStyle name="常规 2 10 2 3" xfId="32203" xr:uid="{00000000-0005-0000-0000-0000CB7D0000}"/>
    <cellStyle name="常规 2 10 2 3 2" xfId="32204" xr:uid="{00000000-0005-0000-0000-0000CC7D0000}"/>
    <cellStyle name="常规 2 10 2 3 2 2" xfId="32205" xr:uid="{00000000-0005-0000-0000-0000CD7D0000}"/>
    <cellStyle name="常规 2 10 2 3 2 2 2" xfId="32206" xr:uid="{00000000-0005-0000-0000-0000CE7D0000}"/>
    <cellStyle name="常规 2 10 2 3 2 3" xfId="32207" xr:uid="{00000000-0005-0000-0000-0000CF7D0000}"/>
    <cellStyle name="常规 2 10 2 3 2 4" xfId="32208" xr:uid="{00000000-0005-0000-0000-0000D07D0000}"/>
    <cellStyle name="常规 2 10 2 3 2 5" xfId="32209" xr:uid="{00000000-0005-0000-0000-0000D17D0000}"/>
    <cellStyle name="常规 2 10 2 3 2 5 2" xfId="32210" xr:uid="{00000000-0005-0000-0000-0000D27D0000}"/>
    <cellStyle name="常规 2 10 2 3 2 6" xfId="32211" xr:uid="{00000000-0005-0000-0000-0000D37D0000}"/>
    <cellStyle name="常规 2 10 2 3 3" xfId="32212" xr:uid="{00000000-0005-0000-0000-0000D47D0000}"/>
    <cellStyle name="常规 2 10 2 3 3 2" xfId="32213" xr:uid="{00000000-0005-0000-0000-0000D57D0000}"/>
    <cellStyle name="常规 2 10 2 3 3 2 2" xfId="32214" xr:uid="{00000000-0005-0000-0000-0000D67D0000}"/>
    <cellStyle name="常规 2 10 2 3 4" xfId="32215" xr:uid="{00000000-0005-0000-0000-0000D77D0000}"/>
    <cellStyle name="常规 2 10 2 3 4 2" xfId="32216" xr:uid="{00000000-0005-0000-0000-0000D87D0000}"/>
    <cellStyle name="常规 2 10 2 3 4 3" xfId="32217" xr:uid="{00000000-0005-0000-0000-0000D97D0000}"/>
    <cellStyle name="常规 2 10 2 3 5" xfId="32218" xr:uid="{00000000-0005-0000-0000-0000DA7D0000}"/>
    <cellStyle name="常规 2 10 2 3 5 2" xfId="32219" xr:uid="{00000000-0005-0000-0000-0000DB7D0000}"/>
    <cellStyle name="常规 2 10 2 3 6" xfId="32220" xr:uid="{00000000-0005-0000-0000-0000DC7D0000}"/>
    <cellStyle name="常规 2 10 2 3 6 2" xfId="32221" xr:uid="{00000000-0005-0000-0000-0000DD7D0000}"/>
    <cellStyle name="常规 2 10 2 3 7" xfId="32222" xr:uid="{00000000-0005-0000-0000-0000DE7D0000}"/>
    <cellStyle name="常规 2 10 2 4" xfId="32223" xr:uid="{00000000-0005-0000-0000-0000DF7D0000}"/>
    <cellStyle name="常规 2 10 2 4 2" xfId="32224" xr:uid="{00000000-0005-0000-0000-0000E07D0000}"/>
    <cellStyle name="常规 2 10 2 4 3" xfId="32225" xr:uid="{00000000-0005-0000-0000-0000E17D0000}"/>
    <cellStyle name="常规 2 10 2 4 4" xfId="32226" xr:uid="{00000000-0005-0000-0000-0000E27D0000}"/>
    <cellStyle name="常规 2 10 2 4 5" xfId="32227" xr:uid="{00000000-0005-0000-0000-0000E37D0000}"/>
    <cellStyle name="常规 2 10 2 4 5 2" xfId="32228" xr:uid="{00000000-0005-0000-0000-0000E47D0000}"/>
    <cellStyle name="常规 2 10 2 5" xfId="32229" xr:uid="{00000000-0005-0000-0000-0000E57D0000}"/>
    <cellStyle name="常规 2 10 2 5 2" xfId="32230" xr:uid="{00000000-0005-0000-0000-0000E67D0000}"/>
    <cellStyle name="常规 2 10 2 5 2 2" xfId="32231" xr:uid="{00000000-0005-0000-0000-0000E77D0000}"/>
    <cellStyle name="常规 2 10 2 6" xfId="32232" xr:uid="{00000000-0005-0000-0000-0000E87D0000}"/>
    <cellStyle name="常规 2 10 2 6 2" xfId="32233" xr:uid="{00000000-0005-0000-0000-0000E97D0000}"/>
    <cellStyle name="常规 2 10 2 6 2 2" xfId="32234" xr:uid="{00000000-0005-0000-0000-0000EA7D0000}"/>
    <cellStyle name="常规 2 10 2 7" xfId="32235" xr:uid="{00000000-0005-0000-0000-0000EB7D0000}"/>
    <cellStyle name="常规 2 10 2 7 2" xfId="32236" xr:uid="{00000000-0005-0000-0000-0000EC7D0000}"/>
    <cellStyle name="常规 2 10 2 7 2 2" xfId="32237" xr:uid="{00000000-0005-0000-0000-0000ED7D0000}"/>
    <cellStyle name="常规 2 10 2 8" xfId="32238" xr:uid="{00000000-0005-0000-0000-0000EE7D0000}"/>
    <cellStyle name="常规 2 10 2 8 2" xfId="32239" xr:uid="{00000000-0005-0000-0000-0000EF7D0000}"/>
    <cellStyle name="常规 2 10 2 8 3" xfId="32240" xr:uid="{00000000-0005-0000-0000-0000F07D0000}"/>
    <cellStyle name="常规 2 10 2 9" xfId="32241" xr:uid="{00000000-0005-0000-0000-0000F17D0000}"/>
    <cellStyle name="常规 2 10 3" xfId="32242" xr:uid="{00000000-0005-0000-0000-0000F27D0000}"/>
    <cellStyle name="常规 2 10 3 2" xfId="32243" xr:uid="{00000000-0005-0000-0000-0000F37D0000}"/>
    <cellStyle name="常规 2 10 3 2 2" xfId="32244" xr:uid="{00000000-0005-0000-0000-0000F47D0000}"/>
    <cellStyle name="常规 2 10 3 2 3" xfId="32245" xr:uid="{00000000-0005-0000-0000-0000F57D0000}"/>
    <cellStyle name="常规 2 10 3 2 4" xfId="32246" xr:uid="{00000000-0005-0000-0000-0000F67D0000}"/>
    <cellStyle name="常规 2 10 3 2 5" xfId="32247" xr:uid="{00000000-0005-0000-0000-0000F77D0000}"/>
    <cellStyle name="常规 2 10 3 2 5 2" xfId="32248" xr:uid="{00000000-0005-0000-0000-0000F87D0000}"/>
    <cellStyle name="常规 2 10 3 3" xfId="32249" xr:uid="{00000000-0005-0000-0000-0000F97D0000}"/>
    <cellStyle name="常规 2 10 3 3 2" xfId="32250" xr:uid="{00000000-0005-0000-0000-0000FA7D0000}"/>
    <cellStyle name="常规 2 10 3 3 2 2" xfId="32251" xr:uid="{00000000-0005-0000-0000-0000FB7D0000}"/>
    <cellStyle name="常规 2 10 3 4" xfId="32252" xr:uid="{00000000-0005-0000-0000-0000FC7D0000}"/>
    <cellStyle name="常规 2 10 3 4 2" xfId="32253" xr:uid="{00000000-0005-0000-0000-0000FD7D0000}"/>
    <cellStyle name="常规 2 10 3 4 2 2" xfId="32254" xr:uid="{00000000-0005-0000-0000-0000FE7D0000}"/>
    <cellStyle name="常规 2 10 3 5" xfId="32255" xr:uid="{00000000-0005-0000-0000-0000FF7D0000}"/>
    <cellStyle name="常规 2 10 3 5 2" xfId="32256" xr:uid="{00000000-0005-0000-0000-0000007E0000}"/>
    <cellStyle name="常规 2 10 3 5 3" xfId="32257" xr:uid="{00000000-0005-0000-0000-0000017E0000}"/>
    <cellStyle name="常规 2 10 3 6" xfId="32258" xr:uid="{00000000-0005-0000-0000-0000027E0000}"/>
    <cellStyle name="常规 2 10 3 6 2" xfId="32259" xr:uid="{00000000-0005-0000-0000-0000037E0000}"/>
    <cellStyle name="常规 2 10 3 7" xfId="32260" xr:uid="{00000000-0005-0000-0000-0000047E0000}"/>
    <cellStyle name="常规 2 10 4" xfId="32261" xr:uid="{00000000-0005-0000-0000-0000057E0000}"/>
    <cellStyle name="常规 2 10 4 2" xfId="32262" xr:uid="{00000000-0005-0000-0000-0000067E0000}"/>
    <cellStyle name="常规 2 10 4 2 2" xfId="32263" xr:uid="{00000000-0005-0000-0000-0000077E0000}"/>
    <cellStyle name="常规 2 10 4 2 3" xfId="32264" xr:uid="{00000000-0005-0000-0000-0000087E0000}"/>
    <cellStyle name="常规 2 10 4 2 4" xfId="32265" xr:uid="{00000000-0005-0000-0000-0000097E0000}"/>
    <cellStyle name="常规 2 10 4 3" xfId="32266" xr:uid="{00000000-0005-0000-0000-00000A7E0000}"/>
    <cellStyle name="常规 2 10 4 4" xfId="32267" xr:uid="{00000000-0005-0000-0000-00000B7E0000}"/>
    <cellStyle name="常规 2 10 4 5" xfId="32268" xr:uid="{00000000-0005-0000-0000-00000C7E0000}"/>
    <cellStyle name="常规 2 10 4 6" xfId="32269" xr:uid="{00000000-0005-0000-0000-00000D7E0000}"/>
    <cellStyle name="常规 2 10 4 6 2" xfId="32270" xr:uid="{00000000-0005-0000-0000-00000E7E0000}"/>
    <cellStyle name="常规 2 10 5" xfId="32271" xr:uid="{00000000-0005-0000-0000-00000F7E0000}"/>
    <cellStyle name="常规 2 10 5 2" xfId="32272" xr:uid="{00000000-0005-0000-0000-0000107E0000}"/>
    <cellStyle name="常规 2 10 5 3" xfId="32273" xr:uid="{00000000-0005-0000-0000-0000117E0000}"/>
    <cellStyle name="常规 2 10 5 4" xfId="32274" xr:uid="{00000000-0005-0000-0000-0000127E0000}"/>
    <cellStyle name="常规 2 10 5 5" xfId="32275" xr:uid="{00000000-0005-0000-0000-0000137E0000}"/>
    <cellStyle name="常规 2 10 5 5 2" xfId="32276" xr:uid="{00000000-0005-0000-0000-0000147E0000}"/>
    <cellStyle name="常规 2 10 6" xfId="32277" xr:uid="{00000000-0005-0000-0000-0000157E0000}"/>
    <cellStyle name="常规 2 10 6 2" xfId="32278" xr:uid="{00000000-0005-0000-0000-0000167E0000}"/>
    <cellStyle name="常规 2 10 6 2 2" xfId="32279" xr:uid="{00000000-0005-0000-0000-0000177E0000}"/>
    <cellStyle name="常规 2 10 7" xfId="32280" xr:uid="{00000000-0005-0000-0000-0000187E0000}"/>
    <cellStyle name="常规 2 10 7 2" xfId="32281" xr:uid="{00000000-0005-0000-0000-0000197E0000}"/>
    <cellStyle name="常规 2 10 7 2 2" xfId="32282" xr:uid="{00000000-0005-0000-0000-00001A7E0000}"/>
    <cellStyle name="常规 2 10 8" xfId="32283" xr:uid="{00000000-0005-0000-0000-00001B7E0000}"/>
    <cellStyle name="常规 2 10 8 2" xfId="32284" xr:uid="{00000000-0005-0000-0000-00001C7E0000}"/>
    <cellStyle name="常规 2 10 8 2 2" xfId="32285" xr:uid="{00000000-0005-0000-0000-00001D7E0000}"/>
    <cellStyle name="常规 2 10 9" xfId="32286" xr:uid="{00000000-0005-0000-0000-00001E7E0000}"/>
    <cellStyle name="常规 2 10 9 2" xfId="32287" xr:uid="{00000000-0005-0000-0000-00001F7E0000}"/>
    <cellStyle name="常规 2 10 9 3" xfId="32288" xr:uid="{00000000-0005-0000-0000-0000207E0000}"/>
    <cellStyle name="常规 2 11" xfId="32289" xr:uid="{00000000-0005-0000-0000-0000217E0000}"/>
    <cellStyle name="常规 2 11 10" xfId="32290" xr:uid="{00000000-0005-0000-0000-0000227E0000}"/>
    <cellStyle name="常规 2 11 2" xfId="32291" xr:uid="{00000000-0005-0000-0000-0000237E0000}"/>
    <cellStyle name="常规 2 11 2 2" xfId="32292" xr:uid="{00000000-0005-0000-0000-0000247E0000}"/>
    <cellStyle name="常规 2 11 2 2 2" xfId="32293" xr:uid="{00000000-0005-0000-0000-0000257E0000}"/>
    <cellStyle name="常规 2 11 2 2 2 2" xfId="32294" xr:uid="{00000000-0005-0000-0000-0000267E0000}"/>
    <cellStyle name="常规 2 11 2 2 2 3" xfId="32295" xr:uid="{00000000-0005-0000-0000-0000277E0000}"/>
    <cellStyle name="常规 2 11 2 2 2 4" xfId="32296" xr:uid="{00000000-0005-0000-0000-0000287E0000}"/>
    <cellStyle name="常规 2 11 2 2 3" xfId="32297" xr:uid="{00000000-0005-0000-0000-0000297E0000}"/>
    <cellStyle name="常规 2 11 2 2 4" xfId="32298" xr:uid="{00000000-0005-0000-0000-00002A7E0000}"/>
    <cellStyle name="常规 2 11 2 2 5" xfId="32299" xr:uid="{00000000-0005-0000-0000-00002B7E0000}"/>
    <cellStyle name="常规 2 11 2 2 6" xfId="32300" xr:uid="{00000000-0005-0000-0000-00002C7E0000}"/>
    <cellStyle name="常规 2 11 2 2 6 2" xfId="32301" xr:uid="{00000000-0005-0000-0000-00002D7E0000}"/>
    <cellStyle name="常规 2 11 2 3" xfId="32302" xr:uid="{00000000-0005-0000-0000-00002E7E0000}"/>
    <cellStyle name="常规 2 11 2 3 2" xfId="32303" xr:uid="{00000000-0005-0000-0000-00002F7E0000}"/>
    <cellStyle name="常规 2 11 2 3 2 2" xfId="32304" xr:uid="{00000000-0005-0000-0000-0000307E0000}"/>
    <cellStyle name="常规 2 11 2 3 2 3" xfId="32305" xr:uid="{00000000-0005-0000-0000-0000317E0000}"/>
    <cellStyle name="常规 2 11 2 3 2 4" xfId="32306" xr:uid="{00000000-0005-0000-0000-0000327E0000}"/>
    <cellStyle name="常规 2 11 2 3 3" xfId="32307" xr:uid="{00000000-0005-0000-0000-0000337E0000}"/>
    <cellStyle name="常规 2 11 2 3 4" xfId="32308" xr:uid="{00000000-0005-0000-0000-0000347E0000}"/>
    <cellStyle name="常规 2 11 2 3 5" xfId="32309" xr:uid="{00000000-0005-0000-0000-0000357E0000}"/>
    <cellStyle name="常规 2 11 2 3 6" xfId="32310" xr:uid="{00000000-0005-0000-0000-0000367E0000}"/>
    <cellStyle name="常规 2 11 2 3 6 2" xfId="32311" xr:uid="{00000000-0005-0000-0000-0000377E0000}"/>
    <cellStyle name="常规 2 11 2 4" xfId="32312" xr:uid="{00000000-0005-0000-0000-0000387E0000}"/>
    <cellStyle name="常规 2 11 2 4 2" xfId="32313" xr:uid="{00000000-0005-0000-0000-0000397E0000}"/>
    <cellStyle name="常规 2 11 2 4 2 2" xfId="32314" xr:uid="{00000000-0005-0000-0000-00003A7E0000}"/>
    <cellStyle name="常规 2 11 2 4 3" xfId="32315" xr:uid="{00000000-0005-0000-0000-00003B7E0000}"/>
    <cellStyle name="常规 2 11 2 4 4" xfId="32316" xr:uid="{00000000-0005-0000-0000-00003C7E0000}"/>
    <cellStyle name="常规 2 11 2 4 5" xfId="32317" xr:uid="{00000000-0005-0000-0000-00003D7E0000}"/>
    <cellStyle name="常规 2 11 2 5" xfId="32318" xr:uid="{00000000-0005-0000-0000-00003E7E0000}"/>
    <cellStyle name="常规 2 11 2 5 2" xfId="32319" xr:uid="{00000000-0005-0000-0000-00003F7E0000}"/>
    <cellStyle name="常规 2 11 2 5 3" xfId="32320" xr:uid="{00000000-0005-0000-0000-0000407E0000}"/>
    <cellStyle name="常规 2 11 2 6" xfId="32321" xr:uid="{00000000-0005-0000-0000-0000417E0000}"/>
    <cellStyle name="常规 2 11 2 7" xfId="32322" xr:uid="{00000000-0005-0000-0000-0000427E0000}"/>
    <cellStyle name="常规 2 11 2 8" xfId="32323" xr:uid="{00000000-0005-0000-0000-0000437E0000}"/>
    <cellStyle name="常规 2 11 2 8 2" xfId="32324" xr:uid="{00000000-0005-0000-0000-0000447E0000}"/>
    <cellStyle name="常规 2 11 2 9" xfId="32325" xr:uid="{00000000-0005-0000-0000-0000457E0000}"/>
    <cellStyle name="常规 2 11 3" xfId="32326" xr:uid="{00000000-0005-0000-0000-0000467E0000}"/>
    <cellStyle name="常规 2 11 3 2" xfId="32327" xr:uid="{00000000-0005-0000-0000-0000477E0000}"/>
    <cellStyle name="常规 2 11 3 2 2" xfId="32328" xr:uid="{00000000-0005-0000-0000-0000487E0000}"/>
    <cellStyle name="常规 2 11 3 2 2 2" xfId="32329" xr:uid="{00000000-0005-0000-0000-0000497E0000}"/>
    <cellStyle name="常规 2 11 3 2 3" xfId="32330" xr:uid="{00000000-0005-0000-0000-00004A7E0000}"/>
    <cellStyle name="常规 2 11 3 2 4" xfId="32331" xr:uid="{00000000-0005-0000-0000-00004B7E0000}"/>
    <cellStyle name="常规 2 11 3 2 5" xfId="32332" xr:uid="{00000000-0005-0000-0000-00004C7E0000}"/>
    <cellStyle name="常规 2 11 3 2 5 2" xfId="32333" xr:uid="{00000000-0005-0000-0000-00004D7E0000}"/>
    <cellStyle name="常规 2 11 3 2 6" xfId="32334" xr:uid="{00000000-0005-0000-0000-00004E7E0000}"/>
    <cellStyle name="常规 2 11 3 3" xfId="32335" xr:uid="{00000000-0005-0000-0000-00004F7E0000}"/>
    <cellStyle name="常规 2 11 3 3 2" xfId="32336" xr:uid="{00000000-0005-0000-0000-0000507E0000}"/>
    <cellStyle name="常规 2 11 3 3 2 2" xfId="32337" xr:uid="{00000000-0005-0000-0000-0000517E0000}"/>
    <cellStyle name="常规 2 11 3 4" xfId="32338" xr:uid="{00000000-0005-0000-0000-0000527E0000}"/>
    <cellStyle name="常规 2 11 3 4 2" xfId="32339" xr:uid="{00000000-0005-0000-0000-0000537E0000}"/>
    <cellStyle name="常规 2 11 3 4 3" xfId="32340" xr:uid="{00000000-0005-0000-0000-0000547E0000}"/>
    <cellStyle name="常规 2 11 3 5" xfId="32341" xr:uid="{00000000-0005-0000-0000-0000557E0000}"/>
    <cellStyle name="常规 2 11 3 5 2" xfId="32342" xr:uid="{00000000-0005-0000-0000-0000567E0000}"/>
    <cellStyle name="常规 2 11 3 6" xfId="32343" xr:uid="{00000000-0005-0000-0000-0000577E0000}"/>
    <cellStyle name="常规 2 11 3 6 2" xfId="32344" xr:uid="{00000000-0005-0000-0000-0000587E0000}"/>
    <cellStyle name="常规 2 11 3 7" xfId="32345" xr:uid="{00000000-0005-0000-0000-0000597E0000}"/>
    <cellStyle name="常规 2 11 4" xfId="32346" xr:uid="{00000000-0005-0000-0000-00005A7E0000}"/>
    <cellStyle name="常规 2 11 4 2" xfId="32347" xr:uid="{00000000-0005-0000-0000-00005B7E0000}"/>
    <cellStyle name="常规 2 11 4 2 2" xfId="32348" xr:uid="{00000000-0005-0000-0000-00005C7E0000}"/>
    <cellStyle name="常规 2 11 4 2 3" xfId="32349" xr:uid="{00000000-0005-0000-0000-00005D7E0000}"/>
    <cellStyle name="常规 2 11 4 2 4" xfId="32350" xr:uid="{00000000-0005-0000-0000-00005E7E0000}"/>
    <cellStyle name="常规 2 11 4 3" xfId="32351" xr:uid="{00000000-0005-0000-0000-00005F7E0000}"/>
    <cellStyle name="常规 2 11 4 4" xfId="32352" xr:uid="{00000000-0005-0000-0000-0000607E0000}"/>
    <cellStyle name="常规 2 11 4 5" xfId="32353" xr:uid="{00000000-0005-0000-0000-0000617E0000}"/>
    <cellStyle name="常规 2 11 4 6" xfId="32354" xr:uid="{00000000-0005-0000-0000-0000627E0000}"/>
    <cellStyle name="常规 2 11 4 6 2" xfId="32355" xr:uid="{00000000-0005-0000-0000-0000637E0000}"/>
    <cellStyle name="常规 2 11 5" xfId="32356" xr:uid="{00000000-0005-0000-0000-0000647E0000}"/>
    <cellStyle name="常规 2 11 5 2" xfId="32357" xr:uid="{00000000-0005-0000-0000-0000657E0000}"/>
    <cellStyle name="常规 2 11 5 3" xfId="32358" xr:uid="{00000000-0005-0000-0000-0000667E0000}"/>
    <cellStyle name="常规 2 11 5 4" xfId="32359" xr:uid="{00000000-0005-0000-0000-0000677E0000}"/>
    <cellStyle name="常规 2 11 5 5" xfId="32360" xr:uid="{00000000-0005-0000-0000-0000687E0000}"/>
    <cellStyle name="常规 2 11 5 5 2" xfId="32361" xr:uid="{00000000-0005-0000-0000-0000697E0000}"/>
    <cellStyle name="常规 2 11 6" xfId="32362" xr:uid="{00000000-0005-0000-0000-00006A7E0000}"/>
    <cellStyle name="常规 2 11 6 2" xfId="32363" xr:uid="{00000000-0005-0000-0000-00006B7E0000}"/>
    <cellStyle name="常规 2 11 6 2 2" xfId="32364" xr:uid="{00000000-0005-0000-0000-00006C7E0000}"/>
    <cellStyle name="常规 2 11 7" xfId="32365" xr:uid="{00000000-0005-0000-0000-00006D7E0000}"/>
    <cellStyle name="常规 2 11 7 2" xfId="32366" xr:uid="{00000000-0005-0000-0000-00006E7E0000}"/>
    <cellStyle name="常规 2 11 7 2 2" xfId="32367" xr:uid="{00000000-0005-0000-0000-00006F7E0000}"/>
    <cellStyle name="常规 2 11 8" xfId="32368" xr:uid="{00000000-0005-0000-0000-0000707E0000}"/>
    <cellStyle name="常规 2 11 8 2" xfId="32369" xr:uid="{00000000-0005-0000-0000-0000717E0000}"/>
    <cellStyle name="常规 2 11 8 3" xfId="32370" xr:uid="{00000000-0005-0000-0000-0000727E0000}"/>
    <cellStyle name="常规 2 11 9" xfId="32371" xr:uid="{00000000-0005-0000-0000-0000737E0000}"/>
    <cellStyle name="常规 2 11 9 2" xfId="32372" xr:uid="{00000000-0005-0000-0000-0000747E0000}"/>
    <cellStyle name="常规 2 12" xfId="32373" xr:uid="{00000000-0005-0000-0000-0000757E0000}"/>
    <cellStyle name="常规 2 12 2" xfId="32374" xr:uid="{00000000-0005-0000-0000-0000767E0000}"/>
    <cellStyle name="常规 2 12 2 2" xfId="32375" xr:uid="{00000000-0005-0000-0000-0000777E0000}"/>
    <cellStyle name="常规 2 12 2 2 2" xfId="32376" xr:uid="{00000000-0005-0000-0000-0000787E0000}"/>
    <cellStyle name="常规 2 12 2 2 3" xfId="32377" xr:uid="{00000000-0005-0000-0000-0000797E0000}"/>
    <cellStyle name="常规 2 12 2 2 4" xfId="32378" xr:uid="{00000000-0005-0000-0000-00007A7E0000}"/>
    <cellStyle name="常规 2 12 2 2 5" xfId="32379" xr:uid="{00000000-0005-0000-0000-00007B7E0000}"/>
    <cellStyle name="常规 2 12 2 2 5 2" xfId="32380" xr:uid="{00000000-0005-0000-0000-00007C7E0000}"/>
    <cellStyle name="常规 2 12 2 3" xfId="32381" xr:uid="{00000000-0005-0000-0000-00007D7E0000}"/>
    <cellStyle name="常规 2 12 2 3 2" xfId="32382" xr:uid="{00000000-0005-0000-0000-00007E7E0000}"/>
    <cellStyle name="常规 2 12 2 3 2 2" xfId="32383" xr:uid="{00000000-0005-0000-0000-00007F7E0000}"/>
    <cellStyle name="常规 2 12 2 4" xfId="32384" xr:uid="{00000000-0005-0000-0000-0000807E0000}"/>
    <cellStyle name="常规 2 12 2 4 2" xfId="32385" xr:uid="{00000000-0005-0000-0000-0000817E0000}"/>
    <cellStyle name="常规 2 12 2 4 2 2" xfId="32386" xr:uid="{00000000-0005-0000-0000-0000827E0000}"/>
    <cellStyle name="常规 2 12 2 5" xfId="32387" xr:uid="{00000000-0005-0000-0000-0000837E0000}"/>
    <cellStyle name="常规 2 12 2 5 2" xfId="32388" xr:uid="{00000000-0005-0000-0000-0000847E0000}"/>
    <cellStyle name="常规 2 12 2 5 3" xfId="32389" xr:uid="{00000000-0005-0000-0000-0000857E0000}"/>
    <cellStyle name="常规 2 12 2 6" xfId="32390" xr:uid="{00000000-0005-0000-0000-0000867E0000}"/>
    <cellStyle name="常规 2 12 2 6 2" xfId="32391" xr:uid="{00000000-0005-0000-0000-0000877E0000}"/>
    <cellStyle name="常规 2 12 2 7" xfId="32392" xr:uid="{00000000-0005-0000-0000-0000887E0000}"/>
    <cellStyle name="常规 2 12 3" xfId="32393" xr:uid="{00000000-0005-0000-0000-0000897E0000}"/>
    <cellStyle name="常规 2 12 3 2" xfId="32394" xr:uid="{00000000-0005-0000-0000-00008A7E0000}"/>
    <cellStyle name="常规 2 12 3 2 2" xfId="32395" xr:uid="{00000000-0005-0000-0000-00008B7E0000}"/>
    <cellStyle name="常规 2 12 3 2 3" xfId="32396" xr:uid="{00000000-0005-0000-0000-00008C7E0000}"/>
    <cellStyle name="常规 2 12 3 2 4" xfId="32397" xr:uid="{00000000-0005-0000-0000-00008D7E0000}"/>
    <cellStyle name="常规 2 12 3 3" xfId="32398" xr:uid="{00000000-0005-0000-0000-00008E7E0000}"/>
    <cellStyle name="常规 2 12 3 4" xfId="32399" xr:uid="{00000000-0005-0000-0000-00008F7E0000}"/>
    <cellStyle name="常规 2 12 3 5" xfId="32400" xr:uid="{00000000-0005-0000-0000-0000907E0000}"/>
    <cellStyle name="常规 2 12 3 6" xfId="32401" xr:uid="{00000000-0005-0000-0000-0000917E0000}"/>
    <cellStyle name="常规 2 12 3 6 2" xfId="32402" xr:uid="{00000000-0005-0000-0000-0000927E0000}"/>
    <cellStyle name="常规 2 12 4" xfId="32403" xr:uid="{00000000-0005-0000-0000-0000937E0000}"/>
    <cellStyle name="常规 2 12 4 2" xfId="32404" xr:uid="{00000000-0005-0000-0000-0000947E0000}"/>
    <cellStyle name="常规 2 12 4 3" xfId="32405" xr:uid="{00000000-0005-0000-0000-0000957E0000}"/>
    <cellStyle name="常规 2 12 4 4" xfId="32406" xr:uid="{00000000-0005-0000-0000-0000967E0000}"/>
    <cellStyle name="常规 2 12 4 5" xfId="32407" xr:uid="{00000000-0005-0000-0000-0000977E0000}"/>
    <cellStyle name="常规 2 12 4 5 2" xfId="32408" xr:uid="{00000000-0005-0000-0000-0000987E0000}"/>
    <cellStyle name="常规 2 12 5" xfId="32409" xr:uid="{00000000-0005-0000-0000-0000997E0000}"/>
    <cellStyle name="常规 2 12 5 2" xfId="32410" xr:uid="{00000000-0005-0000-0000-00009A7E0000}"/>
    <cellStyle name="常规 2 12 5 2 2" xfId="32411" xr:uid="{00000000-0005-0000-0000-00009B7E0000}"/>
    <cellStyle name="常规 2 12 6" xfId="32412" xr:uid="{00000000-0005-0000-0000-00009C7E0000}"/>
    <cellStyle name="常规 2 12 6 2" xfId="32413" xr:uid="{00000000-0005-0000-0000-00009D7E0000}"/>
    <cellStyle name="常规 2 12 6 2 2" xfId="32414" xr:uid="{00000000-0005-0000-0000-00009E7E0000}"/>
    <cellStyle name="常规 2 12 7" xfId="32415" xr:uid="{00000000-0005-0000-0000-00009F7E0000}"/>
    <cellStyle name="常规 2 12 7 2" xfId="32416" xr:uid="{00000000-0005-0000-0000-0000A07E0000}"/>
    <cellStyle name="常规 2 12 7 2 2" xfId="32417" xr:uid="{00000000-0005-0000-0000-0000A17E0000}"/>
    <cellStyle name="常规 2 12 8" xfId="32418" xr:uid="{00000000-0005-0000-0000-0000A27E0000}"/>
    <cellStyle name="常规 2 12 8 2" xfId="32419" xr:uid="{00000000-0005-0000-0000-0000A37E0000}"/>
    <cellStyle name="常规 2 12 8 3" xfId="32420" xr:uid="{00000000-0005-0000-0000-0000A47E0000}"/>
    <cellStyle name="常规 2 12 9" xfId="32421" xr:uid="{00000000-0005-0000-0000-0000A57E0000}"/>
    <cellStyle name="常规 2 13" xfId="32422" xr:uid="{00000000-0005-0000-0000-0000A67E0000}"/>
    <cellStyle name="常规 2 13 2" xfId="32423" xr:uid="{00000000-0005-0000-0000-0000A77E0000}"/>
    <cellStyle name="常规 2 13 2 2" xfId="32424" xr:uid="{00000000-0005-0000-0000-0000A87E0000}"/>
    <cellStyle name="常规 2 13 2 2 2" xfId="32425" xr:uid="{00000000-0005-0000-0000-0000A97E0000}"/>
    <cellStyle name="常规 2 13 2 2 2 2" xfId="32426" xr:uid="{00000000-0005-0000-0000-0000AA7E0000}"/>
    <cellStyle name="常规 2 13 2 3" xfId="32427" xr:uid="{00000000-0005-0000-0000-0000AB7E0000}"/>
    <cellStyle name="常规 2 13 2 3 2" xfId="32428" xr:uid="{00000000-0005-0000-0000-0000AC7E0000}"/>
    <cellStyle name="常规 2 13 2 3 2 2" xfId="32429" xr:uid="{00000000-0005-0000-0000-0000AD7E0000}"/>
    <cellStyle name="常规 2 13 2 4" xfId="32430" xr:uid="{00000000-0005-0000-0000-0000AE7E0000}"/>
    <cellStyle name="常规 2 13 2 4 2" xfId="32431" xr:uid="{00000000-0005-0000-0000-0000AF7E0000}"/>
    <cellStyle name="常规 2 13 2 4 2 2" xfId="32432" xr:uid="{00000000-0005-0000-0000-0000B07E0000}"/>
    <cellStyle name="常规 2 13 2 5" xfId="32433" xr:uid="{00000000-0005-0000-0000-0000B17E0000}"/>
    <cellStyle name="常规 2 13 2 5 2" xfId="32434" xr:uid="{00000000-0005-0000-0000-0000B27E0000}"/>
    <cellStyle name="常规 2 13 2 5 3" xfId="32435" xr:uid="{00000000-0005-0000-0000-0000B37E0000}"/>
    <cellStyle name="常规 2 13 2 6" xfId="32436" xr:uid="{00000000-0005-0000-0000-0000B47E0000}"/>
    <cellStyle name="常规 2 13 3" xfId="32437" xr:uid="{00000000-0005-0000-0000-0000B57E0000}"/>
    <cellStyle name="常规 2 13 3 2" xfId="32438" xr:uid="{00000000-0005-0000-0000-0000B67E0000}"/>
    <cellStyle name="常规 2 13 3 2 2" xfId="32439" xr:uid="{00000000-0005-0000-0000-0000B77E0000}"/>
    <cellStyle name="常规 2 13 4" xfId="32440" xr:uid="{00000000-0005-0000-0000-0000B87E0000}"/>
    <cellStyle name="常规 2 13 4 2" xfId="32441" xr:uid="{00000000-0005-0000-0000-0000B97E0000}"/>
    <cellStyle name="常规 2 13 4 2 2" xfId="32442" xr:uid="{00000000-0005-0000-0000-0000BA7E0000}"/>
    <cellStyle name="常规 2 13 5" xfId="32443" xr:uid="{00000000-0005-0000-0000-0000BB7E0000}"/>
    <cellStyle name="常规 2 13 5 2" xfId="32444" xr:uid="{00000000-0005-0000-0000-0000BC7E0000}"/>
    <cellStyle name="常规 2 13 5 2 2" xfId="32445" xr:uid="{00000000-0005-0000-0000-0000BD7E0000}"/>
    <cellStyle name="常规 2 13 6" xfId="32446" xr:uid="{00000000-0005-0000-0000-0000BE7E0000}"/>
    <cellStyle name="常规 2 13 7" xfId="32447" xr:uid="{00000000-0005-0000-0000-0000BF7E0000}"/>
    <cellStyle name="常规 2 13 7 2" xfId="32448" xr:uid="{00000000-0005-0000-0000-0000C07E0000}"/>
    <cellStyle name="常规 2 13 7 3" xfId="32449" xr:uid="{00000000-0005-0000-0000-0000C17E0000}"/>
    <cellStyle name="常规 2 13 8" xfId="32450" xr:uid="{00000000-0005-0000-0000-0000C27E0000}"/>
    <cellStyle name="常规 2 13 8 2" xfId="32451" xr:uid="{00000000-0005-0000-0000-0000C37E0000}"/>
    <cellStyle name="常规 2 14" xfId="32452" xr:uid="{00000000-0005-0000-0000-0000C47E0000}"/>
    <cellStyle name="常规 2 14 2" xfId="32453" xr:uid="{00000000-0005-0000-0000-0000C57E0000}"/>
    <cellStyle name="常规 2 14 2 2" xfId="32454" xr:uid="{00000000-0005-0000-0000-0000C67E0000}"/>
    <cellStyle name="常规 2 14 2 2 2" xfId="32455" xr:uid="{00000000-0005-0000-0000-0000C77E0000}"/>
    <cellStyle name="常规 2 14 2 2 2 2" xfId="32456" xr:uid="{00000000-0005-0000-0000-0000C87E0000}"/>
    <cellStyle name="常规 2 14 2 3" xfId="32457" xr:uid="{00000000-0005-0000-0000-0000C97E0000}"/>
    <cellStyle name="常规 2 14 2 4" xfId="32458" xr:uid="{00000000-0005-0000-0000-0000CA7E0000}"/>
    <cellStyle name="常规 2 14 2 5" xfId="32459" xr:uid="{00000000-0005-0000-0000-0000CB7E0000}"/>
    <cellStyle name="常规 2 14 2 5 2" xfId="32460" xr:uid="{00000000-0005-0000-0000-0000CC7E0000}"/>
    <cellStyle name="常规 2 14 3" xfId="32461" xr:uid="{00000000-0005-0000-0000-0000CD7E0000}"/>
    <cellStyle name="常规 2 14 3 2" xfId="32462" xr:uid="{00000000-0005-0000-0000-0000CE7E0000}"/>
    <cellStyle name="常规 2 14 3 2 2" xfId="32463" xr:uid="{00000000-0005-0000-0000-0000CF7E0000}"/>
    <cellStyle name="常规 2 14 4" xfId="32464" xr:uid="{00000000-0005-0000-0000-0000D07E0000}"/>
    <cellStyle name="常规 2 14 4 2" xfId="32465" xr:uid="{00000000-0005-0000-0000-0000D17E0000}"/>
    <cellStyle name="常规 2 14 4 2 2" xfId="32466" xr:uid="{00000000-0005-0000-0000-0000D27E0000}"/>
    <cellStyle name="常规 2 14 5" xfId="32467" xr:uid="{00000000-0005-0000-0000-0000D37E0000}"/>
    <cellStyle name="常规 2 14 6" xfId="32468" xr:uid="{00000000-0005-0000-0000-0000D47E0000}"/>
    <cellStyle name="常规 2 14 6 2" xfId="32469" xr:uid="{00000000-0005-0000-0000-0000D57E0000}"/>
    <cellStyle name="常规 2 14 7" xfId="32470" xr:uid="{00000000-0005-0000-0000-0000D67E0000}"/>
    <cellStyle name="常规 2 15" xfId="32471" xr:uid="{00000000-0005-0000-0000-0000D77E0000}"/>
    <cellStyle name="常规 2 15 2" xfId="32472" xr:uid="{00000000-0005-0000-0000-0000D87E0000}"/>
    <cellStyle name="常规 2 15 2 2" xfId="32473" xr:uid="{00000000-0005-0000-0000-0000D97E0000}"/>
    <cellStyle name="常规 2 15 2 2 2" xfId="32474" xr:uid="{00000000-0005-0000-0000-0000DA7E0000}"/>
    <cellStyle name="常规 2 15 2 2 2 2" xfId="32475" xr:uid="{00000000-0005-0000-0000-0000DB7E0000}"/>
    <cellStyle name="常规 2 15 2 3" xfId="32476" xr:uid="{00000000-0005-0000-0000-0000DC7E0000}"/>
    <cellStyle name="常规 2 15 2 3 2" xfId="32477" xr:uid="{00000000-0005-0000-0000-0000DD7E0000}"/>
    <cellStyle name="常规 2 15 2 3 2 2" xfId="32478" xr:uid="{00000000-0005-0000-0000-0000DE7E0000}"/>
    <cellStyle name="常规 2 15 2 4" xfId="32479" xr:uid="{00000000-0005-0000-0000-0000DF7E0000}"/>
    <cellStyle name="常规 2 15 2 4 2" xfId="32480" xr:uid="{00000000-0005-0000-0000-0000E07E0000}"/>
    <cellStyle name="常规 2 15 2 4 2 2" xfId="32481" xr:uid="{00000000-0005-0000-0000-0000E17E0000}"/>
    <cellStyle name="常规 2 15 2 5" xfId="32482" xr:uid="{00000000-0005-0000-0000-0000E27E0000}"/>
    <cellStyle name="常规 2 15 2 5 2" xfId="32483" xr:uid="{00000000-0005-0000-0000-0000E37E0000}"/>
    <cellStyle name="常规 2 15 2 5 3" xfId="32484" xr:uid="{00000000-0005-0000-0000-0000E47E0000}"/>
    <cellStyle name="常规 2 15 2 6" xfId="32485" xr:uid="{00000000-0005-0000-0000-0000E57E0000}"/>
    <cellStyle name="常规 2 15 3" xfId="32486" xr:uid="{00000000-0005-0000-0000-0000E67E0000}"/>
    <cellStyle name="常规 2 15 3 2" xfId="32487" xr:uid="{00000000-0005-0000-0000-0000E77E0000}"/>
    <cellStyle name="常规 2 15 3 2 2" xfId="32488" xr:uid="{00000000-0005-0000-0000-0000E87E0000}"/>
    <cellStyle name="常规 2 15 4" xfId="32489" xr:uid="{00000000-0005-0000-0000-0000E97E0000}"/>
    <cellStyle name="常规 2 15 4 2" xfId="32490" xr:uid="{00000000-0005-0000-0000-0000EA7E0000}"/>
    <cellStyle name="常规 2 15 4 2 2" xfId="32491" xr:uid="{00000000-0005-0000-0000-0000EB7E0000}"/>
    <cellStyle name="常规 2 15 5" xfId="32492" xr:uid="{00000000-0005-0000-0000-0000EC7E0000}"/>
    <cellStyle name="常规 2 15 5 2" xfId="32493" xr:uid="{00000000-0005-0000-0000-0000ED7E0000}"/>
    <cellStyle name="常规 2 15 5 2 2" xfId="32494" xr:uid="{00000000-0005-0000-0000-0000EE7E0000}"/>
    <cellStyle name="常规 2 15 6" xfId="32495" xr:uid="{00000000-0005-0000-0000-0000EF7E0000}"/>
    <cellStyle name="常规 2 15 6 2" xfId="32496" xr:uid="{00000000-0005-0000-0000-0000F07E0000}"/>
    <cellStyle name="常规 2 15 6 3" xfId="32497" xr:uid="{00000000-0005-0000-0000-0000F17E0000}"/>
    <cellStyle name="常规 2 15 7" xfId="32498" xr:uid="{00000000-0005-0000-0000-0000F27E0000}"/>
    <cellStyle name="常规 2 15 7 2" xfId="32499" xr:uid="{00000000-0005-0000-0000-0000F37E0000}"/>
    <cellStyle name="常规 2 16" xfId="32500" xr:uid="{00000000-0005-0000-0000-0000F47E0000}"/>
    <cellStyle name="常规 2 16 2" xfId="32501" xr:uid="{00000000-0005-0000-0000-0000F57E0000}"/>
    <cellStyle name="常规 2 16 2 2" xfId="32502" xr:uid="{00000000-0005-0000-0000-0000F67E0000}"/>
    <cellStyle name="常规 2 16 2 2 2" xfId="32503" xr:uid="{00000000-0005-0000-0000-0000F77E0000}"/>
    <cellStyle name="常规 2 16 2 2 2 2" xfId="32504" xr:uid="{00000000-0005-0000-0000-0000F87E0000}"/>
    <cellStyle name="常规 2 16 2 2 3" xfId="32505" xr:uid="{00000000-0005-0000-0000-0000F97E0000}"/>
    <cellStyle name="常规 2 16 2 3" xfId="32506" xr:uid="{00000000-0005-0000-0000-0000FA7E0000}"/>
    <cellStyle name="常规 2 16 2 3 2" xfId="32507" xr:uid="{00000000-0005-0000-0000-0000FB7E0000}"/>
    <cellStyle name="常规 2 16 2 3 2 2" xfId="32508" xr:uid="{00000000-0005-0000-0000-0000FC7E0000}"/>
    <cellStyle name="常规 2 16 2 4" xfId="32509" xr:uid="{00000000-0005-0000-0000-0000FD7E0000}"/>
    <cellStyle name="常规 2 16 2 4 2" xfId="32510" xr:uid="{00000000-0005-0000-0000-0000FE7E0000}"/>
    <cellStyle name="常规 2 16 2 4 3" xfId="32511" xr:uid="{00000000-0005-0000-0000-0000FF7E0000}"/>
    <cellStyle name="常规 2 16 2 5" xfId="32512" xr:uid="{00000000-0005-0000-0000-0000007F0000}"/>
    <cellStyle name="常规 2 16 2 5 2" xfId="32513" xr:uid="{00000000-0005-0000-0000-0000017F0000}"/>
    <cellStyle name="常规 2 16 2 6" xfId="32514" xr:uid="{00000000-0005-0000-0000-0000027F0000}"/>
    <cellStyle name="常规 2 16 3" xfId="32515" xr:uid="{00000000-0005-0000-0000-0000037F0000}"/>
    <cellStyle name="常规 2 16 3 2" xfId="32516" xr:uid="{00000000-0005-0000-0000-0000047F0000}"/>
    <cellStyle name="常规 2 16 3 2 2" xfId="32517" xr:uid="{00000000-0005-0000-0000-0000057F0000}"/>
    <cellStyle name="常规 2 16 4" xfId="32518" xr:uid="{00000000-0005-0000-0000-0000067F0000}"/>
    <cellStyle name="常规 2 16 4 2" xfId="32519" xr:uid="{00000000-0005-0000-0000-0000077F0000}"/>
    <cellStyle name="常规 2 16 4 2 2" xfId="32520" xr:uid="{00000000-0005-0000-0000-0000087F0000}"/>
    <cellStyle name="常规 2 16 5" xfId="32521" xr:uid="{00000000-0005-0000-0000-0000097F0000}"/>
    <cellStyle name="常规 2 16 5 2" xfId="32522" xr:uid="{00000000-0005-0000-0000-00000A7F0000}"/>
    <cellStyle name="常规 2 16 5 3" xfId="32523" xr:uid="{00000000-0005-0000-0000-00000B7F0000}"/>
    <cellStyle name="常规 2 16 6" xfId="32524" xr:uid="{00000000-0005-0000-0000-00000C7F0000}"/>
    <cellStyle name="常规 2 16 6 2" xfId="32525" xr:uid="{00000000-0005-0000-0000-00000D7F0000}"/>
    <cellStyle name="常规 2 16 7" xfId="32526" xr:uid="{00000000-0005-0000-0000-00000E7F0000}"/>
    <cellStyle name="常规 2 17" xfId="32527" xr:uid="{00000000-0005-0000-0000-00000F7F0000}"/>
    <cellStyle name="常规 2 17 2" xfId="32528" xr:uid="{00000000-0005-0000-0000-0000107F0000}"/>
    <cellStyle name="常规 2 17 2 2" xfId="32529" xr:uid="{00000000-0005-0000-0000-0000117F0000}"/>
    <cellStyle name="常规 2 17 2 2 2" xfId="32530" xr:uid="{00000000-0005-0000-0000-0000127F0000}"/>
    <cellStyle name="常规 2 17 2 2 2 2" xfId="32531" xr:uid="{00000000-0005-0000-0000-0000137F0000}"/>
    <cellStyle name="常规 2 17 2 3" xfId="32532" xr:uid="{00000000-0005-0000-0000-0000147F0000}"/>
    <cellStyle name="常规 2 17 2 3 2" xfId="32533" xr:uid="{00000000-0005-0000-0000-0000157F0000}"/>
    <cellStyle name="常规 2 17 2 3 2 2" xfId="32534" xr:uid="{00000000-0005-0000-0000-0000167F0000}"/>
    <cellStyle name="常规 2 17 2 4" xfId="32535" xr:uid="{00000000-0005-0000-0000-0000177F0000}"/>
    <cellStyle name="常规 2 17 2 4 2" xfId="32536" xr:uid="{00000000-0005-0000-0000-0000187F0000}"/>
    <cellStyle name="常规 2 17 2 4 3" xfId="32537" xr:uid="{00000000-0005-0000-0000-0000197F0000}"/>
    <cellStyle name="常规 2 17 2 5" xfId="32538" xr:uid="{00000000-0005-0000-0000-00001A7F0000}"/>
    <cellStyle name="常规 2 17 2 5 2" xfId="32539" xr:uid="{00000000-0005-0000-0000-00001B7F0000}"/>
    <cellStyle name="常规 2 17 2 6" xfId="32540" xr:uid="{00000000-0005-0000-0000-00001C7F0000}"/>
    <cellStyle name="常规 2 17 3" xfId="32541" xr:uid="{00000000-0005-0000-0000-00001D7F0000}"/>
    <cellStyle name="常规 2 17 3 2" xfId="32542" xr:uid="{00000000-0005-0000-0000-00001E7F0000}"/>
    <cellStyle name="常规 2 17 3 2 2" xfId="32543" xr:uid="{00000000-0005-0000-0000-00001F7F0000}"/>
    <cellStyle name="常规 2 17 4" xfId="32544" xr:uid="{00000000-0005-0000-0000-0000207F0000}"/>
    <cellStyle name="常规 2 17 4 2" xfId="32545" xr:uid="{00000000-0005-0000-0000-0000217F0000}"/>
    <cellStyle name="常规 2 17 4 2 2" xfId="32546" xr:uid="{00000000-0005-0000-0000-0000227F0000}"/>
    <cellStyle name="常规 2 17 5" xfId="32547" xr:uid="{00000000-0005-0000-0000-0000237F0000}"/>
    <cellStyle name="常规 2 17 5 2" xfId="32548" xr:uid="{00000000-0005-0000-0000-0000247F0000}"/>
    <cellStyle name="常规 2 17 5 3" xfId="32549" xr:uid="{00000000-0005-0000-0000-0000257F0000}"/>
    <cellStyle name="常规 2 17 6" xfId="32550" xr:uid="{00000000-0005-0000-0000-0000267F0000}"/>
    <cellStyle name="常规 2 17 6 2" xfId="32551" xr:uid="{00000000-0005-0000-0000-0000277F0000}"/>
    <cellStyle name="常规 2 17 7" xfId="32552" xr:uid="{00000000-0005-0000-0000-0000287F0000}"/>
    <cellStyle name="常规 2 18" xfId="32553" xr:uid="{00000000-0005-0000-0000-0000297F0000}"/>
    <cellStyle name="常规 2 18 2" xfId="32554" xr:uid="{00000000-0005-0000-0000-00002A7F0000}"/>
    <cellStyle name="常规 2 18 2 2" xfId="32555" xr:uid="{00000000-0005-0000-0000-00002B7F0000}"/>
    <cellStyle name="常规 2 18 2 2 2" xfId="32556" xr:uid="{00000000-0005-0000-0000-00002C7F0000}"/>
    <cellStyle name="常规 2 18 2 3" xfId="32557" xr:uid="{00000000-0005-0000-0000-00002D7F0000}"/>
    <cellStyle name="常规 2 18 3" xfId="32558" xr:uid="{00000000-0005-0000-0000-00002E7F0000}"/>
    <cellStyle name="常规 2 18 3 2" xfId="32559" xr:uid="{00000000-0005-0000-0000-00002F7F0000}"/>
    <cellStyle name="常规 2 18 3 2 2" xfId="32560" xr:uid="{00000000-0005-0000-0000-0000307F0000}"/>
    <cellStyle name="常规 2 18 4" xfId="32561" xr:uid="{00000000-0005-0000-0000-0000317F0000}"/>
    <cellStyle name="常规 2 18 4 2" xfId="32562" xr:uid="{00000000-0005-0000-0000-0000327F0000}"/>
    <cellStyle name="常规 2 18 4 3" xfId="32563" xr:uid="{00000000-0005-0000-0000-0000337F0000}"/>
    <cellStyle name="常规 2 18 5" xfId="32564" xr:uid="{00000000-0005-0000-0000-0000347F0000}"/>
    <cellStyle name="常规 2 18 5 2" xfId="32565" xr:uid="{00000000-0005-0000-0000-0000357F0000}"/>
    <cellStyle name="常规 2 18 6" xfId="32566" xr:uid="{00000000-0005-0000-0000-0000367F0000}"/>
    <cellStyle name="常规 2 19" xfId="32567" xr:uid="{00000000-0005-0000-0000-0000377F0000}"/>
    <cellStyle name="常规 2 19 2" xfId="32568" xr:uid="{00000000-0005-0000-0000-0000387F0000}"/>
    <cellStyle name="常规 2 19 2 2" xfId="32569" xr:uid="{00000000-0005-0000-0000-0000397F0000}"/>
    <cellStyle name="常规 2 19 2 2 2" xfId="32570" xr:uid="{00000000-0005-0000-0000-00003A7F0000}"/>
    <cellStyle name="常规 2 19 3" xfId="32571" xr:uid="{00000000-0005-0000-0000-00003B7F0000}"/>
    <cellStyle name="常规 2 19 3 2" xfId="32572" xr:uid="{00000000-0005-0000-0000-00003C7F0000}"/>
    <cellStyle name="常规 2 19 3 2 2" xfId="32573" xr:uid="{00000000-0005-0000-0000-00003D7F0000}"/>
    <cellStyle name="常规 2 19 4" xfId="32574" xr:uid="{00000000-0005-0000-0000-00003E7F0000}"/>
    <cellStyle name="常规 2 19 4 2" xfId="32575" xr:uid="{00000000-0005-0000-0000-00003F7F0000}"/>
    <cellStyle name="常规 2 19 5" xfId="32576" xr:uid="{00000000-0005-0000-0000-0000407F0000}"/>
    <cellStyle name="常规 2 2" xfId="32577" xr:uid="{00000000-0005-0000-0000-0000417F0000}"/>
    <cellStyle name="常规 2 2 10" xfId="32578" xr:uid="{00000000-0005-0000-0000-0000427F0000}"/>
    <cellStyle name="常规 2 2 10 2" xfId="32579" xr:uid="{00000000-0005-0000-0000-0000437F0000}"/>
    <cellStyle name="常规 2 2 10 2 2" xfId="32580" xr:uid="{00000000-0005-0000-0000-0000447F0000}"/>
    <cellStyle name="常规 2 2 10 2 3" xfId="32581" xr:uid="{00000000-0005-0000-0000-0000457F0000}"/>
    <cellStyle name="常规 2 2 10 2 4" xfId="32582" xr:uid="{00000000-0005-0000-0000-0000467F0000}"/>
    <cellStyle name="常规 2 2 10 2 4 2" xfId="32583" xr:uid="{00000000-0005-0000-0000-0000477F0000}"/>
    <cellStyle name="常规 2 2 10 2 4 3" xfId="32584" xr:uid="{00000000-0005-0000-0000-0000487F0000}"/>
    <cellStyle name="常规 2 2 10 2 5" xfId="32585" xr:uid="{00000000-0005-0000-0000-0000497F0000}"/>
    <cellStyle name="常规 2 2 10 2 5 2" xfId="32586" xr:uid="{00000000-0005-0000-0000-00004A7F0000}"/>
    <cellStyle name="常规 2 2 10 3" xfId="32587" xr:uid="{00000000-0005-0000-0000-00004B7F0000}"/>
    <cellStyle name="常规 2 2 10 3 2" xfId="32588" xr:uid="{00000000-0005-0000-0000-00004C7F0000}"/>
    <cellStyle name="常规 2 2 10 3 2 2" xfId="32589" xr:uid="{00000000-0005-0000-0000-00004D7F0000}"/>
    <cellStyle name="常规 2 2 10 4" xfId="32590" xr:uid="{00000000-0005-0000-0000-00004E7F0000}"/>
    <cellStyle name="常规 2 2 10 4 2" xfId="32591" xr:uid="{00000000-0005-0000-0000-00004F7F0000}"/>
    <cellStyle name="常规 2 2 10 4 2 2" xfId="32592" xr:uid="{00000000-0005-0000-0000-0000507F0000}"/>
    <cellStyle name="常规 2 2 10 5" xfId="32593" xr:uid="{00000000-0005-0000-0000-0000517F0000}"/>
    <cellStyle name="常规 2 2 10 6" xfId="32594" xr:uid="{00000000-0005-0000-0000-0000527F0000}"/>
    <cellStyle name="常规 2 2 10 7" xfId="32595" xr:uid="{00000000-0005-0000-0000-0000537F0000}"/>
    <cellStyle name="常规 2 2 10 7 2" xfId="32596" xr:uid="{00000000-0005-0000-0000-0000547F0000}"/>
    <cellStyle name="常规 2 2 10 7 3" xfId="32597" xr:uid="{00000000-0005-0000-0000-0000557F0000}"/>
    <cellStyle name="常规 2 2 10 8" xfId="32598" xr:uid="{00000000-0005-0000-0000-0000567F0000}"/>
    <cellStyle name="常规 2 2 10 8 2" xfId="32599" xr:uid="{00000000-0005-0000-0000-0000577F0000}"/>
    <cellStyle name="常规 2 2 11" xfId="32600" xr:uid="{00000000-0005-0000-0000-0000587F0000}"/>
    <cellStyle name="常规 2 2 11 2" xfId="32601" xr:uid="{00000000-0005-0000-0000-0000597F0000}"/>
    <cellStyle name="常规 2 2 11 2 2" xfId="32602" xr:uid="{00000000-0005-0000-0000-00005A7F0000}"/>
    <cellStyle name="常规 2 2 11 3" xfId="32603" xr:uid="{00000000-0005-0000-0000-00005B7F0000}"/>
    <cellStyle name="常规 2 2 11 4" xfId="32604" xr:uid="{00000000-0005-0000-0000-00005C7F0000}"/>
    <cellStyle name="常规 2 2 11 5" xfId="32605" xr:uid="{00000000-0005-0000-0000-00005D7F0000}"/>
    <cellStyle name="常规 2 2 11 5 2" xfId="32606" xr:uid="{00000000-0005-0000-0000-00005E7F0000}"/>
    <cellStyle name="常规 2 2 11 6" xfId="32607" xr:uid="{00000000-0005-0000-0000-00005F7F0000}"/>
    <cellStyle name="常规 2 2 12" xfId="32608" xr:uid="{00000000-0005-0000-0000-0000607F0000}"/>
    <cellStyle name="常规 2 2 12 2" xfId="32609" xr:uid="{00000000-0005-0000-0000-0000617F0000}"/>
    <cellStyle name="常规 2 2 12 3" xfId="32610" xr:uid="{00000000-0005-0000-0000-0000627F0000}"/>
    <cellStyle name="常规 2 2 12 3 2" xfId="32611" xr:uid="{00000000-0005-0000-0000-0000637F0000}"/>
    <cellStyle name="常规 2 2 12 3 2 2" xfId="32612" xr:uid="{00000000-0005-0000-0000-0000647F0000}"/>
    <cellStyle name="常规 2 2 12 4" xfId="32613" xr:uid="{00000000-0005-0000-0000-0000657F0000}"/>
    <cellStyle name="常规 2 2 12 4 2" xfId="32614" xr:uid="{00000000-0005-0000-0000-0000667F0000}"/>
    <cellStyle name="常规 2 2 12 4 3" xfId="32615" xr:uid="{00000000-0005-0000-0000-0000677F0000}"/>
    <cellStyle name="常规 2 2 13" xfId="32616" xr:uid="{00000000-0005-0000-0000-0000687F0000}"/>
    <cellStyle name="常规 2 2 13 2" xfId="32617" xr:uid="{00000000-0005-0000-0000-0000697F0000}"/>
    <cellStyle name="常规 2 2 13 2 2" xfId="32618" xr:uid="{00000000-0005-0000-0000-00006A7F0000}"/>
    <cellStyle name="常规 2 2 13 2 2 2" xfId="32619" xr:uid="{00000000-0005-0000-0000-00006B7F0000}"/>
    <cellStyle name="常规 2 2 13 2 2 2 2" xfId="32620" xr:uid="{00000000-0005-0000-0000-00006C7F0000}"/>
    <cellStyle name="常规 2 2 13 2 3" xfId="32621" xr:uid="{00000000-0005-0000-0000-00006D7F0000}"/>
    <cellStyle name="常规 2 2 13 2 3 2" xfId="32622" xr:uid="{00000000-0005-0000-0000-00006E7F0000}"/>
    <cellStyle name="常规 2 2 13 2 4" xfId="32623" xr:uid="{00000000-0005-0000-0000-00006F7F0000}"/>
    <cellStyle name="常规 2 2 13 2 4 2" xfId="32624" xr:uid="{00000000-0005-0000-0000-0000707F0000}"/>
    <cellStyle name="常规 2 2 13 2 5" xfId="32625" xr:uid="{00000000-0005-0000-0000-0000717F0000}"/>
    <cellStyle name="常规 2 2 13 3" xfId="32626" xr:uid="{00000000-0005-0000-0000-0000727F0000}"/>
    <cellStyle name="常规 2 2 13 4" xfId="32627" xr:uid="{00000000-0005-0000-0000-0000737F0000}"/>
    <cellStyle name="常规 2 2 13 4 2" xfId="32628" xr:uid="{00000000-0005-0000-0000-0000747F0000}"/>
    <cellStyle name="常规 2 2 13 4 2 2" xfId="32629" xr:uid="{00000000-0005-0000-0000-0000757F0000}"/>
    <cellStyle name="常规 2 2 13 4 3" xfId="32630" xr:uid="{00000000-0005-0000-0000-0000767F0000}"/>
    <cellStyle name="常规 2 2 13 5" xfId="32631" xr:uid="{00000000-0005-0000-0000-0000777F0000}"/>
    <cellStyle name="常规 2 2 13 5 2" xfId="32632" xr:uid="{00000000-0005-0000-0000-0000787F0000}"/>
    <cellStyle name="常规 2 2 13 5 2 2" xfId="32633" xr:uid="{00000000-0005-0000-0000-0000797F0000}"/>
    <cellStyle name="常规 2 2 13 6" xfId="32634" xr:uid="{00000000-0005-0000-0000-00007A7F0000}"/>
    <cellStyle name="常规 2 2 13 6 2" xfId="32635" xr:uid="{00000000-0005-0000-0000-00007B7F0000}"/>
    <cellStyle name="常规 2 2 13 7" xfId="32636" xr:uid="{00000000-0005-0000-0000-00007C7F0000}"/>
    <cellStyle name="常规 2 2 14" xfId="32637" xr:uid="{00000000-0005-0000-0000-00007D7F0000}"/>
    <cellStyle name="常规 2 2 14 2" xfId="32638" xr:uid="{00000000-0005-0000-0000-00007E7F0000}"/>
    <cellStyle name="常规 2 2 14 2 2" xfId="32639" xr:uid="{00000000-0005-0000-0000-00007F7F0000}"/>
    <cellStyle name="常规 2 2 14 2 2 2" xfId="32640" xr:uid="{00000000-0005-0000-0000-0000807F0000}"/>
    <cellStyle name="常规 2 2 14 2 2 2 2" xfId="32641" xr:uid="{00000000-0005-0000-0000-0000817F0000}"/>
    <cellStyle name="常规 2 2 14 2 3" xfId="32642" xr:uid="{00000000-0005-0000-0000-0000827F0000}"/>
    <cellStyle name="常规 2 2 14 2 3 2" xfId="32643" xr:uid="{00000000-0005-0000-0000-0000837F0000}"/>
    <cellStyle name="常规 2 2 14 2 4" xfId="32644" xr:uid="{00000000-0005-0000-0000-0000847F0000}"/>
    <cellStyle name="常规 2 2 14 2 4 2" xfId="32645" xr:uid="{00000000-0005-0000-0000-0000857F0000}"/>
    <cellStyle name="常规 2 2 14 2 5" xfId="32646" xr:uid="{00000000-0005-0000-0000-0000867F0000}"/>
    <cellStyle name="常规 2 2 14 3" xfId="32647" xr:uid="{00000000-0005-0000-0000-0000877F0000}"/>
    <cellStyle name="常规 2 2 14 3 2" xfId="32648" xr:uid="{00000000-0005-0000-0000-0000887F0000}"/>
    <cellStyle name="常规 2 2 14 3 2 2" xfId="32649" xr:uid="{00000000-0005-0000-0000-0000897F0000}"/>
    <cellStyle name="常规 2 2 14 4" xfId="32650" xr:uid="{00000000-0005-0000-0000-00008A7F0000}"/>
    <cellStyle name="常规 2 2 14 4 2" xfId="32651" xr:uid="{00000000-0005-0000-0000-00008B7F0000}"/>
    <cellStyle name="常规 2 2 14 5" xfId="32652" xr:uid="{00000000-0005-0000-0000-00008C7F0000}"/>
    <cellStyle name="常规 2 2 14 5 2" xfId="32653" xr:uid="{00000000-0005-0000-0000-00008D7F0000}"/>
    <cellStyle name="常规 2 2 14 6" xfId="32654" xr:uid="{00000000-0005-0000-0000-00008E7F0000}"/>
    <cellStyle name="常规 2 2 15" xfId="32655" xr:uid="{00000000-0005-0000-0000-00008F7F0000}"/>
    <cellStyle name="常规 2 2 15 2" xfId="32656" xr:uid="{00000000-0005-0000-0000-0000907F0000}"/>
    <cellStyle name="常规 2 2 15 2 2" xfId="32657" xr:uid="{00000000-0005-0000-0000-0000917F0000}"/>
    <cellStyle name="常规 2 2 15 2 2 2" xfId="32658" xr:uid="{00000000-0005-0000-0000-0000927F0000}"/>
    <cellStyle name="常规 2 2 15 2 2 2 2" xfId="32659" xr:uid="{00000000-0005-0000-0000-0000937F0000}"/>
    <cellStyle name="常规 2 2 15 2 3" xfId="32660" xr:uid="{00000000-0005-0000-0000-0000947F0000}"/>
    <cellStyle name="常规 2 2 15 2 3 2" xfId="32661" xr:uid="{00000000-0005-0000-0000-0000957F0000}"/>
    <cellStyle name="常规 2 2 15 2 4" xfId="32662" xr:uid="{00000000-0005-0000-0000-0000967F0000}"/>
    <cellStyle name="常规 2 2 15 2 4 2" xfId="32663" xr:uid="{00000000-0005-0000-0000-0000977F0000}"/>
    <cellStyle name="常规 2 2 15 2 5" xfId="32664" xr:uid="{00000000-0005-0000-0000-0000987F0000}"/>
    <cellStyle name="常规 2 2 15 3" xfId="32665" xr:uid="{00000000-0005-0000-0000-0000997F0000}"/>
    <cellStyle name="常规 2 2 15 3 2" xfId="32666" xr:uid="{00000000-0005-0000-0000-00009A7F0000}"/>
    <cellStyle name="常规 2 2 15 3 2 2" xfId="32667" xr:uid="{00000000-0005-0000-0000-00009B7F0000}"/>
    <cellStyle name="常规 2 2 15 4" xfId="32668" xr:uid="{00000000-0005-0000-0000-00009C7F0000}"/>
    <cellStyle name="常规 2 2 15 4 2" xfId="32669" xr:uid="{00000000-0005-0000-0000-00009D7F0000}"/>
    <cellStyle name="常规 2 2 15 4 2 2" xfId="32670" xr:uid="{00000000-0005-0000-0000-00009E7F0000}"/>
    <cellStyle name="常规 2 2 15 5" xfId="32671" xr:uid="{00000000-0005-0000-0000-00009F7F0000}"/>
    <cellStyle name="常规 2 2 15 5 2" xfId="32672" xr:uid="{00000000-0005-0000-0000-0000A07F0000}"/>
    <cellStyle name="常规 2 2 15 6" xfId="32673" xr:uid="{00000000-0005-0000-0000-0000A17F0000}"/>
    <cellStyle name="常规 2 2 16" xfId="32674" xr:uid="{00000000-0005-0000-0000-0000A27F0000}"/>
    <cellStyle name="常规 2 2 16 2" xfId="32675" xr:uid="{00000000-0005-0000-0000-0000A37F0000}"/>
    <cellStyle name="常规 2 2 16 2 2" xfId="32676" xr:uid="{00000000-0005-0000-0000-0000A47F0000}"/>
    <cellStyle name="常规 2 2 16 2 2 2" xfId="32677" xr:uid="{00000000-0005-0000-0000-0000A57F0000}"/>
    <cellStyle name="常规 2 2 16 3" xfId="32678" xr:uid="{00000000-0005-0000-0000-0000A67F0000}"/>
    <cellStyle name="常规 2 2 16 3 2" xfId="32679" xr:uid="{00000000-0005-0000-0000-0000A77F0000}"/>
    <cellStyle name="常规 2 2 17" xfId="32680" xr:uid="{00000000-0005-0000-0000-0000A87F0000}"/>
    <cellStyle name="常规 2 2 17 2" xfId="32681" xr:uid="{00000000-0005-0000-0000-0000A97F0000}"/>
    <cellStyle name="常规 2 2 17 2 2" xfId="32682" xr:uid="{00000000-0005-0000-0000-0000AA7F0000}"/>
    <cellStyle name="常规 2 2 17 3" xfId="32683" xr:uid="{00000000-0005-0000-0000-0000AB7F0000}"/>
    <cellStyle name="常规 2 2 17 3 2" xfId="32684" xr:uid="{00000000-0005-0000-0000-0000AC7F0000}"/>
    <cellStyle name="常规 2 2 17 3 3" xfId="32685" xr:uid="{00000000-0005-0000-0000-0000AD7F0000}"/>
    <cellStyle name="常规 2 2 17 4" xfId="32686" xr:uid="{00000000-0005-0000-0000-0000AE7F0000}"/>
    <cellStyle name="常规 2 2 17 4 2" xfId="32687" xr:uid="{00000000-0005-0000-0000-0000AF7F0000}"/>
    <cellStyle name="常规 2 2 17 5" xfId="32688" xr:uid="{00000000-0005-0000-0000-0000B07F0000}"/>
    <cellStyle name="常规 2 2 18" xfId="32689" xr:uid="{00000000-0005-0000-0000-0000B17F0000}"/>
    <cellStyle name="常规 2 2 18 2" xfId="32690" xr:uid="{00000000-0005-0000-0000-0000B27F0000}"/>
    <cellStyle name="常规 2 2 18 3" xfId="32691" xr:uid="{00000000-0005-0000-0000-0000B37F0000}"/>
    <cellStyle name="常规 2 2 19" xfId="32692" xr:uid="{00000000-0005-0000-0000-0000B47F0000}"/>
    <cellStyle name="常规 2 2 19 2" xfId="32693" xr:uid="{00000000-0005-0000-0000-0000B57F0000}"/>
    <cellStyle name="常规 2 2 19 3" xfId="32694" xr:uid="{00000000-0005-0000-0000-0000B67F0000}"/>
    <cellStyle name="常规 2 2 2" xfId="32695" xr:uid="{00000000-0005-0000-0000-0000B77F0000}"/>
    <cellStyle name="常规 2 2 2 10" xfId="32696" xr:uid="{00000000-0005-0000-0000-0000B87F0000}"/>
    <cellStyle name="常规 2 2 2 10 2" xfId="32697" xr:uid="{00000000-0005-0000-0000-0000B97F0000}"/>
    <cellStyle name="常规 2 2 2 10 3" xfId="32698" xr:uid="{00000000-0005-0000-0000-0000BA7F0000}"/>
    <cellStyle name="常规 2 2 2 10 4" xfId="32699" xr:uid="{00000000-0005-0000-0000-0000BB7F0000}"/>
    <cellStyle name="常规 2 2 2 11" xfId="32700" xr:uid="{00000000-0005-0000-0000-0000BC7F0000}"/>
    <cellStyle name="常规 2 2 2 12" xfId="32701" xr:uid="{00000000-0005-0000-0000-0000BD7F0000}"/>
    <cellStyle name="常规 2 2 2 12 2" xfId="32702" xr:uid="{00000000-0005-0000-0000-0000BE7F0000}"/>
    <cellStyle name="常规 2 2 2 2" xfId="32703" xr:uid="{00000000-0005-0000-0000-0000BF7F0000}"/>
    <cellStyle name="常规 2 2 2 2 10" xfId="32704" xr:uid="{00000000-0005-0000-0000-0000C07F0000}"/>
    <cellStyle name="常规 2 2 2 2 2" xfId="32705" xr:uid="{00000000-0005-0000-0000-0000C17F0000}"/>
    <cellStyle name="常规 2 2 2 2 2 2" xfId="32706" xr:uid="{00000000-0005-0000-0000-0000C27F0000}"/>
    <cellStyle name="常规 2 2 2 2 2 2 2" xfId="32707" xr:uid="{00000000-0005-0000-0000-0000C37F0000}"/>
    <cellStyle name="常规 2 2 2 2 2 2 2 2" xfId="32708" xr:uid="{00000000-0005-0000-0000-0000C47F0000}"/>
    <cellStyle name="常规 2 2 2 2 2 2 2 2 2" xfId="32709" xr:uid="{00000000-0005-0000-0000-0000C57F0000}"/>
    <cellStyle name="常规 2 2 2 2 2 2 2 2 3" xfId="32710" xr:uid="{00000000-0005-0000-0000-0000C67F0000}"/>
    <cellStyle name="常规 2 2 2 2 2 2 2 2 4" xfId="32711" xr:uid="{00000000-0005-0000-0000-0000C77F0000}"/>
    <cellStyle name="常规 2 2 2 2 2 2 2 3" xfId="32712" xr:uid="{00000000-0005-0000-0000-0000C87F0000}"/>
    <cellStyle name="常规 2 2 2 2 2 2 2 4" xfId="32713" xr:uid="{00000000-0005-0000-0000-0000C97F0000}"/>
    <cellStyle name="常规 2 2 2 2 2 2 2 5" xfId="32714" xr:uid="{00000000-0005-0000-0000-0000CA7F0000}"/>
    <cellStyle name="常规 2 2 2 2 2 2 2 6" xfId="32715" xr:uid="{00000000-0005-0000-0000-0000CB7F0000}"/>
    <cellStyle name="常规 2 2 2 2 2 2 3" xfId="32716" xr:uid="{00000000-0005-0000-0000-0000CC7F0000}"/>
    <cellStyle name="常规 2 2 2 2 2 2 3 2" xfId="32717" xr:uid="{00000000-0005-0000-0000-0000CD7F0000}"/>
    <cellStyle name="常规 2 2 2 2 2 2 3 2 2" xfId="32718" xr:uid="{00000000-0005-0000-0000-0000CE7F0000}"/>
    <cellStyle name="常规 2 2 2 2 2 2 3 2 3" xfId="32719" xr:uid="{00000000-0005-0000-0000-0000CF7F0000}"/>
    <cellStyle name="常规 2 2 2 2 2 2 3 2 4" xfId="32720" xr:uid="{00000000-0005-0000-0000-0000D07F0000}"/>
    <cellStyle name="常规 2 2 2 2 2 2 3 3" xfId="32721" xr:uid="{00000000-0005-0000-0000-0000D17F0000}"/>
    <cellStyle name="常规 2 2 2 2 2 2 3 4" xfId="32722" xr:uid="{00000000-0005-0000-0000-0000D27F0000}"/>
    <cellStyle name="常规 2 2 2 2 2 2 3 5" xfId="32723" xr:uid="{00000000-0005-0000-0000-0000D37F0000}"/>
    <cellStyle name="常规 2 2 2 2 2 2 4" xfId="32724" xr:uid="{00000000-0005-0000-0000-0000D47F0000}"/>
    <cellStyle name="常规 2 2 2 2 2 2 4 2" xfId="32725" xr:uid="{00000000-0005-0000-0000-0000D57F0000}"/>
    <cellStyle name="常规 2 2 2 2 2 2 4 3" xfId="32726" xr:uid="{00000000-0005-0000-0000-0000D67F0000}"/>
    <cellStyle name="常规 2 2 2 2 2 2 4 4" xfId="32727" xr:uid="{00000000-0005-0000-0000-0000D77F0000}"/>
    <cellStyle name="常规 2 2 2 2 2 2 5" xfId="32728" xr:uid="{00000000-0005-0000-0000-0000D87F0000}"/>
    <cellStyle name="常规 2 2 2 2 2 2 6" xfId="32729" xr:uid="{00000000-0005-0000-0000-0000D97F0000}"/>
    <cellStyle name="常规 2 2 2 2 2 2 7" xfId="32730" xr:uid="{00000000-0005-0000-0000-0000DA7F0000}"/>
    <cellStyle name="常规 2 2 2 2 2 2 8" xfId="32731" xr:uid="{00000000-0005-0000-0000-0000DB7F0000}"/>
    <cellStyle name="常规 2 2 2 2 2 2 8 2" xfId="32732" xr:uid="{00000000-0005-0000-0000-0000DC7F0000}"/>
    <cellStyle name="常规 2 2 2 2 2 3" xfId="32733" xr:uid="{00000000-0005-0000-0000-0000DD7F0000}"/>
    <cellStyle name="常规 2 2 2 2 2 3 2" xfId="32734" xr:uid="{00000000-0005-0000-0000-0000DE7F0000}"/>
    <cellStyle name="常规 2 2 2 2 2 3 2 2" xfId="32735" xr:uid="{00000000-0005-0000-0000-0000DF7F0000}"/>
    <cellStyle name="常规 2 2 2 2 2 3 2 3" xfId="32736" xr:uid="{00000000-0005-0000-0000-0000E07F0000}"/>
    <cellStyle name="常规 2 2 2 2 2 3 2 4" xfId="32737" xr:uid="{00000000-0005-0000-0000-0000E17F0000}"/>
    <cellStyle name="常规 2 2 2 2 2 3 2 5" xfId="32738" xr:uid="{00000000-0005-0000-0000-0000E27F0000}"/>
    <cellStyle name="常规 2 2 2 2 2 3 3" xfId="32739" xr:uid="{00000000-0005-0000-0000-0000E37F0000}"/>
    <cellStyle name="常规 2 2 2 2 2 3 4" xfId="32740" xr:uid="{00000000-0005-0000-0000-0000E47F0000}"/>
    <cellStyle name="常规 2 2 2 2 2 3 5" xfId="32741" xr:uid="{00000000-0005-0000-0000-0000E57F0000}"/>
    <cellStyle name="常规 2 2 2 2 2 3 6" xfId="32742" xr:uid="{00000000-0005-0000-0000-0000E67F0000}"/>
    <cellStyle name="常规 2 2 2 2 2 4" xfId="32743" xr:uid="{00000000-0005-0000-0000-0000E77F0000}"/>
    <cellStyle name="常规 2 2 2 2 2 4 2" xfId="32744" xr:uid="{00000000-0005-0000-0000-0000E87F0000}"/>
    <cellStyle name="常规 2 2 2 2 2 4 2 2" xfId="32745" xr:uid="{00000000-0005-0000-0000-0000E97F0000}"/>
    <cellStyle name="常规 2 2 2 2 2 4 2 3" xfId="32746" xr:uid="{00000000-0005-0000-0000-0000EA7F0000}"/>
    <cellStyle name="常规 2 2 2 2 2 4 2 4" xfId="32747" xr:uid="{00000000-0005-0000-0000-0000EB7F0000}"/>
    <cellStyle name="常规 2 2 2 2 2 4 3" xfId="32748" xr:uid="{00000000-0005-0000-0000-0000EC7F0000}"/>
    <cellStyle name="常规 2 2 2 2 2 4 4" xfId="32749" xr:uid="{00000000-0005-0000-0000-0000ED7F0000}"/>
    <cellStyle name="常规 2 2 2 2 2 4 5" xfId="32750" xr:uid="{00000000-0005-0000-0000-0000EE7F0000}"/>
    <cellStyle name="常规 2 2 2 2 2 5" xfId="32751" xr:uid="{00000000-0005-0000-0000-0000EF7F0000}"/>
    <cellStyle name="常规 2 2 2 2 2 5 2" xfId="32752" xr:uid="{00000000-0005-0000-0000-0000F07F0000}"/>
    <cellStyle name="常规 2 2 2 2 2 5 3" xfId="32753" xr:uid="{00000000-0005-0000-0000-0000F17F0000}"/>
    <cellStyle name="常规 2 2 2 2 2 5 4" xfId="32754" xr:uid="{00000000-0005-0000-0000-0000F27F0000}"/>
    <cellStyle name="常规 2 2 2 2 2 6" xfId="32755" xr:uid="{00000000-0005-0000-0000-0000F37F0000}"/>
    <cellStyle name="常规 2 2 2 2 2 7" xfId="32756" xr:uid="{00000000-0005-0000-0000-0000F47F0000}"/>
    <cellStyle name="常规 2 2 2 2 2 8" xfId="32757" xr:uid="{00000000-0005-0000-0000-0000F57F0000}"/>
    <cellStyle name="常规 2 2 2 2 2 9" xfId="32758" xr:uid="{00000000-0005-0000-0000-0000F67F0000}"/>
    <cellStyle name="常规 2 2 2 2 2 9 2" xfId="32759" xr:uid="{00000000-0005-0000-0000-0000F77F0000}"/>
    <cellStyle name="常规 2 2 2 2 3" xfId="32760" xr:uid="{00000000-0005-0000-0000-0000F87F0000}"/>
    <cellStyle name="常规 2 2 2 2 3 2" xfId="32761" xr:uid="{00000000-0005-0000-0000-0000F97F0000}"/>
    <cellStyle name="常规 2 2 2 2 3 2 2" xfId="32762" xr:uid="{00000000-0005-0000-0000-0000FA7F0000}"/>
    <cellStyle name="常规 2 2 2 2 3 2 3" xfId="32763" xr:uid="{00000000-0005-0000-0000-0000FB7F0000}"/>
    <cellStyle name="常规 2 2 2 2 3 2 4" xfId="32764" xr:uid="{00000000-0005-0000-0000-0000FC7F0000}"/>
    <cellStyle name="常规 2 2 2 2 3 2 5" xfId="32765" xr:uid="{00000000-0005-0000-0000-0000FD7F0000}"/>
    <cellStyle name="常规 2 2 2 2 3 3" xfId="32766" xr:uid="{00000000-0005-0000-0000-0000FE7F0000}"/>
    <cellStyle name="常规 2 2 2 2 3 4" xfId="32767" xr:uid="{00000000-0005-0000-0000-0000FF7F0000}"/>
    <cellStyle name="常规 2 2 2 2 3 5" xfId="32768" xr:uid="{00000000-0005-0000-0000-000000800000}"/>
    <cellStyle name="常规 2 2 2 2 3 6" xfId="32769" xr:uid="{00000000-0005-0000-0000-000001800000}"/>
    <cellStyle name="常规 2 2 2 2 3 6 2" xfId="32770" xr:uid="{00000000-0005-0000-0000-000002800000}"/>
    <cellStyle name="常规 2 2 2 2 4" xfId="32771" xr:uid="{00000000-0005-0000-0000-000003800000}"/>
    <cellStyle name="常规 2 2 2 2 4 2" xfId="32772" xr:uid="{00000000-0005-0000-0000-000004800000}"/>
    <cellStyle name="常规 2 2 2 2 4 2 2" xfId="32773" xr:uid="{00000000-0005-0000-0000-000005800000}"/>
    <cellStyle name="常规 2 2 2 2 4 2 3" xfId="32774" xr:uid="{00000000-0005-0000-0000-000006800000}"/>
    <cellStyle name="常规 2 2 2 2 4 2 4" xfId="32775" xr:uid="{00000000-0005-0000-0000-000007800000}"/>
    <cellStyle name="常规 2 2 2 2 4 3" xfId="32776" xr:uid="{00000000-0005-0000-0000-000008800000}"/>
    <cellStyle name="常规 2 2 2 2 4 4" xfId="32777" xr:uid="{00000000-0005-0000-0000-000009800000}"/>
    <cellStyle name="常规 2 2 2 2 4 5" xfId="32778" xr:uid="{00000000-0005-0000-0000-00000A800000}"/>
    <cellStyle name="常规 2 2 2 2 4 6" xfId="32779" xr:uid="{00000000-0005-0000-0000-00000B800000}"/>
    <cellStyle name="常规 2 2 2 2 4 6 2" xfId="32780" xr:uid="{00000000-0005-0000-0000-00000C800000}"/>
    <cellStyle name="常规 2 2 2 2 5" xfId="32781" xr:uid="{00000000-0005-0000-0000-00000D800000}"/>
    <cellStyle name="常规 2 2 2 2 5 2" xfId="32782" xr:uid="{00000000-0005-0000-0000-00000E800000}"/>
    <cellStyle name="常规 2 2 2 2 5 2 2" xfId="32783" xr:uid="{00000000-0005-0000-0000-00000F800000}"/>
    <cellStyle name="常规 2 2 2 2 5 3" xfId="32784" xr:uid="{00000000-0005-0000-0000-000010800000}"/>
    <cellStyle name="常规 2 2 2 2 5 4" xfId="32785" xr:uid="{00000000-0005-0000-0000-000011800000}"/>
    <cellStyle name="常规 2 2 2 2 5 5" xfId="32786" xr:uid="{00000000-0005-0000-0000-000012800000}"/>
    <cellStyle name="常规 2 2 2 2 5 6" xfId="32787" xr:uid="{00000000-0005-0000-0000-000013800000}"/>
    <cellStyle name="常规 2 2 2 2 6" xfId="32788" xr:uid="{00000000-0005-0000-0000-000014800000}"/>
    <cellStyle name="常规 2 2 2 2 7" xfId="32789" xr:uid="{00000000-0005-0000-0000-000015800000}"/>
    <cellStyle name="常规 2 2 2 2 8" xfId="32790" xr:uid="{00000000-0005-0000-0000-000016800000}"/>
    <cellStyle name="常规 2 2 2 2 9" xfId="32791" xr:uid="{00000000-0005-0000-0000-000017800000}"/>
    <cellStyle name="常规 2 2 2 2 9 2" xfId="32792" xr:uid="{00000000-0005-0000-0000-000018800000}"/>
    <cellStyle name="常规 2 2 2 3" xfId="32793" xr:uid="{00000000-0005-0000-0000-000019800000}"/>
    <cellStyle name="常规 2 2 2 3 2" xfId="32794" xr:uid="{00000000-0005-0000-0000-00001A800000}"/>
    <cellStyle name="常规 2 2 2 3 2 2" xfId="32795" xr:uid="{00000000-0005-0000-0000-00001B800000}"/>
    <cellStyle name="常规 2 2 2 3 2 2 2" xfId="32796" xr:uid="{00000000-0005-0000-0000-00001C800000}"/>
    <cellStyle name="常规 2 2 2 3 2 2 3" xfId="32797" xr:uid="{00000000-0005-0000-0000-00001D800000}"/>
    <cellStyle name="常规 2 2 2 3 2 2 4" xfId="32798" xr:uid="{00000000-0005-0000-0000-00001E800000}"/>
    <cellStyle name="常规 2 2 2 3 2 2 5" xfId="32799" xr:uid="{00000000-0005-0000-0000-00001F800000}"/>
    <cellStyle name="常规 2 2 2 3 2 2 5 2" xfId="32800" xr:uid="{00000000-0005-0000-0000-000020800000}"/>
    <cellStyle name="常规 2 2 2 3 2 3" xfId="32801" xr:uid="{00000000-0005-0000-0000-000021800000}"/>
    <cellStyle name="常规 2 2 2 3 2 4" xfId="32802" xr:uid="{00000000-0005-0000-0000-000022800000}"/>
    <cellStyle name="常规 2 2 2 3 2 5" xfId="32803" xr:uid="{00000000-0005-0000-0000-000023800000}"/>
    <cellStyle name="常规 2 2 2 3 2 6" xfId="32804" xr:uid="{00000000-0005-0000-0000-000024800000}"/>
    <cellStyle name="常规 2 2 2 3 2 6 2" xfId="32805" xr:uid="{00000000-0005-0000-0000-000025800000}"/>
    <cellStyle name="常规 2 2 2 3 3" xfId="32806" xr:uid="{00000000-0005-0000-0000-000026800000}"/>
    <cellStyle name="常规 2 2 2 3 3 2" xfId="32807" xr:uid="{00000000-0005-0000-0000-000027800000}"/>
    <cellStyle name="常规 2 2 2 3 3 2 2" xfId="32808" xr:uid="{00000000-0005-0000-0000-000028800000}"/>
    <cellStyle name="常规 2 2 2 3 3 2 3" xfId="32809" xr:uid="{00000000-0005-0000-0000-000029800000}"/>
    <cellStyle name="常规 2 2 2 3 3 2 4" xfId="32810" xr:uid="{00000000-0005-0000-0000-00002A800000}"/>
    <cellStyle name="常规 2 2 2 3 3 3" xfId="32811" xr:uid="{00000000-0005-0000-0000-00002B800000}"/>
    <cellStyle name="常规 2 2 2 3 3 4" xfId="32812" xr:uid="{00000000-0005-0000-0000-00002C800000}"/>
    <cellStyle name="常规 2 2 2 3 3 5" xfId="32813" xr:uid="{00000000-0005-0000-0000-00002D800000}"/>
    <cellStyle name="常规 2 2 2 3 3 6" xfId="32814" xr:uid="{00000000-0005-0000-0000-00002E800000}"/>
    <cellStyle name="常规 2 2 2 3 3 6 2" xfId="32815" xr:uid="{00000000-0005-0000-0000-00002F800000}"/>
    <cellStyle name="常规 2 2 2 3 4" xfId="32816" xr:uid="{00000000-0005-0000-0000-000030800000}"/>
    <cellStyle name="常规 2 2 2 3 4 2" xfId="32817" xr:uid="{00000000-0005-0000-0000-000031800000}"/>
    <cellStyle name="常规 2 2 2 3 4 3" xfId="32818" xr:uid="{00000000-0005-0000-0000-000032800000}"/>
    <cellStyle name="常规 2 2 2 3 4 4" xfId="32819" xr:uid="{00000000-0005-0000-0000-000033800000}"/>
    <cellStyle name="常规 2 2 2 3 4 5" xfId="32820" xr:uid="{00000000-0005-0000-0000-000034800000}"/>
    <cellStyle name="常规 2 2 2 3 4 5 2" xfId="32821" xr:uid="{00000000-0005-0000-0000-000035800000}"/>
    <cellStyle name="常规 2 2 2 3 5" xfId="32822" xr:uid="{00000000-0005-0000-0000-000036800000}"/>
    <cellStyle name="常规 2 2 2 3 5 2" xfId="32823" xr:uid="{00000000-0005-0000-0000-000037800000}"/>
    <cellStyle name="常规 2 2 2 3 6" xfId="32824" xr:uid="{00000000-0005-0000-0000-000038800000}"/>
    <cellStyle name="常规 2 2 2 3 7" xfId="32825" xr:uid="{00000000-0005-0000-0000-000039800000}"/>
    <cellStyle name="常规 2 2 2 3 8" xfId="32826" xr:uid="{00000000-0005-0000-0000-00003A800000}"/>
    <cellStyle name="常规 2 2 2 3 8 2" xfId="32827" xr:uid="{00000000-0005-0000-0000-00003B800000}"/>
    <cellStyle name="常规 2 2 2 3 9" xfId="32828" xr:uid="{00000000-0005-0000-0000-00003C800000}"/>
    <cellStyle name="常规 2 2 2 4" xfId="32829" xr:uid="{00000000-0005-0000-0000-00003D800000}"/>
    <cellStyle name="常规 2 2 2 4 2" xfId="32830" xr:uid="{00000000-0005-0000-0000-00003E800000}"/>
    <cellStyle name="常规 2 2 2 4 2 2" xfId="32831" xr:uid="{00000000-0005-0000-0000-00003F800000}"/>
    <cellStyle name="常规 2 2 2 4 2 2 2" xfId="32832" xr:uid="{00000000-0005-0000-0000-000040800000}"/>
    <cellStyle name="常规 2 2 2 4 2 2 2 2" xfId="32833" xr:uid="{00000000-0005-0000-0000-000041800000}"/>
    <cellStyle name="常规 2 2 2 4 2 3" xfId="32834" xr:uid="{00000000-0005-0000-0000-000042800000}"/>
    <cellStyle name="常规 2 2 2 4 2 4" xfId="32835" xr:uid="{00000000-0005-0000-0000-000043800000}"/>
    <cellStyle name="常规 2 2 2 4 2 5" xfId="32836" xr:uid="{00000000-0005-0000-0000-000044800000}"/>
    <cellStyle name="常规 2 2 2 4 2 5 2" xfId="32837" xr:uid="{00000000-0005-0000-0000-000045800000}"/>
    <cellStyle name="常规 2 2 2 4 3" xfId="32838" xr:uid="{00000000-0005-0000-0000-000046800000}"/>
    <cellStyle name="常规 2 2 2 4 3 2" xfId="32839" xr:uid="{00000000-0005-0000-0000-000047800000}"/>
    <cellStyle name="常规 2 2 2 4 3 2 2" xfId="32840" xr:uid="{00000000-0005-0000-0000-000048800000}"/>
    <cellStyle name="常规 2 2 2 4 4" xfId="32841" xr:uid="{00000000-0005-0000-0000-000049800000}"/>
    <cellStyle name="常规 2 2 2 4 4 2" xfId="32842" xr:uid="{00000000-0005-0000-0000-00004A800000}"/>
    <cellStyle name="常规 2 2 2 4 4 2 2" xfId="32843" xr:uid="{00000000-0005-0000-0000-00004B800000}"/>
    <cellStyle name="常规 2 2 2 4 5" xfId="32844" xr:uid="{00000000-0005-0000-0000-00004C800000}"/>
    <cellStyle name="常规 2 2 2 4 6" xfId="32845" xr:uid="{00000000-0005-0000-0000-00004D800000}"/>
    <cellStyle name="常规 2 2 2 4 6 2" xfId="32846" xr:uid="{00000000-0005-0000-0000-00004E800000}"/>
    <cellStyle name="常规 2 2 2 4 7" xfId="32847" xr:uid="{00000000-0005-0000-0000-00004F800000}"/>
    <cellStyle name="常规 2 2 2 5" xfId="32848" xr:uid="{00000000-0005-0000-0000-000050800000}"/>
    <cellStyle name="常规 2 2 2 5 2" xfId="32849" xr:uid="{00000000-0005-0000-0000-000051800000}"/>
    <cellStyle name="常规 2 2 2 5 2 2" xfId="32850" xr:uid="{00000000-0005-0000-0000-000052800000}"/>
    <cellStyle name="常规 2 2 2 5 2 3" xfId="32851" xr:uid="{00000000-0005-0000-0000-000053800000}"/>
    <cellStyle name="常规 2 2 2 5 2 4" xfId="32852" xr:uid="{00000000-0005-0000-0000-000054800000}"/>
    <cellStyle name="常规 2 2 2 5 2 5" xfId="32853" xr:uid="{00000000-0005-0000-0000-000055800000}"/>
    <cellStyle name="常规 2 2 2 5 2 5 2" xfId="32854" xr:uid="{00000000-0005-0000-0000-000056800000}"/>
    <cellStyle name="常规 2 2 2 5 3" xfId="32855" xr:uid="{00000000-0005-0000-0000-000057800000}"/>
    <cellStyle name="常规 2 2 2 5 3 2" xfId="32856" xr:uid="{00000000-0005-0000-0000-000058800000}"/>
    <cellStyle name="常规 2 2 2 5 3 2 2" xfId="32857" xr:uid="{00000000-0005-0000-0000-000059800000}"/>
    <cellStyle name="常规 2 2 2 5 3 3" xfId="32858" xr:uid="{00000000-0005-0000-0000-00005A800000}"/>
    <cellStyle name="常规 2 2 2 5 4" xfId="32859" xr:uid="{00000000-0005-0000-0000-00005B800000}"/>
    <cellStyle name="常规 2 2 2 5 4 2" xfId="32860" xr:uid="{00000000-0005-0000-0000-00005C800000}"/>
    <cellStyle name="常规 2 2 2 5 5" xfId="32861" xr:uid="{00000000-0005-0000-0000-00005D800000}"/>
    <cellStyle name="常规 2 2 2 5 6" xfId="32862" xr:uid="{00000000-0005-0000-0000-00005E800000}"/>
    <cellStyle name="常规 2 2 2 5 6 2" xfId="32863" xr:uid="{00000000-0005-0000-0000-00005F800000}"/>
    <cellStyle name="常规 2 2 2 5 7" xfId="32864" xr:uid="{00000000-0005-0000-0000-000060800000}"/>
    <cellStyle name="常规 2 2 2 6" xfId="32865" xr:uid="{00000000-0005-0000-0000-000061800000}"/>
    <cellStyle name="常规 2 2 2 6 2" xfId="32866" xr:uid="{00000000-0005-0000-0000-000062800000}"/>
    <cellStyle name="常规 2 2 2 6 2 2" xfId="32867" xr:uid="{00000000-0005-0000-0000-000063800000}"/>
    <cellStyle name="常规 2 2 2 6 2 2 2" xfId="32868" xr:uid="{00000000-0005-0000-0000-000064800000}"/>
    <cellStyle name="常规 2 2 2 6 3" xfId="32869" xr:uid="{00000000-0005-0000-0000-000065800000}"/>
    <cellStyle name="常规 2 2 2 6 3 2" xfId="32870" xr:uid="{00000000-0005-0000-0000-000066800000}"/>
    <cellStyle name="常规 2 2 2 6 3 2 2" xfId="32871" xr:uid="{00000000-0005-0000-0000-000067800000}"/>
    <cellStyle name="常规 2 2 2 6 3 2 3" xfId="32872" xr:uid="{00000000-0005-0000-0000-000068800000}"/>
    <cellStyle name="常规 2 2 2 6 3 3" xfId="32873" xr:uid="{00000000-0005-0000-0000-000069800000}"/>
    <cellStyle name="常规 2 2 2 6 3 3 2" xfId="32874" xr:uid="{00000000-0005-0000-0000-00006A800000}"/>
    <cellStyle name="常规 2 2 2 6 4" xfId="32875" xr:uid="{00000000-0005-0000-0000-00006B800000}"/>
    <cellStyle name="常规 2 2 2 6 4 2" xfId="32876" xr:uid="{00000000-0005-0000-0000-00006C800000}"/>
    <cellStyle name="常规 2 2 2 6 4 2 2" xfId="32877" xr:uid="{00000000-0005-0000-0000-00006D800000}"/>
    <cellStyle name="常规 2 2 2 6 5" xfId="32878" xr:uid="{00000000-0005-0000-0000-00006E800000}"/>
    <cellStyle name="常规 2 2 2 6 5 2" xfId="32879" xr:uid="{00000000-0005-0000-0000-00006F800000}"/>
    <cellStyle name="常规 2 2 2 6 5 2 2" xfId="32880" xr:uid="{00000000-0005-0000-0000-000070800000}"/>
    <cellStyle name="常规 2 2 2 6 5 3" xfId="32881" xr:uid="{00000000-0005-0000-0000-000071800000}"/>
    <cellStyle name="常规 2 2 2 6 6" xfId="32882" xr:uid="{00000000-0005-0000-0000-000072800000}"/>
    <cellStyle name="常规 2 2 2 6 6 2" xfId="32883" xr:uid="{00000000-0005-0000-0000-000073800000}"/>
    <cellStyle name="常规 2 2 2 7" xfId="32884" xr:uid="{00000000-0005-0000-0000-000074800000}"/>
    <cellStyle name="常规 2 2 2 7 2" xfId="32885" xr:uid="{00000000-0005-0000-0000-000075800000}"/>
    <cellStyle name="常规 2 2 2 7 2 2" xfId="32886" xr:uid="{00000000-0005-0000-0000-000076800000}"/>
    <cellStyle name="常规 2 2 2 7 2 2 2" xfId="32887" xr:uid="{00000000-0005-0000-0000-000077800000}"/>
    <cellStyle name="常规 2 2 2 7 2 3" xfId="32888" xr:uid="{00000000-0005-0000-0000-000078800000}"/>
    <cellStyle name="常规 2 2 2 7 3" xfId="32889" xr:uid="{00000000-0005-0000-0000-000079800000}"/>
    <cellStyle name="常规 2 2 2 7 3 2" xfId="32890" xr:uid="{00000000-0005-0000-0000-00007A800000}"/>
    <cellStyle name="常规 2 2 2 7 3 3" xfId="32891" xr:uid="{00000000-0005-0000-0000-00007B800000}"/>
    <cellStyle name="常规 2 2 2 7 4" xfId="32892" xr:uid="{00000000-0005-0000-0000-00007C800000}"/>
    <cellStyle name="常规 2 2 2 8" xfId="32893" xr:uid="{00000000-0005-0000-0000-00007D800000}"/>
    <cellStyle name="常规 2 2 2 8 2" xfId="32894" xr:uid="{00000000-0005-0000-0000-00007E800000}"/>
    <cellStyle name="常规 2 2 2 8 2 2" xfId="32895" xr:uid="{00000000-0005-0000-0000-00007F800000}"/>
    <cellStyle name="常规 2 2 2 9" xfId="32896" xr:uid="{00000000-0005-0000-0000-000080800000}"/>
    <cellStyle name="常规 2 2 2 9 2" xfId="32897" xr:uid="{00000000-0005-0000-0000-000081800000}"/>
    <cellStyle name="常规 2 2 2 9 2 2" xfId="32898" xr:uid="{00000000-0005-0000-0000-000082800000}"/>
    <cellStyle name="常规 2 2 20" xfId="32899" xr:uid="{00000000-0005-0000-0000-000083800000}"/>
    <cellStyle name="常规 2 2 3" xfId="32900" xr:uid="{00000000-0005-0000-0000-000084800000}"/>
    <cellStyle name="常规 2 2 3 10" xfId="32901" xr:uid="{00000000-0005-0000-0000-000085800000}"/>
    <cellStyle name="常规 2 2 3 11" xfId="32902" xr:uid="{00000000-0005-0000-0000-000086800000}"/>
    <cellStyle name="常规 2 2 3 11 2" xfId="32903" xr:uid="{00000000-0005-0000-0000-000087800000}"/>
    <cellStyle name="常规 2 2 3 12" xfId="32904" xr:uid="{00000000-0005-0000-0000-000088800000}"/>
    <cellStyle name="常规 2 2 3 2" xfId="32905" xr:uid="{00000000-0005-0000-0000-000089800000}"/>
    <cellStyle name="常规 2 2 3 2 2" xfId="32906" xr:uid="{00000000-0005-0000-0000-00008A800000}"/>
    <cellStyle name="常规 2 2 3 2 2 2" xfId="32907" xr:uid="{00000000-0005-0000-0000-00008B800000}"/>
    <cellStyle name="常规 2 2 3 2 2 2 2" xfId="32908" xr:uid="{00000000-0005-0000-0000-00008C800000}"/>
    <cellStyle name="常规 2 2 3 2 2 2 3" xfId="32909" xr:uid="{00000000-0005-0000-0000-00008D800000}"/>
    <cellStyle name="常规 2 2 3 2 2 2 4" xfId="32910" xr:uid="{00000000-0005-0000-0000-00008E800000}"/>
    <cellStyle name="常规 2 2 3 2 2 2 5" xfId="32911" xr:uid="{00000000-0005-0000-0000-00008F800000}"/>
    <cellStyle name="常规 2 2 3 2 2 2 5 2" xfId="32912" xr:uid="{00000000-0005-0000-0000-000090800000}"/>
    <cellStyle name="常规 2 2 3 2 2 3" xfId="32913" xr:uid="{00000000-0005-0000-0000-000091800000}"/>
    <cellStyle name="常规 2 2 3 2 2 4" xfId="32914" xr:uid="{00000000-0005-0000-0000-000092800000}"/>
    <cellStyle name="常规 2 2 3 2 2 5" xfId="32915" xr:uid="{00000000-0005-0000-0000-000093800000}"/>
    <cellStyle name="常规 2 2 3 2 2 6" xfId="32916" xr:uid="{00000000-0005-0000-0000-000094800000}"/>
    <cellStyle name="常规 2 2 3 2 2 6 2" xfId="32917" xr:uid="{00000000-0005-0000-0000-000095800000}"/>
    <cellStyle name="常规 2 2 3 2 3" xfId="32918" xr:uid="{00000000-0005-0000-0000-000096800000}"/>
    <cellStyle name="常规 2 2 3 2 3 2" xfId="32919" xr:uid="{00000000-0005-0000-0000-000097800000}"/>
    <cellStyle name="常规 2 2 3 2 3 2 2" xfId="32920" xr:uid="{00000000-0005-0000-0000-000098800000}"/>
    <cellStyle name="常规 2 2 3 2 3 2 3" xfId="32921" xr:uid="{00000000-0005-0000-0000-000099800000}"/>
    <cellStyle name="常规 2 2 3 2 3 2 4" xfId="32922" xr:uid="{00000000-0005-0000-0000-00009A800000}"/>
    <cellStyle name="常规 2 2 3 2 3 3" xfId="32923" xr:uid="{00000000-0005-0000-0000-00009B800000}"/>
    <cellStyle name="常规 2 2 3 2 3 4" xfId="32924" xr:uid="{00000000-0005-0000-0000-00009C800000}"/>
    <cellStyle name="常规 2 2 3 2 3 5" xfId="32925" xr:uid="{00000000-0005-0000-0000-00009D800000}"/>
    <cellStyle name="常规 2 2 3 2 3 6" xfId="32926" xr:uid="{00000000-0005-0000-0000-00009E800000}"/>
    <cellStyle name="常规 2 2 3 2 3 6 2" xfId="32927" xr:uid="{00000000-0005-0000-0000-00009F800000}"/>
    <cellStyle name="常规 2 2 3 2 4" xfId="32928" xr:uid="{00000000-0005-0000-0000-0000A0800000}"/>
    <cellStyle name="常规 2 2 3 2 4 2" xfId="32929" xr:uid="{00000000-0005-0000-0000-0000A1800000}"/>
    <cellStyle name="常规 2 2 3 2 4 3" xfId="32930" xr:uid="{00000000-0005-0000-0000-0000A2800000}"/>
    <cellStyle name="常规 2 2 3 2 4 4" xfId="32931" xr:uid="{00000000-0005-0000-0000-0000A3800000}"/>
    <cellStyle name="常规 2 2 3 2 4 5" xfId="32932" xr:uid="{00000000-0005-0000-0000-0000A4800000}"/>
    <cellStyle name="常规 2 2 3 2 4 5 2" xfId="32933" xr:uid="{00000000-0005-0000-0000-0000A5800000}"/>
    <cellStyle name="常规 2 2 3 2 5" xfId="32934" xr:uid="{00000000-0005-0000-0000-0000A6800000}"/>
    <cellStyle name="常规 2 2 3 2 5 2" xfId="32935" xr:uid="{00000000-0005-0000-0000-0000A7800000}"/>
    <cellStyle name="常规 2 2 3 2 6" xfId="32936" xr:uid="{00000000-0005-0000-0000-0000A8800000}"/>
    <cellStyle name="常规 2 2 3 2 7" xfId="32937" xr:uid="{00000000-0005-0000-0000-0000A9800000}"/>
    <cellStyle name="常规 2 2 3 2 8" xfId="32938" xr:uid="{00000000-0005-0000-0000-0000AA800000}"/>
    <cellStyle name="常规 2 2 3 2 8 2" xfId="32939" xr:uid="{00000000-0005-0000-0000-0000AB800000}"/>
    <cellStyle name="常规 2 2 3 2 9" xfId="32940" xr:uid="{00000000-0005-0000-0000-0000AC800000}"/>
    <cellStyle name="常规 2 2 3 3" xfId="32941" xr:uid="{00000000-0005-0000-0000-0000AD800000}"/>
    <cellStyle name="常规 2 2 3 3 2" xfId="32942" xr:uid="{00000000-0005-0000-0000-0000AE800000}"/>
    <cellStyle name="常规 2 2 3 3 2 2" xfId="32943" xr:uid="{00000000-0005-0000-0000-0000AF800000}"/>
    <cellStyle name="常规 2 2 3 3 2 2 2" xfId="32944" xr:uid="{00000000-0005-0000-0000-0000B0800000}"/>
    <cellStyle name="常规 2 2 3 3 2 2 3" xfId="32945" xr:uid="{00000000-0005-0000-0000-0000B1800000}"/>
    <cellStyle name="常规 2 2 3 3 2 2 4" xfId="32946" xr:uid="{00000000-0005-0000-0000-0000B2800000}"/>
    <cellStyle name="常规 2 2 3 3 2 2 5" xfId="32947" xr:uid="{00000000-0005-0000-0000-0000B3800000}"/>
    <cellStyle name="常规 2 2 3 3 2 2 5 2" xfId="32948" xr:uid="{00000000-0005-0000-0000-0000B4800000}"/>
    <cellStyle name="常规 2 2 3 3 2 3" xfId="32949" xr:uid="{00000000-0005-0000-0000-0000B5800000}"/>
    <cellStyle name="常规 2 2 3 3 2 4" xfId="32950" xr:uid="{00000000-0005-0000-0000-0000B6800000}"/>
    <cellStyle name="常规 2 2 3 3 2 5" xfId="32951" xr:uid="{00000000-0005-0000-0000-0000B7800000}"/>
    <cellStyle name="常规 2 2 3 3 2 6" xfId="32952" xr:uid="{00000000-0005-0000-0000-0000B8800000}"/>
    <cellStyle name="常规 2 2 3 3 2 6 2" xfId="32953" xr:uid="{00000000-0005-0000-0000-0000B9800000}"/>
    <cellStyle name="常规 2 2 3 3 3" xfId="32954" xr:uid="{00000000-0005-0000-0000-0000BA800000}"/>
    <cellStyle name="常规 2 2 3 3 3 2" xfId="32955" xr:uid="{00000000-0005-0000-0000-0000BB800000}"/>
    <cellStyle name="常规 2 2 3 3 3 2 2" xfId="32956" xr:uid="{00000000-0005-0000-0000-0000BC800000}"/>
    <cellStyle name="常规 2 2 3 3 3 2 3" xfId="32957" xr:uid="{00000000-0005-0000-0000-0000BD800000}"/>
    <cellStyle name="常规 2 2 3 3 3 2 4" xfId="32958" xr:uid="{00000000-0005-0000-0000-0000BE800000}"/>
    <cellStyle name="常规 2 2 3 3 3 3" xfId="32959" xr:uid="{00000000-0005-0000-0000-0000BF800000}"/>
    <cellStyle name="常规 2 2 3 3 3 4" xfId="32960" xr:uid="{00000000-0005-0000-0000-0000C0800000}"/>
    <cellStyle name="常规 2 2 3 3 3 5" xfId="32961" xr:uid="{00000000-0005-0000-0000-0000C1800000}"/>
    <cellStyle name="常规 2 2 3 3 3 6" xfId="32962" xr:uid="{00000000-0005-0000-0000-0000C2800000}"/>
    <cellStyle name="常规 2 2 3 3 3 6 2" xfId="32963" xr:uid="{00000000-0005-0000-0000-0000C3800000}"/>
    <cellStyle name="常规 2 2 3 3 4" xfId="32964" xr:uid="{00000000-0005-0000-0000-0000C4800000}"/>
    <cellStyle name="常规 2 2 3 3 4 2" xfId="32965" xr:uid="{00000000-0005-0000-0000-0000C5800000}"/>
    <cellStyle name="常规 2 2 3 3 4 3" xfId="32966" xr:uid="{00000000-0005-0000-0000-0000C6800000}"/>
    <cellStyle name="常规 2 2 3 3 4 4" xfId="32967" xr:uid="{00000000-0005-0000-0000-0000C7800000}"/>
    <cellStyle name="常规 2 2 3 3 4 5" xfId="32968" xr:uid="{00000000-0005-0000-0000-0000C8800000}"/>
    <cellStyle name="常规 2 2 3 3 4 5 2" xfId="32969" xr:uid="{00000000-0005-0000-0000-0000C9800000}"/>
    <cellStyle name="常规 2 2 3 3 5" xfId="32970" xr:uid="{00000000-0005-0000-0000-0000CA800000}"/>
    <cellStyle name="常规 2 2 3 3 6" xfId="32971" xr:uid="{00000000-0005-0000-0000-0000CB800000}"/>
    <cellStyle name="常规 2 2 3 3 7" xfId="32972" xr:uid="{00000000-0005-0000-0000-0000CC800000}"/>
    <cellStyle name="常规 2 2 3 3 8" xfId="32973" xr:uid="{00000000-0005-0000-0000-0000CD800000}"/>
    <cellStyle name="常规 2 2 3 3 8 2" xfId="32974" xr:uid="{00000000-0005-0000-0000-0000CE800000}"/>
    <cellStyle name="常规 2 2 3 3 9" xfId="32975" xr:uid="{00000000-0005-0000-0000-0000CF800000}"/>
    <cellStyle name="常规 2 2 3 4" xfId="32976" xr:uid="{00000000-0005-0000-0000-0000D0800000}"/>
    <cellStyle name="常规 2 2 3 4 2" xfId="32977" xr:uid="{00000000-0005-0000-0000-0000D1800000}"/>
    <cellStyle name="常规 2 2 3 4 2 2" xfId="32978" xr:uid="{00000000-0005-0000-0000-0000D2800000}"/>
    <cellStyle name="常规 2 2 3 4 2 2 2" xfId="32979" xr:uid="{00000000-0005-0000-0000-0000D3800000}"/>
    <cellStyle name="常规 2 2 3 4 2 2 3" xfId="32980" xr:uid="{00000000-0005-0000-0000-0000D4800000}"/>
    <cellStyle name="常规 2 2 3 4 2 2 4" xfId="32981" xr:uid="{00000000-0005-0000-0000-0000D5800000}"/>
    <cellStyle name="常规 2 2 3 4 2 3" xfId="32982" xr:uid="{00000000-0005-0000-0000-0000D6800000}"/>
    <cellStyle name="常规 2 2 3 4 2 4" xfId="32983" xr:uid="{00000000-0005-0000-0000-0000D7800000}"/>
    <cellStyle name="常规 2 2 3 4 2 5" xfId="32984" xr:uid="{00000000-0005-0000-0000-0000D8800000}"/>
    <cellStyle name="常规 2 2 3 4 2 6" xfId="32985" xr:uid="{00000000-0005-0000-0000-0000D9800000}"/>
    <cellStyle name="常规 2 2 3 4 2 6 2" xfId="32986" xr:uid="{00000000-0005-0000-0000-0000DA800000}"/>
    <cellStyle name="常规 2 2 3 4 3" xfId="32987" xr:uid="{00000000-0005-0000-0000-0000DB800000}"/>
    <cellStyle name="常规 2 2 3 4 3 2" xfId="32988" xr:uid="{00000000-0005-0000-0000-0000DC800000}"/>
    <cellStyle name="常规 2 2 3 4 3 2 2" xfId="32989" xr:uid="{00000000-0005-0000-0000-0000DD800000}"/>
    <cellStyle name="常规 2 2 3 4 3 2 3" xfId="32990" xr:uid="{00000000-0005-0000-0000-0000DE800000}"/>
    <cellStyle name="常规 2 2 3 4 3 2 4" xfId="32991" xr:uid="{00000000-0005-0000-0000-0000DF800000}"/>
    <cellStyle name="常规 2 2 3 4 3 2 5" xfId="32992" xr:uid="{00000000-0005-0000-0000-0000E0800000}"/>
    <cellStyle name="常规 2 2 3 4 3 3" xfId="32993" xr:uid="{00000000-0005-0000-0000-0000E1800000}"/>
    <cellStyle name="常规 2 2 3 4 3 4" xfId="32994" xr:uid="{00000000-0005-0000-0000-0000E2800000}"/>
    <cellStyle name="常规 2 2 3 4 3 5" xfId="32995" xr:uid="{00000000-0005-0000-0000-0000E3800000}"/>
    <cellStyle name="常规 2 2 3 4 3 6" xfId="32996" xr:uid="{00000000-0005-0000-0000-0000E4800000}"/>
    <cellStyle name="常规 2 2 3 4 3 6 2" xfId="32997" xr:uid="{00000000-0005-0000-0000-0000E5800000}"/>
    <cellStyle name="常规 2 2 3 4 3 7" xfId="32998" xr:uid="{00000000-0005-0000-0000-0000E6800000}"/>
    <cellStyle name="常规 2 2 3 4 4" xfId="32999" xr:uid="{00000000-0005-0000-0000-0000E7800000}"/>
    <cellStyle name="常规 2 2 3 4 4 2" xfId="33000" xr:uid="{00000000-0005-0000-0000-0000E8800000}"/>
    <cellStyle name="常规 2 2 3 4 4 3" xfId="33001" xr:uid="{00000000-0005-0000-0000-0000E9800000}"/>
    <cellStyle name="常规 2 2 3 4 4 4" xfId="33002" xr:uid="{00000000-0005-0000-0000-0000EA800000}"/>
    <cellStyle name="常规 2 2 3 4 4 5" xfId="33003" xr:uid="{00000000-0005-0000-0000-0000EB800000}"/>
    <cellStyle name="常规 2 2 3 4 5" xfId="33004" xr:uid="{00000000-0005-0000-0000-0000EC800000}"/>
    <cellStyle name="常规 2 2 3 4 6" xfId="33005" xr:uid="{00000000-0005-0000-0000-0000ED800000}"/>
    <cellStyle name="常规 2 2 3 4 7" xfId="33006" xr:uid="{00000000-0005-0000-0000-0000EE800000}"/>
    <cellStyle name="常规 2 2 3 4 8" xfId="33007" xr:uid="{00000000-0005-0000-0000-0000EF800000}"/>
    <cellStyle name="常规 2 2 3 4 8 2" xfId="33008" xr:uid="{00000000-0005-0000-0000-0000F0800000}"/>
    <cellStyle name="常规 2 2 3 4 9" xfId="33009" xr:uid="{00000000-0005-0000-0000-0000F1800000}"/>
    <cellStyle name="常规 2 2 3 5" xfId="33010" xr:uid="{00000000-0005-0000-0000-0000F2800000}"/>
    <cellStyle name="常规 2 2 3 5 2" xfId="33011" xr:uid="{00000000-0005-0000-0000-0000F3800000}"/>
    <cellStyle name="常规 2 2 3 5 2 2" xfId="33012" xr:uid="{00000000-0005-0000-0000-0000F4800000}"/>
    <cellStyle name="常规 2 2 3 5 2 3" xfId="33013" xr:uid="{00000000-0005-0000-0000-0000F5800000}"/>
    <cellStyle name="常规 2 2 3 5 2 4" xfId="33014" xr:uid="{00000000-0005-0000-0000-0000F6800000}"/>
    <cellStyle name="常规 2 2 3 5 3" xfId="33015" xr:uid="{00000000-0005-0000-0000-0000F7800000}"/>
    <cellStyle name="常规 2 2 3 5 4" xfId="33016" xr:uid="{00000000-0005-0000-0000-0000F8800000}"/>
    <cellStyle name="常规 2 2 3 5 5" xfId="33017" xr:uid="{00000000-0005-0000-0000-0000F9800000}"/>
    <cellStyle name="常规 2 2 3 5 6" xfId="33018" xr:uid="{00000000-0005-0000-0000-0000FA800000}"/>
    <cellStyle name="常规 2 2 3 5 6 2" xfId="33019" xr:uid="{00000000-0005-0000-0000-0000FB800000}"/>
    <cellStyle name="常规 2 2 3 6" xfId="33020" xr:uid="{00000000-0005-0000-0000-0000FC800000}"/>
    <cellStyle name="常规 2 2 3 6 2" xfId="33021" xr:uid="{00000000-0005-0000-0000-0000FD800000}"/>
    <cellStyle name="常规 2 2 3 6 2 2" xfId="33022" xr:uid="{00000000-0005-0000-0000-0000FE800000}"/>
    <cellStyle name="常规 2 2 3 6 2 3" xfId="33023" xr:uid="{00000000-0005-0000-0000-0000FF800000}"/>
    <cellStyle name="常规 2 2 3 6 2 4" xfId="33024" xr:uid="{00000000-0005-0000-0000-000000810000}"/>
    <cellStyle name="常规 2 2 3 6 3" xfId="33025" xr:uid="{00000000-0005-0000-0000-000001810000}"/>
    <cellStyle name="常规 2 2 3 6 4" xfId="33026" xr:uid="{00000000-0005-0000-0000-000002810000}"/>
    <cellStyle name="常规 2 2 3 6 5" xfId="33027" xr:uid="{00000000-0005-0000-0000-000003810000}"/>
    <cellStyle name="常规 2 2 3 6 6" xfId="33028" xr:uid="{00000000-0005-0000-0000-000004810000}"/>
    <cellStyle name="常规 2 2 3 6 6 2" xfId="33029" xr:uid="{00000000-0005-0000-0000-000005810000}"/>
    <cellStyle name="常规 2 2 3 7" xfId="33030" xr:uid="{00000000-0005-0000-0000-000006810000}"/>
    <cellStyle name="常规 2 2 3 7 2" xfId="33031" xr:uid="{00000000-0005-0000-0000-000007810000}"/>
    <cellStyle name="常规 2 2 3 7 2 2" xfId="33032" xr:uid="{00000000-0005-0000-0000-000008810000}"/>
    <cellStyle name="常规 2 2 3 7 3" xfId="33033" xr:uid="{00000000-0005-0000-0000-000009810000}"/>
    <cellStyle name="常规 2 2 3 7 4" xfId="33034" xr:uid="{00000000-0005-0000-0000-00000A810000}"/>
    <cellStyle name="常规 2 2 3 7 5" xfId="33035" xr:uid="{00000000-0005-0000-0000-00000B810000}"/>
    <cellStyle name="常规 2 2 3 7 6" xfId="33036" xr:uid="{00000000-0005-0000-0000-00000C810000}"/>
    <cellStyle name="常规 2 2 3 8" xfId="33037" xr:uid="{00000000-0005-0000-0000-00000D810000}"/>
    <cellStyle name="常规 2 2 3 9" xfId="33038" xr:uid="{00000000-0005-0000-0000-00000E810000}"/>
    <cellStyle name="常规 2 2 4" xfId="33039" xr:uid="{00000000-0005-0000-0000-00000F810000}"/>
    <cellStyle name="常规 2 2 4 10" xfId="33040" xr:uid="{00000000-0005-0000-0000-000010810000}"/>
    <cellStyle name="常规 2 2 4 10 2" xfId="33041" xr:uid="{00000000-0005-0000-0000-000011810000}"/>
    <cellStyle name="常规 2 2 4 2" xfId="33042" xr:uid="{00000000-0005-0000-0000-000012810000}"/>
    <cellStyle name="常规 2 2 4 2 2" xfId="33043" xr:uid="{00000000-0005-0000-0000-000013810000}"/>
    <cellStyle name="常规 2 2 4 2 2 2" xfId="33044" xr:uid="{00000000-0005-0000-0000-000014810000}"/>
    <cellStyle name="常规 2 2 4 2 2 2 2" xfId="33045" xr:uid="{00000000-0005-0000-0000-000015810000}"/>
    <cellStyle name="常规 2 2 4 2 2 2 2 2" xfId="33046" xr:uid="{00000000-0005-0000-0000-000016810000}"/>
    <cellStyle name="常规 2 2 4 2 2 2 2 2 2" xfId="33047" xr:uid="{00000000-0005-0000-0000-000017810000}"/>
    <cellStyle name="常规 2 2 4 2 2 2 3" xfId="33048" xr:uid="{00000000-0005-0000-0000-000018810000}"/>
    <cellStyle name="常规 2 2 4 2 2 2 3 2" xfId="33049" xr:uid="{00000000-0005-0000-0000-000019810000}"/>
    <cellStyle name="常规 2 2 4 2 2 2 3 2 2" xfId="33050" xr:uid="{00000000-0005-0000-0000-00001A810000}"/>
    <cellStyle name="常规 2 2 4 2 2 2 4" xfId="33051" xr:uid="{00000000-0005-0000-0000-00001B810000}"/>
    <cellStyle name="常规 2 2 4 2 2 2 4 2" xfId="33052" xr:uid="{00000000-0005-0000-0000-00001C810000}"/>
    <cellStyle name="常规 2 2 4 2 2 2 4 2 2" xfId="33053" xr:uid="{00000000-0005-0000-0000-00001D810000}"/>
    <cellStyle name="常规 2 2 4 2 2 2 5" xfId="33054" xr:uid="{00000000-0005-0000-0000-00001E810000}"/>
    <cellStyle name="常规 2 2 4 2 2 2 5 2" xfId="33055" xr:uid="{00000000-0005-0000-0000-00001F810000}"/>
    <cellStyle name="常规 2 2 4 2 2 2 5 3" xfId="33056" xr:uid="{00000000-0005-0000-0000-000020810000}"/>
    <cellStyle name="常规 2 2 4 2 2 2 6" xfId="33057" xr:uid="{00000000-0005-0000-0000-000021810000}"/>
    <cellStyle name="常规 2 2 4 2 2 3" xfId="33058" xr:uid="{00000000-0005-0000-0000-000022810000}"/>
    <cellStyle name="常规 2 2 4 2 2 3 2" xfId="33059" xr:uid="{00000000-0005-0000-0000-000023810000}"/>
    <cellStyle name="常规 2 2 4 2 2 3 2 2" xfId="33060" xr:uid="{00000000-0005-0000-0000-000024810000}"/>
    <cellStyle name="常规 2 2 4 2 2 3 2 2 2" xfId="33061" xr:uid="{00000000-0005-0000-0000-000025810000}"/>
    <cellStyle name="常规 2 2 4 2 2 3 3" xfId="33062" xr:uid="{00000000-0005-0000-0000-000026810000}"/>
    <cellStyle name="常规 2 2 4 2 2 3 3 2" xfId="33063" xr:uid="{00000000-0005-0000-0000-000027810000}"/>
    <cellStyle name="常规 2 2 4 2 2 3 3 2 2" xfId="33064" xr:uid="{00000000-0005-0000-0000-000028810000}"/>
    <cellStyle name="常规 2 2 4 2 2 3 4" xfId="33065" xr:uid="{00000000-0005-0000-0000-000029810000}"/>
    <cellStyle name="常规 2 2 4 2 2 3 4 2" xfId="33066" xr:uid="{00000000-0005-0000-0000-00002A810000}"/>
    <cellStyle name="常规 2 2 4 2 2 3 5" xfId="33067" xr:uid="{00000000-0005-0000-0000-00002B810000}"/>
    <cellStyle name="常规 2 2 4 2 2 4" xfId="33068" xr:uid="{00000000-0005-0000-0000-00002C810000}"/>
    <cellStyle name="常规 2 2 4 2 2 4 2" xfId="33069" xr:uid="{00000000-0005-0000-0000-00002D810000}"/>
    <cellStyle name="常规 2 2 4 2 2 4 2 2" xfId="33070" xr:uid="{00000000-0005-0000-0000-00002E810000}"/>
    <cellStyle name="常规 2 2 4 2 2 5" xfId="33071" xr:uid="{00000000-0005-0000-0000-00002F810000}"/>
    <cellStyle name="常规 2 2 4 2 2 5 2" xfId="33072" xr:uid="{00000000-0005-0000-0000-000030810000}"/>
    <cellStyle name="常规 2 2 4 2 2 5 2 2" xfId="33073" xr:uid="{00000000-0005-0000-0000-000031810000}"/>
    <cellStyle name="常规 2 2 4 2 2 6" xfId="33074" xr:uid="{00000000-0005-0000-0000-000032810000}"/>
    <cellStyle name="常规 2 2 4 2 2 7" xfId="33075" xr:uid="{00000000-0005-0000-0000-000033810000}"/>
    <cellStyle name="常规 2 2 4 2 2 7 2" xfId="33076" xr:uid="{00000000-0005-0000-0000-000034810000}"/>
    <cellStyle name="常规 2 2 4 2 2 7 3" xfId="33077" xr:uid="{00000000-0005-0000-0000-000035810000}"/>
    <cellStyle name="常规 2 2 4 2 2 8" xfId="33078" xr:uid="{00000000-0005-0000-0000-000036810000}"/>
    <cellStyle name="常规 2 2 4 2 2 8 2" xfId="33079" xr:uid="{00000000-0005-0000-0000-000037810000}"/>
    <cellStyle name="常规 2 2 4 2 3" xfId="33080" xr:uid="{00000000-0005-0000-0000-000038810000}"/>
    <cellStyle name="常规 2 2 4 2 3 2" xfId="33081" xr:uid="{00000000-0005-0000-0000-000039810000}"/>
    <cellStyle name="常规 2 2 4 2 3 2 2" xfId="33082" xr:uid="{00000000-0005-0000-0000-00003A810000}"/>
    <cellStyle name="常规 2 2 4 2 3 2 3" xfId="33083" xr:uid="{00000000-0005-0000-0000-00003B810000}"/>
    <cellStyle name="常规 2 2 4 2 3 2 4" xfId="33084" xr:uid="{00000000-0005-0000-0000-00003C810000}"/>
    <cellStyle name="常规 2 2 4 2 3 2 5" xfId="33085" xr:uid="{00000000-0005-0000-0000-00003D810000}"/>
    <cellStyle name="常规 2 2 4 2 3 2 5 2" xfId="33086" xr:uid="{00000000-0005-0000-0000-00003E810000}"/>
    <cellStyle name="常规 2 2 4 2 3 3" xfId="33087" xr:uid="{00000000-0005-0000-0000-00003F810000}"/>
    <cellStyle name="常规 2 2 4 2 3 3 2" xfId="33088" xr:uid="{00000000-0005-0000-0000-000040810000}"/>
    <cellStyle name="常规 2 2 4 2 3 3 2 2" xfId="33089" xr:uid="{00000000-0005-0000-0000-000041810000}"/>
    <cellStyle name="常规 2 2 4 2 3 4" xfId="33090" xr:uid="{00000000-0005-0000-0000-000042810000}"/>
    <cellStyle name="常规 2 2 4 2 3 4 2" xfId="33091" xr:uid="{00000000-0005-0000-0000-000043810000}"/>
    <cellStyle name="常规 2 2 4 2 3 4 2 2" xfId="33092" xr:uid="{00000000-0005-0000-0000-000044810000}"/>
    <cellStyle name="常规 2 2 4 2 3 5" xfId="33093" xr:uid="{00000000-0005-0000-0000-000045810000}"/>
    <cellStyle name="常规 2 2 4 2 3 5 2" xfId="33094" xr:uid="{00000000-0005-0000-0000-000046810000}"/>
    <cellStyle name="常规 2 2 4 2 3 5 3" xfId="33095" xr:uid="{00000000-0005-0000-0000-000047810000}"/>
    <cellStyle name="常规 2 2 4 2 3 6" xfId="33096" xr:uid="{00000000-0005-0000-0000-000048810000}"/>
    <cellStyle name="常规 2 2 4 2 3 6 2" xfId="33097" xr:uid="{00000000-0005-0000-0000-000049810000}"/>
    <cellStyle name="常规 2 2 4 2 3 7" xfId="33098" xr:uid="{00000000-0005-0000-0000-00004A810000}"/>
    <cellStyle name="常规 2 2 4 2 4" xfId="33099" xr:uid="{00000000-0005-0000-0000-00004B810000}"/>
    <cellStyle name="常规 2 2 4 2 4 2" xfId="33100" xr:uid="{00000000-0005-0000-0000-00004C810000}"/>
    <cellStyle name="常规 2 2 4 2 4 3" xfId="33101" xr:uid="{00000000-0005-0000-0000-00004D810000}"/>
    <cellStyle name="常规 2 2 4 2 4 4" xfId="33102" xr:uid="{00000000-0005-0000-0000-00004E810000}"/>
    <cellStyle name="常规 2 2 4 2 4 5" xfId="33103" xr:uid="{00000000-0005-0000-0000-00004F810000}"/>
    <cellStyle name="常规 2 2 4 2 4 5 2" xfId="33104" xr:uid="{00000000-0005-0000-0000-000050810000}"/>
    <cellStyle name="常规 2 2 4 2 5" xfId="33105" xr:uid="{00000000-0005-0000-0000-000051810000}"/>
    <cellStyle name="常规 2 2 4 2 5 2" xfId="33106" xr:uid="{00000000-0005-0000-0000-000052810000}"/>
    <cellStyle name="常规 2 2 4 2 5 2 2" xfId="33107" xr:uid="{00000000-0005-0000-0000-000053810000}"/>
    <cellStyle name="常规 2 2 4 2 6" xfId="33108" xr:uid="{00000000-0005-0000-0000-000054810000}"/>
    <cellStyle name="常规 2 2 4 2 6 2" xfId="33109" xr:uid="{00000000-0005-0000-0000-000055810000}"/>
    <cellStyle name="常规 2 2 4 2 6 2 2" xfId="33110" xr:uid="{00000000-0005-0000-0000-000056810000}"/>
    <cellStyle name="常规 2 2 4 2 7" xfId="33111" xr:uid="{00000000-0005-0000-0000-000057810000}"/>
    <cellStyle name="常规 2 2 4 2 7 2" xfId="33112" xr:uid="{00000000-0005-0000-0000-000058810000}"/>
    <cellStyle name="常规 2 2 4 2 7 2 2" xfId="33113" xr:uid="{00000000-0005-0000-0000-000059810000}"/>
    <cellStyle name="常规 2 2 4 2 8" xfId="33114" xr:uid="{00000000-0005-0000-0000-00005A810000}"/>
    <cellStyle name="常规 2 2 4 2 8 2" xfId="33115" xr:uid="{00000000-0005-0000-0000-00005B810000}"/>
    <cellStyle name="常规 2 2 4 2 8 3" xfId="33116" xr:uid="{00000000-0005-0000-0000-00005C810000}"/>
    <cellStyle name="常规 2 2 4 2 9" xfId="33117" xr:uid="{00000000-0005-0000-0000-00005D810000}"/>
    <cellStyle name="常规 2 2 4 2 9 2" xfId="33118" xr:uid="{00000000-0005-0000-0000-00005E810000}"/>
    <cellStyle name="常规 2 2 4 3" xfId="33119" xr:uid="{00000000-0005-0000-0000-00005F810000}"/>
    <cellStyle name="常规 2 2 4 3 2" xfId="33120" xr:uid="{00000000-0005-0000-0000-000060810000}"/>
    <cellStyle name="常规 2 2 4 3 2 2" xfId="33121" xr:uid="{00000000-0005-0000-0000-000061810000}"/>
    <cellStyle name="常规 2 2 4 3 2 2 2" xfId="33122" xr:uid="{00000000-0005-0000-0000-000062810000}"/>
    <cellStyle name="常规 2 2 4 3 2 2 2 2" xfId="33123" xr:uid="{00000000-0005-0000-0000-000063810000}"/>
    <cellStyle name="常规 2 2 4 3 2 3" xfId="33124" xr:uid="{00000000-0005-0000-0000-000064810000}"/>
    <cellStyle name="常规 2 2 4 3 2 3 2" xfId="33125" xr:uid="{00000000-0005-0000-0000-000065810000}"/>
    <cellStyle name="常规 2 2 4 3 2 3 2 2" xfId="33126" xr:uid="{00000000-0005-0000-0000-000066810000}"/>
    <cellStyle name="常规 2 2 4 3 2 4" xfId="33127" xr:uid="{00000000-0005-0000-0000-000067810000}"/>
    <cellStyle name="常规 2 2 4 3 2 4 2" xfId="33128" xr:uid="{00000000-0005-0000-0000-000068810000}"/>
    <cellStyle name="常规 2 2 4 3 2 4 2 2" xfId="33129" xr:uid="{00000000-0005-0000-0000-000069810000}"/>
    <cellStyle name="常规 2 2 4 3 2 5" xfId="33130" xr:uid="{00000000-0005-0000-0000-00006A810000}"/>
    <cellStyle name="常规 2 2 4 3 2 5 2" xfId="33131" xr:uid="{00000000-0005-0000-0000-00006B810000}"/>
    <cellStyle name="常规 2 2 4 3 2 5 3" xfId="33132" xr:uid="{00000000-0005-0000-0000-00006C810000}"/>
    <cellStyle name="常规 2 2 4 3 2 6" xfId="33133" xr:uid="{00000000-0005-0000-0000-00006D810000}"/>
    <cellStyle name="常规 2 2 4 3 3" xfId="33134" xr:uid="{00000000-0005-0000-0000-00006E810000}"/>
    <cellStyle name="常规 2 2 4 3 3 2" xfId="33135" xr:uid="{00000000-0005-0000-0000-00006F810000}"/>
    <cellStyle name="常规 2 2 4 3 3 2 2" xfId="33136" xr:uid="{00000000-0005-0000-0000-000070810000}"/>
    <cellStyle name="常规 2 2 4 3 3 2 2 2" xfId="33137" xr:uid="{00000000-0005-0000-0000-000071810000}"/>
    <cellStyle name="常规 2 2 4 3 3 3" xfId="33138" xr:uid="{00000000-0005-0000-0000-000072810000}"/>
    <cellStyle name="常规 2 2 4 3 3 3 2" xfId="33139" xr:uid="{00000000-0005-0000-0000-000073810000}"/>
    <cellStyle name="常规 2 2 4 3 3 3 2 2" xfId="33140" xr:uid="{00000000-0005-0000-0000-000074810000}"/>
    <cellStyle name="常规 2 2 4 3 3 4" xfId="33141" xr:uid="{00000000-0005-0000-0000-000075810000}"/>
    <cellStyle name="常规 2 2 4 3 3 4 2" xfId="33142" xr:uid="{00000000-0005-0000-0000-000076810000}"/>
    <cellStyle name="常规 2 2 4 3 3 5" xfId="33143" xr:uid="{00000000-0005-0000-0000-000077810000}"/>
    <cellStyle name="常规 2 2 4 3 4" xfId="33144" xr:uid="{00000000-0005-0000-0000-000078810000}"/>
    <cellStyle name="常规 2 2 4 3 4 2" xfId="33145" xr:uid="{00000000-0005-0000-0000-000079810000}"/>
    <cellStyle name="常规 2 2 4 3 4 2 2" xfId="33146" xr:uid="{00000000-0005-0000-0000-00007A810000}"/>
    <cellStyle name="常规 2 2 4 3 5" xfId="33147" xr:uid="{00000000-0005-0000-0000-00007B810000}"/>
    <cellStyle name="常规 2 2 4 3 5 2" xfId="33148" xr:uid="{00000000-0005-0000-0000-00007C810000}"/>
    <cellStyle name="常规 2 2 4 3 5 2 2" xfId="33149" xr:uid="{00000000-0005-0000-0000-00007D810000}"/>
    <cellStyle name="常规 2 2 4 3 6" xfId="33150" xr:uid="{00000000-0005-0000-0000-00007E810000}"/>
    <cellStyle name="常规 2 2 4 3 7" xfId="33151" xr:uid="{00000000-0005-0000-0000-00007F810000}"/>
    <cellStyle name="常规 2 2 4 3 7 2" xfId="33152" xr:uid="{00000000-0005-0000-0000-000080810000}"/>
    <cellStyle name="常规 2 2 4 3 7 3" xfId="33153" xr:uid="{00000000-0005-0000-0000-000081810000}"/>
    <cellStyle name="常规 2 2 4 3 8" xfId="33154" xr:uid="{00000000-0005-0000-0000-000082810000}"/>
    <cellStyle name="常规 2 2 4 3 8 2" xfId="33155" xr:uid="{00000000-0005-0000-0000-000083810000}"/>
    <cellStyle name="常规 2 2 4 4" xfId="33156" xr:uid="{00000000-0005-0000-0000-000084810000}"/>
    <cellStyle name="常规 2 2 4 4 2" xfId="33157" xr:uid="{00000000-0005-0000-0000-000085810000}"/>
    <cellStyle name="常规 2 2 4 4 2 2" xfId="33158" xr:uid="{00000000-0005-0000-0000-000086810000}"/>
    <cellStyle name="常规 2 2 4 4 2 3" xfId="33159" xr:uid="{00000000-0005-0000-0000-000087810000}"/>
    <cellStyle name="常规 2 2 4 4 2 4" xfId="33160" xr:uid="{00000000-0005-0000-0000-000088810000}"/>
    <cellStyle name="常规 2 2 4 4 2 5" xfId="33161" xr:uid="{00000000-0005-0000-0000-000089810000}"/>
    <cellStyle name="常规 2 2 4 4 2 5 2" xfId="33162" xr:uid="{00000000-0005-0000-0000-00008A810000}"/>
    <cellStyle name="常规 2 2 4 4 3" xfId="33163" xr:uid="{00000000-0005-0000-0000-00008B810000}"/>
    <cellStyle name="常规 2 2 4 4 3 2" xfId="33164" xr:uid="{00000000-0005-0000-0000-00008C810000}"/>
    <cellStyle name="常规 2 2 4 4 3 2 2" xfId="33165" xr:uid="{00000000-0005-0000-0000-00008D810000}"/>
    <cellStyle name="常规 2 2 4 4 4" xfId="33166" xr:uid="{00000000-0005-0000-0000-00008E810000}"/>
    <cellStyle name="常规 2 2 4 4 4 2" xfId="33167" xr:uid="{00000000-0005-0000-0000-00008F810000}"/>
    <cellStyle name="常规 2 2 4 4 4 2 2" xfId="33168" xr:uid="{00000000-0005-0000-0000-000090810000}"/>
    <cellStyle name="常规 2 2 4 4 5" xfId="33169" xr:uid="{00000000-0005-0000-0000-000091810000}"/>
    <cellStyle name="常规 2 2 4 4 5 2" xfId="33170" xr:uid="{00000000-0005-0000-0000-000092810000}"/>
    <cellStyle name="常规 2 2 4 4 5 3" xfId="33171" xr:uid="{00000000-0005-0000-0000-000093810000}"/>
    <cellStyle name="常规 2 2 4 4 6" xfId="33172" xr:uid="{00000000-0005-0000-0000-000094810000}"/>
    <cellStyle name="常规 2 2 4 4 6 2" xfId="33173" xr:uid="{00000000-0005-0000-0000-000095810000}"/>
    <cellStyle name="常规 2 2 4 4 7" xfId="33174" xr:uid="{00000000-0005-0000-0000-000096810000}"/>
    <cellStyle name="常规 2 2 4 5" xfId="33175" xr:uid="{00000000-0005-0000-0000-000097810000}"/>
    <cellStyle name="常规 2 2 4 5 2" xfId="33176" xr:uid="{00000000-0005-0000-0000-000098810000}"/>
    <cellStyle name="常规 2 2 4 5 3" xfId="33177" xr:uid="{00000000-0005-0000-0000-000099810000}"/>
    <cellStyle name="常规 2 2 4 5 4" xfId="33178" xr:uid="{00000000-0005-0000-0000-00009A810000}"/>
    <cellStyle name="常规 2 2 4 5 5" xfId="33179" xr:uid="{00000000-0005-0000-0000-00009B810000}"/>
    <cellStyle name="常规 2 2 4 5 5 2" xfId="33180" xr:uid="{00000000-0005-0000-0000-00009C810000}"/>
    <cellStyle name="常规 2 2 4 6" xfId="33181" xr:uid="{00000000-0005-0000-0000-00009D810000}"/>
    <cellStyle name="常规 2 2 4 6 2" xfId="33182" xr:uid="{00000000-0005-0000-0000-00009E810000}"/>
    <cellStyle name="常规 2 2 4 6 2 2" xfId="33183" xr:uid="{00000000-0005-0000-0000-00009F810000}"/>
    <cellStyle name="常规 2 2 4 7" xfId="33184" xr:uid="{00000000-0005-0000-0000-0000A0810000}"/>
    <cellStyle name="常规 2 2 4 7 2" xfId="33185" xr:uid="{00000000-0005-0000-0000-0000A1810000}"/>
    <cellStyle name="常规 2 2 4 7 2 2" xfId="33186" xr:uid="{00000000-0005-0000-0000-0000A2810000}"/>
    <cellStyle name="常规 2 2 4 8" xfId="33187" xr:uid="{00000000-0005-0000-0000-0000A3810000}"/>
    <cellStyle name="常规 2 2 4 8 2" xfId="33188" xr:uid="{00000000-0005-0000-0000-0000A4810000}"/>
    <cellStyle name="常规 2 2 4 8 2 2" xfId="33189" xr:uid="{00000000-0005-0000-0000-0000A5810000}"/>
    <cellStyle name="常规 2 2 4 9" xfId="33190" xr:uid="{00000000-0005-0000-0000-0000A6810000}"/>
    <cellStyle name="常规 2 2 4 9 2" xfId="33191" xr:uid="{00000000-0005-0000-0000-0000A7810000}"/>
    <cellStyle name="常规 2 2 4 9 2 2" xfId="33192" xr:uid="{00000000-0005-0000-0000-0000A8810000}"/>
    <cellStyle name="常规 2 2 4 9 3" xfId="33193" xr:uid="{00000000-0005-0000-0000-0000A9810000}"/>
    <cellStyle name="常规 2 2 4 9 3 2" xfId="33194" xr:uid="{00000000-0005-0000-0000-0000AA810000}"/>
    <cellStyle name="常规 2 2 5" xfId="33195" xr:uid="{00000000-0005-0000-0000-0000AB810000}"/>
    <cellStyle name="常规 2 2 5 10" xfId="33196" xr:uid="{00000000-0005-0000-0000-0000AC810000}"/>
    <cellStyle name="常规 2 2 5 10 2" xfId="33197" xr:uid="{00000000-0005-0000-0000-0000AD810000}"/>
    <cellStyle name="常规 2 2 5 2" xfId="33198" xr:uid="{00000000-0005-0000-0000-0000AE810000}"/>
    <cellStyle name="常规 2 2 5 2 2" xfId="33199" xr:uid="{00000000-0005-0000-0000-0000AF810000}"/>
    <cellStyle name="常规 2 2 5 2 2 2" xfId="33200" xr:uid="{00000000-0005-0000-0000-0000B0810000}"/>
    <cellStyle name="常规 2 2 5 2 2 2 2" xfId="33201" xr:uid="{00000000-0005-0000-0000-0000B1810000}"/>
    <cellStyle name="常规 2 2 5 2 2 2 3" xfId="33202" xr:uid="{00000000-0005-0000-0000-0000B2810000}"/>
    <cellStyle name="常规 2 2 5 2 2 2 4" xfId="33203" xr:uid="{00000000-0005-0000-0000-0000B3810000}"/>
    <cellStyle name="常规 2 2 5 2 2 2 5" xfId="33204" xr:uid="{00000000-0005-0000-0000-0000B4810000}"/>
    <cellStyle name="常规 2 2 5 2 2 2 5 2" xfId="33205" xr:uid="{00000000-0005-0000-0000-0000B5810000}"/>
    <cellStyle name="常规 2 2 5 2 2 3" xfId="33206" xr:uid="{00000000-0005-0000-0000-0000B6810000}"/>
    <cellStyle name="常规 2 2 5 2 2 3 2" xfId="33207" xr:uid="{00000000-0005-0000-0000-0000B7810000}"/>
    <cellStyle name="常规 2 2 5 2 2 3 2 2" xfId="33208" xr:uid="{00000000-0005-0000-0000-0000B8810000}"/>
    <cellStyle name="常规 2 2 5 2 2 4" xfId="33209" xr:uid="{00000000-0005-0000-0000-0000B9810000}"/>
    <cellStyle name="常规 2 2 5 2 2 4 2" xfId="33210" xr:uid="{00000000-0005-0000-0000-0000BA810000}"/>
    <cellStyle name="常规 2 2 5 2 2 4 2 2" xfId="33211" xr:uid="{00000000-0005-0000-0000-0000BB810000}"/>
    <cellStyle name="常规 2 2 5 2 2 5" xfId="33212" xr:uid="{00000000-0005-0000-0000-0000BC810000}"/>
    <cellStyle name="常规 2 2 5 2 2 5 2" xfId="33213" xr:uid="{00000000-0005-0000-0000-0000BD810000}"/>
    <cellStyle name="常规 2 2 5 2 2 5 3" xfId="33214" xr:uid="{00000000-0005-0000-0000-0000BE810000}"/>
    <cellStyle name="常规 2 2 5 2 2 6" xfId="33215" xr:uid="{00000000-0005-0000-0000-0000BF810000}"/>
    <cellStyle name="常规 2 2 5 2 2 6 2" xfId="33216" xr:uid="{00000000-0005-0000-0000-0000C0810000}"/>
    <cellStyle name="常规 2 2 5 2 2 7" xfId="33217" xr:uid="{00000000-0005-0000-0000-0000C1810000}"/>
    <cellStyle name="常规 2 2 5 2 3" xfId="33218" xr:uid="{00000000-0005-0000-0000-0000C2810000}"/>
    <cellStyle name="常规 2 2 5 2 3 2" xfId="33219" xr:uid="{00000000-0005-0000-0000-0000C3810000}"/>
    <cellStyle name="常规 2 2 5 2 3 2 2" xfId="33220" xr:uid="{00000000-0005-0000-0000-0000C4810000}"/>
    <cellStyle name="常规 2 2 5 2 3 2 3" xfId="33221" xr:uid="{00000000-0005-0000-0000-0000C5810000}"/>
    <cellStyle name="常规 2 2 5 2 3 2 4" xfId="33222" xr:uid="{00000000-0005-0000-0000-0000C6810000}"/>
    <cellStyle name="常规 2 2 5 2 3 3" xfId="33223" xr:uid="{00000000-0005-0000-0000-0000C7810000}"/>
    <cellStyle name="常规 2 2 5 2 3 4" xfId="33224" xr:uid="{00000000-0005-0000-0000-0000C8810000}"/>
    <cellStyle name="常规 2 2 5 2 3 5" xfId="33225" xr:uid="{00000000-0005-0000-0000-0000C9810000}"/>
    <cellStyle name="常规 2 2 5 2 3 6" xfId="33226" xr:uid="{00000000-0005-0000-0000-0000CA810000}"/>
    <cellStyle name="常规 2 2 5 2 3 6 2" xfId="33227" xr:uid="{00000000-0005-0000-0000-0000CB810000}"/>
    <cellStyle name="常规 2 2 5 2 4" xfId="33228" xr:uid="{00000000-0005-0000-0000-0000CC810000}"/>
    <cellStyle name="常规 2 2 5 2 4 2" xfId="33229" xr:uid="{00000000-0005-0000-0000-0000CD810000}"/>
    <cellStyle name="常规 2 2 5 2 4 3" xfId="33230" xr:uid="{00000000-0005-0000-0000-0000CE810000}"/>
    <cellStyle name="常规 2 2 5 2 4 4" xfId="33231" xr:uid="{00000000-0005-0000-0000-0000CF810000}"/>
    <cellStyle name="常规 2 2 5 2 4 5" xfId="33232" xr:uid="{00000000-0005-0000-0000-0000D0810000}"/>
    <cellStyle name="常规 2 2 5 2 4 5 2" xfId="33233" xr:uid="{00000000-0005-0000-0000-0000D1810000}"/>
    <cellStyle name="常规 2 2 5 2 5" xfId="33234" xr:uid="{00000000-0005-0000-0000-0000D2810000}"/>
    <cellStyle name="常规 2 2 5 2 5 2" xfId="33235" xr:uid="{00000000-0005-0000-0000-0000D3810000}"/>
    <cellStyle name="常规 2 2 5 2 5 2 2" xfId="33236" xr:uid="{00000000-0005-0000-0000-0000D4810000}"/>
    <cellStyle name="常规 2 2 5 2 6" xfId="33237" xr:uid="{00000000-0005-0000-0000-0000D5810000}"/>
    <cellStyle name="常规 2 2 5 2 6 2" xfId="33238" xr:uid="{00000000-0005-0000-0000-0000D6810000}"/>
    <cellStyle name="常规 2 2 5 2 6 2 2" xfId="33239" xr:uid="{00000000-0005-0000-0000-0000D7810000}"/>
    <cellStyle name="常规 2 2 5 2 7" xfId="33240" xr:uid="{00000000-0005-0000-0000-0000D8810000}"/>
    <cellStyle name="常规 2 2 5 2 7 2" xfId="33241" xr:uid="{00000000-0005-0000-0000-0000D9810000}"/>
    <cellStyle name="常规 2 2 5 2 7 2 2" xfId="33242" xr:uid="{00000000-0005-0000-0000-0000DA810000}"/>
    <cellStyle name="常规 2 2 5 2 8" xfId="33243" xr:uid="{00000000-0005-0000-0000-0000DB810000}"/>
    <cellStyle name="常规 2 2 5 2 8 2" xfId="33244" xr:uid="{00000000-0005-0000-0000-0000DC810000}"/>
    <cellStyle name="常规 2 2 5 2 8 3" xfId="33245" xr:uid="{00000000-0005-0000-0000-0000DD810000}"/>
    <cellStyle name="常规 2 2 5 2 9" xfId="33246" xr:uid="{00000000-0005-0000-0000-0000DE810000}"/>
    <cellStyle name="常规 2 2 5 3" xfId="33247" xr:uid="{00000000-0005-0000-0000-0000DF810000}"/>
    <cellStyle name="常规 2 2 5 3 2" xfId="33248" xr:uid="{00000000-0005-0000-0000-0000E0810000}"/>
    <cellStyle name="常规 2 2 5 3 2 2" xfId="33249" xr:uid="{00000000-0005-0000-0000-0000E1810000}"/>
    <cellStyle name="常规 2 2 5 3 2 2 2" xfId="33250" xr:uid="{00000000-0005-0000-0000-0000E2810000}"/>
    <cellStyle name="常规 2 2 5 3 2 2 2 2" xfId="33251" xr:uid="{00000000-0005-0000-0000-0000E3810000}"/>
    <cellStyle name="常规 2 2 5 3 2 3" xfId="33252" xr:uid="{00000000-0005-0000-0000-0000E4810000}"/>
    <cellStyle name="常规 2 2 5 3 2 3 2" xfId="33253" xr:uid="{00000000-0005-0000-0000-0000E5810000}"/>
    <cellStyle name="常规 2 2 5 3 2 3 2 2" xfId="33254" xr:uid="{00000000-0005-0000-0000-0000E6810000}"/>
    <cellStyle name="常规 2 2 5 3 2 4" xfId="33255" xr:uid="{00000000-0005-0000-0000-0000E7810000}"/>
    <cellStyle name="常规 2 2 5 3 2 4 2" xfId="33256" xr:uid="{00000000-0005-0000-0000-0000E8810000}"/>
    <cellStyle name="常规 2 2 5 3 2 4 2 2" xfId="33257" xr:uid="{00000000-0005-0000-0000-0000E9810000}"/>
    <cellStyle name="常规 2 2 5 3 2 5" xfId="33258" xr:uid="{00000000-0005-0000-0000-0000EA810000}"/>
    <cellStyle name="常规 2 2 5 3 2 5 2" xfId="33259" xr:uid="{00000000-0005-0000-0000-0000EB810000}"/>
    <cellStyle name="常规 2 2 5 3 2 5 3" xfId="33260" xr:uid="{00000000-0005-0000-0000-0000EC810000}"/>
    <cellStyle name="常规 2 2 5 3 2 6" xfId="33261" xr:uid="{00000000-0005-0000-0000-0000ED810000}"/>
    <cellStyle name="常规 2 2 5 3 3" xfId="33262" xr:uid="{00000000-0005-0000-0000-0000EE810000}"/>
    <cellStyle name="常规 2 2 5 3 3 2" xfId="33263" xr:uid="{00000000-0005-0000-0000-0000EF810000}"/>
    <cellStyle name="常规 2 2 5 3 3 2 2" xfId="33264" xr:uid="{00000000-0005-0000-0000-0000F0810000}"/>
    <cellStyle name="常规 2 2 5 3 3 2 2 2" xfId="33265" xr:uid="{00000000-0005-0000-0000-0000F1810000}"/>
    <cellStyle name="常规 2 2 5 3 3 3" xfId="33266" xr:uid="{00000000-0005-0000-0000-0000F2810000}"/>
    <cellStyle name="常规 2 2 5 3 3 3 2" xfId="33267" xr:uid="{00000000-0005-0000-0000-0000F3810000}"/>
    <cellStyle name="常规 2 2 5 3 3 3 2 2" xfId="33268" xr:uid="{00000000-0005-0000-0000-0000F4810000}"/>
    <cellStyle name="常规 2 2 5 3 3 4" xfId="33269" xr:uid="{00000000-0005-0000-0000-0000F5810000}"/>
    <cellStyle name="常规 2 2 5 3 3 4 2" xfId="33270" xr:uid="{00000000-0005-0000-0000-0000F6810000}"/>
    <cellStyle name="常规 2 2 5 3 3 5" xfId="33271" xr:uid="{00000000-0005-0000-0000-0000F7810000}"/>
    <cellStyle name="常规 2 2 5 3 4" xfId="33272" xr:uid="{00000000-0005-0000-0000-0000F8810000}"/>
    <cellStyle name="常规 2 2 5 3 4 2" xfId="33273" xr:uid="{00000000-0005-0000-0000-0000F9810000}"/>
    <cellStyle name="常规 2 2 5 3 4 2 2" xfId="33274" xr:uid="{00000000-0005-0000-0000-0000FA810000}"/>
    <cellStyle name="常规 2 2 5 3 5" xfId="33275" xr:uid="{00000000-0005-0000-0000-0000FB810000}"/>
    <cellStyle name="常规 2 2 5 3 5 2" xfId="33276" xr:uid="{00000000-0005-0000-0000-0000FC810000}"/>
    <cellStyle name="常规 2 2 5 3 5 2 2" xfId="33277" xr:uid="{00000000-0005-0000-0000-0000FD810000}"/>
    <cellStyle name="常规 2 2 5 3 6" xfId="33278" xr:uid="{00000000-0005-0000-0000-0000FE810000}"/>
    <cellStyle name="常规 2 2 5 3 7" xfId="33279" xr:uid="{00000000-0005-0000-0000-0000FF810000}"/>
    <cellStyle name="常规 2 2 5 3 7 2" xfId="33280" xr:uid="{00000000-0005-0000-0000-000000820000}"/>
    <cellStyle name="常规 2 2 5 3 7 3" xfId="33281" xr:uid="{00000000-0005-0000-0000-000001820000}"/>
    <cellStyle name="常规 2 2 5 3 8" xfId="33282" xr:uid="{00000000-0005-0000-0000-000002820000}"/>
    <cellStyle name="常规 2 2 5 3 8 2" xfId="33283" xr:uid="{00000000-0005-0000-0000-000003820000}"/>
    <cellStyle name="常规 2 2 5 4" xfId="33284" xr:uid="{00000000-0005-0000-0000-000004820000}"/>
    <cellStyle name="常规 2 2 5 4 2" xfId="33285" xr:uid="{00000000-0005-0000-0000-000005820000}"/>
    <cellStyle name="常规 2 2 5 4 2 2" xfId="33286" xr:uid="{00000000-0005-0000-0000-000006820000}"/>
    <cellStyle name="常规 2 2 5 4 2 3" xfId="33287" xr:uid="{00000000-0005-0000-0000-000007820000}"/>
    <cellStyle name="常规 2 2 5 4 2 4" xfId="33288" xr:uid="{00000000-0005-0000-0000-000008820000}"/>
    <cellStyle name="常规 2 2 5 4 2 5" xfId="33289" xr:uid="{00000000-0005-0000-0000-000009820000}"/>
    <cellStyle name="常规 2 2 5 4 2 5 2" xfId="33290" xr:uid="{00000000-0005-0000-0000-00000A820000}"/>
    <cellStyle name="常规 2 2 5 4 3" xfId="33291" xr:uid="{00000000-0005-0000-0000-00000B820000}"/>
    <cellStyle name="常规 2 2 5 4 3 2" xfId="33292" xr:uid="{00000000-0005-0000-0000-00000C820000}"/>
    <cellStyle name="常规 2 2 5 4 3 2 2" xfId="33293" xr:uid="{00000000-0005-0000-0000-00000D820000}"/>
    <cellStyle name="常规 2 2 5 4 4" xfId="33294" xr:uid="{00000000-0005-0000-0000-00000E820000}"/>
    <cellStyle name="常规 2 2 5 4 4 2" xfId="33295" xr:uid="{00000000-0005-0000-0000-00000F820000}"/>
    <cellStyle name="常规 2 2 5 4 4 2 2" xfId="33296" xr:uid="{00000000-0005-0000-0000-000010820000}"/>
    <cellStyle name="常规 2 2 5 4 5" xfId="33297" xr:uid="{00000000-0005-0000-0000-000011820000}"/>
    <cellStyle name="常规 2 2 5 4 5 2" xfId="33298" xr:uid="{00000000-0005-0000-0000-000012820000}"/>
    <cellStyle name="常规 2 2 5 4 5 3" xfId="33299" xr:uid="{00000000-0005-0000-0000-000013820000}"/>
    <cellStyle name="常规 2 2 5 4 6" xfId="33300" xr:uid="{00000000-0005-0000-0000-000014820000}"/>
    <cellStyle name="常规 2 2 5 4 6 2" xfId="33301" xr:uid="{00000000-0005-0000-0000-000015820000}"/>
    <cellStyle name="常规 2 2 5 4 7" xfId="33302" xr:uid="{00000000-0005-0000-0000-000016820000}"/>
    <cellStyle name="常规 2 2 5 5" xfId="33303" xr:uid="{00000000-0005-0000-0000-000017820000}"/>
    <cellStyle name="常规 2 2 5 5 2" xfId="33304" xr:uid="{00000000-0005-0000-0000-000018820000}"/>
    <cellStyle name="常规 2 2 5 5 3" xfId="33305" xr:uid="{00000000-0005-0000-0000-000019820000}"/>
    <cellStyle name="常规 2 2 5 5 4" xfId="33306" xr:uid="{00000000-0005-0000-0000-00001A820000}"/>
    <cellStyle name="常规 2 2 5 5 5" xfId="33307" xr:uid="{00000000-0005-0000-0000-00001B820000}"/>
    <cellStyle name="常规 2 2 5 5 5 2" xfId="33308" xr:uid="{00000000-0005-0000-0000-00001C820000}"/>
    <cellStyle name="常规 2 2 5 6" xfId="33309" xr:uid="{00000000-0005-0000-0000-00001D820000}"/>
    <cellStyle name="常规 2 2 5 6 2" xfId="33310" xr:uid="{00000000-0005-0000-0000-00001E820000}"/>
    <cellStyle name="常规 2 2 5 6 2 2" xfId="33311" xr:uid="{00000000-0005-0000-0000-00001F820000}"/>
    <cellStyle name="常规 2 2 5 7" xfId="33312" xr:uid="{00000000-0005-0000-0000-000020820000}"/>
    <cellStyle name="常规 2 2 5 7 2" xfId="33313" xr:uid="{00000000-0005-0000-0000-000021820000}"/>
    <cellStyle name="常规 2 2 5 7 2 2" xfId="33314" xr:uid="{00000000-0005-0000-0000-000022820000}"/>
    <cellStyle name="常规 2 2 5 8" xfId="33315" xr:uid="{00000000-0005-0000-0000-000023820000}"/>
    <cellStyle name="常规 2 2 5 8 2" xfId="33316" xr:uid="{00000000-0005-0000-0000-000024820000}"/>
    <cellStyle name="常规 2 2 5 8 2 2" xfId="33317" xr:uid="{00000000-0005-0000-0000-000025820000}"/>
    <cellStyle name="常规 2 2 5 9" xfId="33318" xr:uid="{00000000-0005-0000-0000-000026820000}"/>
    <cellStyle name="常规 2 2 5 9 2" xfId="33319" xr:uid="{00000000-0005-0000-0000-000027820000}"/>
    <cellStyle name="常规 2 2 5 9 3" xfId="33320" xr:uid="{00000000-0005-0000-0000-000028820000}"/>
    <cellStyle name="常规 2 2 6" xfId="33321" xr:uid="{00000000-0005-0000-0000-000029820000}"/>
    <cellStyle name="常规 2 2 6 10" xfId="33322" xr:uid="{00000000-0005-0000-0000-00002A820000}"/>
    <cellStyle name="常规 2 2 6 2" xfId="33323" xr:uid="{00000000-0005-0000-0000-00002B820000}"/>
    <cellStyle name="常规 2 2 6 2 2" xfId="33324" xr:uid="{00000000-0005-0000-0000-00002C820000}"/>
    <cellStyle name="常规 2 2 6 2 2 2" xfId="33325" xr:uid="{00000000-0005-0000-0000-00002D820000}"/>
    <cellStyle name="常规 2 2 6 2 2 2 2" xfId="33326" xr:uid="{00000000-0005-0000-0000-00002E820000}"/>
    <cellStyle name="常规 2 2 6 2 2 2 3" xfId="33327" xr:uid="{00000000-0005-0000-0000-00002F820000}"/>
    <cellStyle name="常规 2 2 6 2 2 2 4" xfId="33328" xr:uid="{00000000-0005-0000-0000-000030820000}"/>
    <cellStyle name="常规 2 2 6 2 2 2 5" xfId="33329" xr:uid="{00000000-0005-0000-0000-000031820000}"/>
    <cellStyle name="常规 2 2 6 2 2 2 5 2" xfId="33330" xr:uid="{00000000-0005-0000-0000-000032820000}"/>
    <cellStyle name="常规 2 2 6 2 2 3" xfId="33331" xr:uid="{00000000-0005-0000-0000-000033820000}"/>
    <cellStyle name="常规 2 2 6 2 2 4" xfId="33332" xr:uid="{00000000-0005-0000-0000-000034820000}"/>
    <cellStyle name="常规 2 2 6 2 2 5" xfId="33333" xr:uid="{00000000-0005-0000-0000-000035820000}"/>
    <cellStyle name="常规 2 2 6 2 2 6" xfId="33334" xr:uid="{00000000-0005-0000-0000-000036820000}"/>
    <cellStyle name="常规 2 2 6 2 2 6 2" xfId="33335" xr:uid="{00000000-0005-0000-0000-000037820000}"/>
    <cellStyle name="常规 2 2 6 2 3" xfId="33336" xr:uid="{00000000-0005-0000-0000-000038820000}"/>
    <cellStyle name="常规 2 2 6 2 3 2" xfId="33337" xr:uid="{00000000-0005-0000-0000-000039820000}"/>
    <cellStyle name="常规 2 2 6 2 3 2 2" xfId="33338" xr:uid="{00000000-0005-0000-0000-00003A820000}"/>
    <cellStyle name="常规 2 2 6 2 3 2 3" xfId="33339" xr:uid="{00000000-0005-0000-0000-00003B820000}"/>
    <cellStyle name="常规 2 2 6 2 3 2 4" xfId="33340" xr:uid="{00000000-0005-0000-0000-00003C820000}"/>
    <cellStyle name="常规 2 2 6 2 3 3" xfId="33341" xr:uid="{00000000-0005-0000-0000-00003D820000}"/>
    <cellStyle name="常规 2 2 6 2 3 4" xfId="33342" xr:uid="{00000000-0005-0000-0000-00003E820000}"/>
    <cellStyle name="常规 2 2 6 2 3 5" xfId="33343" xr:uid="{00000000-0005-0000-0000-00003F820000}"/>
    <cellStyle name="常规 2 2 6 2 3 6" xfId="33344" xr:uid="{00000000-0005-0000-0000-000040820000}"/>
    <cellStyle name="常规 2 2 6 2 3 6 2" xfId="33345" xr:uid="{00000000-0005-0000-0000-000041820000}"/>
    <cellStyle name="常规 2 2 6 2 4" xfId="33346" xr:uid="{00000000-0005-0000-0000-000042820000}"/>
    <cellStyle name="常规 2 2 6 2 4 2" xfId="33347" xr:uid="{00000000-0005-0000-0000-000043820000}"/>
    <cellStyle name="常规 2 2 6 2 4 3" xfId="33348" xr:uid="{00000000-0005-0000-0000-000044820000}"/>
    <cellStyle name="常规 2 2 6 2 4 4" xfId="33349" xr:uid="{00000000-0005-0000-0000-000045820000}"/>
    <cellStyle name="常规 2 2 6 2 4 5" xfId="33350" xr:uid="{00000000-0005-0000-0000-000046820000}"/>
    <cellStyle name="常规 2 2 6 2 4 5 2" xfId="33351" xr:uid="{00000000-0005-0000-0000-000047820000}"/>
    <cellStyle name="常规 2 2 6 2 5" xfId="33352" xr:uid="{00000000-0005-0000-0000-000048820000}"/>
    <cellStyle name="常规 2 2 6 2 6" xfId="33353" xr:uid="{00000000-0005-0000-0000-000049820000}"/>
    <cellStyle name="常规 2 2 6 2 7" xfId="33354" xr:uid="{00000000-0005-0000-0000-00004A820000}"/>
    <cellStyle name="常规 2 2 6 2 8" xfId="33355" xr:uid="{00000000-0005-0000-0000-00004B820000}"/>
    <cellStyle name="常规 2 2 6 2 8 2" xfId="33356" xr:uid="{00000000-0005-0000-0000-00004C820000}"/>
    <cellStyle name="常规 2 2 6 2 9" xfId="33357" xr:uid="{00000000-0005-0000-0000-00004D820000}"/>
    <cellStyle name="常规 2 2 6 3" xfId="33358" xr:uid="{00000000-0005-0000-0000-00004E820000}"/>
    <cellStyle name="常规 2 2 6 3 2" xfId="33359" xr:uid="{00000000-0005-0000-0000-00004F820000}"/>
    <cellStyle name="常规 2 2 6 3 2 2" xfId="33360" xr:uid="{00000000-0005-0000-0000-000050820000}"/>
    <cellStyle name="常规 2 2 6 3 2 3" xfId="33361" xr:uid="{00000000-0005-0000-0000-000051820000}"/>
    <cellStyle name="常规 2 2 6 3 2 4" xfId="33362" xr:uid="{00000000-0005-0000-0000-000052820000}"/>
    <cellStyle name="常规 2 2 6 3 2 5" xfId="33363" xr:uid="{00000000-0005-0000-0000-000053820000}"/>
    <cellStyle name="常规 2 2 6 3 2 5 2" xfId="33364" xr:uid="{00000000-0005-0000-0000-000054820000}"/>
    <cellStyle name="常规 2 2 6 3 3" xfId="33365" xr:uid="{00000000-0005-0000-0000-000055820000}"/>
    <cellStyle name="常规 2 2 6 3 4" xfId="33366" xr:uid="{00000000-0005-0000-0000-000056820000}"/>
    <cellStyle name="常规 2 2 6 3 5" xfId="33367" xr:uid="{00000000-0005-0000-0000-000057820000}"/>
    <cellStyle name="常规 2 2 6 3 6" xfId="33368" xr:uid="{00000000-0005-0000-0000-000058820000}"/>
    <cellStyle name="常规 2 2 6 3 6 2" xfId="33369" xr:uid="{00000000-0005-0000-0000-000059820000}"/>
    <cellStyle name="常规 2 2 6 4" xfId="33370" xr:uid="{00000000-0005-0000-0000-00005A820000}"/>
    <cellStyle name="常规 2 2 6 4 2" xfId="33371" xr:uid="{00000000-0005-0000-0000-00005B820000}"/>
    <cellStyle name="常规 2 2 6 4 2 2" xfId="33372" xr:uid="{00000000-0005-0000-0000-00005C820000}"/>
    <cellStyle name="常规 2 2 6 4 2 3" xfId="33373" xr:uid="{00000000-0005-0000-0000-00005D820000}"/>
    <cellStyle name="常规 2 2 6 4 2 4" xfId="33374" xr:uid="{00000000-0005-0000-0000-00005E820000}"/>
    <cellStyle name="常规 2 2 6 4 3" xfId="33375" xr:uid="{00000000-0005-0000-0000-00005F820000}"/>
    <cellStyle name="常规 2 2 6 4 4" xfId="33376" xr:uid="{00000000-0005-0000-0000-000060820000}"/>
    <cellStyle name="常规 2 2 6 4 5" xfId="33377" xr:uid="{00000000-0005-0000-0000-000061820000}"/>
    <cellStyle name="常规 2 2 6 4 6" xfId="33378" xr:uid="{00000000-0005-0000-0000-000062820000}"/>
    <cellStyle name="常规 2 2 6 4 6 2" xfId="33379" xr:uid="{00000000-0005-0000-0000-000063820000}"/>
    <cellStyle name="常规 2 2 6 5" xfId="33380" xr:uid="{00000000-0005-0000-0000-000064820000}"/>
    <cellStyle name="常规 2 2 6 5 2" xfId="33381" xr:uid="{00000000-0005-0000-0000-000065820000}"/>
    <cellStyle name="常规 2 2 6 5 3" xfId="33382" xr:uid="{00000000-0005-0000-0000-000066820000}"/>
    <cellStyle name="常规 2 2 6 5 4" xfId="33383" xr:uid="{00000000-0005-0000-0000-000067820000}"/>
    <cellStyle name="常规 2 2 6 5 5" xfId="33384" xr:uid="{00000000-0005-0000-0000-000068820000}"/>
    <cellStyle name="常规 2 2 6 5 5 2" xfId="33385" xr:uid="{00000000-0005-0000-0000-000069820000}"/>
    <cellStyle name="常规 2 2 6 6" xfId="33386" xr:uid="{00000000-0005-0000-0000-00006A820000}"/>
    <cellStyle name="常规 2 2 6 7" xfId="33387" xr:uid="{00000000-0005-0000-0000-00006B820000}"/>
    <cellStyle name="常规 2 2 6 8" xfId="33388" xr:uid="{00000000-0005-0000-0000-00006C820000}"/>
    <cellStyle name="常规 2 2 6 9" xfId="33389" xr:uid="{00000000-0005-0000-0000-00006D820000}"/>
    <cellStyle name="常规 2 2 6 9 2" xfId="33390" xr:uid="{00000000-0005-0000-0000-00006E820000}"/>
    <cellStyle name="常规 2 2 7" xfId="33391" xr:uid="{00000000-0005-0000-0000-00006F820000}"/>
    <cellStyle name="常规 2 2 7 2" xfId="33392" xr:uid="{00000000-0005-0000-0000-000070820000}"/>
    <cellStyle name="常规 2 2 7 2 2" xfId="33393" xr:uid="{00000000-0005-0000-0000-000071820000}"/>
    <cellStyle name="常规 2 2 7 2 2 2" xfId="33394" xr:uid="{00000000-0005-0000-0000-000072820000}"/>
    <cellStyle name="常规 2 2 7 2 2 3" xfId="33395" xr:uid="{00000000-0005-0000-0000-000073820000}"/>
    <cellStyle name="常规 2 2 7 2 2 4" xfId="33396" xr:uid="{00000000-0005-0000-0000-000074820000}"/>
    <cellStyle name="常规 2 2 7 2 2 5" xfId="33397" xr:uid="{00000000-0005-0000-0000-000075820000}"/>
    <cellStyle name="常规 2 2 7 2 2 5 2" xfId="33398" xr:uid="{00000000-0005-0000-0000-000076820000}"/>
    <cellStyle name="常规 2 2 7 2 3" xfId="33399" xr:uid="{00000000-0005-0000-0000-000077820000}"/>
    <cellStyle name="常规 2 2 7 2 4" xfId="33400" xr:uid="{00000000-0005-0000-0000-000078820000}"/>
    <cellStyle name="常规 2 2 7 2 5" xfId="33401" xr:uid="{00000000-0005-0000-0000-000079820000}"/>
    <cellStyle name="常规 2 2 7 2 6" xfId="33402" xr:uid="{00000000-0005-0000-0000-00007A820000}"/>
    <cellStyle name="常规 2 2 7 2 6 2" xfId="33403" xr:uid="{00000000-0005-0000-0000-00007B820000}"/>
    <cellStyle name="常规 2 2 7 3" xfId="33404" xr:uid="{00000000-0005-0000-0000-00007C820000}"/>
    <cellStyle name="常规 2 2 7 3 2" xfId="33405" xr:uid="{00000000-0005-0000-0000-00007D820000}"/>
    <cellStyle name="常规 2 2 7 3 2 2" xfId="33406" xr:uid="{00000000-0005-0000-0000-00007E820000}"/>
    <cellStyle name="常规 2 2 7 3 2 3" xfId="33407" xr:uid="{00000000-0005-0000-0000-00007F820000}"/>
    <cellStyle name="常规 2 2 7 3 2 4" xfId="33408" xr:uid="{00000000-0005-0000-0000-000080820000}"/>
    <cellStyle name="常规 2 2 7 3 3" xfId="33409" xr:uid="{00000000-0005-0000-0000-000081820000}"/>
    <cellStyle name="常规 2 2 7 3 4" xfId="33410" xr:uid="{00000000-0005-0000-0000-000082820000}"/>
    <cellStyle name="常规 2 2 7 3 5" xfId="33411" xr:uid="{00000000-0005-0000-0000-000083820000}"/>
    <cellStyle name="常规 2 2 7 3 6" xfId="33412" xr:uid="{00000000-0005-0000-0000-000084820000}"/>
    <cellStyle name="常规 2 2 7 3 6 2" xfId="33413" xr:uid="{00000000-0005-0000-0000-000085820000}"/>
    <cellStyle name="常规 2 2 7 4" xfId="33414" xr:uid="{00000000-0005-0000-0000-000086820000}"/>
    <cellStyle name="常规 2 2 7 4 2" xfId="33415" xr:uid="{00000000-0005-0000-0000-000087820000}"/>
    <cellStyle name="常规 2 2 7 4 3" xfId="33416" xr:uid="{00000000-0005-0000-0000-000088820000}"/>
    <cellStyle name="常规 2 2 7 4 4" xfId="33417" xr:uid="{00000000-0005-0000-0000-000089820000}"/>
    <cellStyle name="常规 2 2 7 4 5" xfId="33418" xr:uid="{00000000-0005-0000-0000-00008A820000}"/>
    <cellStyle name="常规 2 2 7 4 5 2" xfId="33419" xr:uid="{00000000-0005-0000-0000-00008B820000}"/>
    <cellStyle name="常规 2 2 7 5" xfId="33420" xr:uid="{00000000-0005-0000-0000-00008C820000}"/>
    <cellStyle name="常规 2 2 7 6" xfId="33421" xr:uid="{00000000-0005-0000-0000-00008D820000}"/>
    <cellStyle name="常规 2 2 7 7" xfId="33422" xr:uid="{00000000-0005-0000-0000-00008E820000}"/>
    <cellStyle name="常规 2 2 7 8" xfId="33423" xr:uid="{00000000-0005-0000-0000-00008F820000}"/>
    <cellStyle name="常规 2 2 7 8 2" xfId="33424" xr:uid="{00000000-0005-0000-0000-000090820000}"/>
    <cellStyle name="常规 2 2 7 9" xfId="33425" xr:uid="{00000000-0005-0000-0000-000091820000}"/>
    <cellStyle name="常规 2 2 8" xfId="33426" xr:uid="{00000000-0005-0000-0000-000092820000}"/>
    <cellStyle name="常规 2 2 8 2" xfId="33427" xr:uid="{00000000-0005-0000-0000-000093820000}"/>
    <cellStyle name="常规 2 2 8 2 2" xfId="33428" xr:uid="{00000000-0005-0000-0000-000094820000}"/>
    <cellStyle name="常规 2 2 8 2 2 2" xfId="33429" xr:uid="{00000000-0005-0000-0000-000095820000}"/>
    <cellStyle name="常规 2 2 8 2 2 2 2" xfId="33430" xr:uid="{00000000-0005-0000-0000-000096820000}"/>
    <cellStyle name="常规 2 2 8 2 3" xfId="33431" xr:uid="{00000000-0005-0000-0000-000097820000}"/>
    <cellStyle name="常规 2 2 8 2 3 2" xfId="33432" xr:uid="{00000000-0005-0000-0000-000098820000}"/>
    <cellStyle name="常规 2 2 8 2 3 2 2" xfId="33433" xr:uid="{00000000-0005-0000-0000-000099820000}"/>
    <cellStyle name="常规 2 2 8 2 4" xfId="33434" xr:uid="{00000000-0005-0000-0000-00009A820000}"/>
    <cellStyle name="常规 2 2 8 2 4 2" xfId="33435" xr:uid="{00000000-0005-0000-0000-00009B820000}"/>
    <cellStyle name="常规 2 2 8 2 4 2 2" xfId="33436" xr:uid="{00000000-0005-0000-0000-00009C820000}"/>
    <cellStyle name="常规 2 2 8 2 5" xfId="33437" xr:uid="{00000000-0005-0000-0000-00009D820000}"/>
    <cellStyle name="常规 2 2 8 2 5 2" xfId="33438" xr:uid="{00000000-0005-0000-0000-00009E820000}"/>
    <cellStyle name="常规 2 2 8 2 5 3" xfId="33439" xr:uid="{00000000-0005-0000-0000-00009F820000}"/>
    <cellStyle name="常规 2 2 8 2 6" xfId="33440" xr:uid="{00000000-0005-0000-0000-0000A0820000}"/>
    <cellStyle name="常规 2 2 8 3" xfId="33441" xr:uid="{00000000-0005-0000-0000-0000A1820000}"/>
    <cellStyle name="常规 2 2 8 3 2" xfId="33442" xr:uid="{00000000-0005-0000-0000-0000A2820000}"/>
    <cellStyle name="常规 2 2 8 3 2 2" xfId="33443" xr:uid="{00000000-0005-0000-0000-0000A3820000}"/>
    <cellStyle name="常规 2 2 8 4" xfId="33444" xr:uid="{00000000-0005-0000-0000-0000A4820000}"/>
    <cellStyle name="常规 2 2 8 4 2" xfId="33445" xr:uid="{00000000-0005-0000-0000-0000A5820000}"/>
    <cellStyle name="常规 2 2 8 4 2 2" xfId="33446" xr:uid="{00000000-0005-0000-0000-0000A6820000}"/>
    <cellStyle name="常规 2 2 8 5" xfId="33447" xr:uid="{00000000-0005-0000-0000-0000A7820000}"/>
    <cellStyle name="常规 2 2 8 5 2" xfId="33448" xr:uid="{00000000-0005-0000-0000-0000A8820000}"/>
    <cellStyle name="常规 2 2 8 5 2 2" xfId="33449" xr:uid="{00000000-0005-0000-0000-0000A9820000}"/>
    <cellStyle name="常规 2 2 8 6" xfId="33450" xr:uid="{00000000-0005-0000-0000-0000AA820000}"/>
    <cellStyle name="常规 2 2 8 7" xfId="33451" xr:uid="{00000000-0005-0000-0000-0000AB820000}"/>
    <cellStyle name="常规 2 2 8 7 2" xfId="33452" xr:uid="{00000000-0005-0000-0000-0000AC820000}"/>
    <cellStyle name="常规 2 2 8 7 3" xfId="33453" xr:uid="{00000000-0005-0000-0000-0000AD820000}"/>
    <cellStyle name="常规 2 2 8 8" xfId="33454" xr:uid="{00000000-0005-0000-0000-0000AE820000}"/>
    <cellStyle name="常规 2 2 8 8 2" xfId="33455" xr:uid="{00000000-0005-0000-0000-0000AF820000}"/>
    <cellStyle name="常规 2 2 9" xfId="33456" xr:uid="{00000000-0005-0000-0000-0000B0820000}"/>
    <cellStyle name="常规 2 2 9 2" xfId="33457" xr:uid="{00000000-0005-0000-0000-0000B1820000}"/>
    <cellStyle name="常规 2 2 9 2 2" xfId="33458" xr:uid="{00000000-0005-0000-0000-0000B2820000}"/>
    <cellStyle name="常规 2 2 9 2 2 2" xfId="33459" xr:uid="{00000000-0005-0000-0000-0000B3820000}"/>
    <cellStyle name="常规 2 2 9 2 2 2 2" xfId="33460" xr:uid="{00000000-0005-0000-0000-0000B4820000}"/>
    <cellStyle name="常规 2 2 9 2 3" xfId="33461" xr:uid="{00000000-0005-0000-0000-0000B5820000}"/>
    <cellStyle name="常规 2 2 9 2 4" xfId="33462" xr:uid="{00000000-0005-0000-0000-0000B6820000}"/>
    <cellStyle name="常规 2 2 9 2 5" xfId="33463" xr:uid="{00000000-0005-0000-0000-0000B7820000}"/>
    <cellStyle name="常规 2 2 9 2 5 2" xfId="33464" xr:uid="{00000000-0005-0000-0000-0000B8820000}"/>
    <cellStyle name="常规 2 2 9 3" xfId="33465" xr:uid="{00000000-0005-0000-0000-0000B9820000}"/>
    <cellStyle name="常规 2 2 9 3 2" xfId="33466" xr:uid="{00000000-0005-0000-0000-0000BA820000}"/>
    <cellStyle name="常规 2 2 9 3 2 2" xfId="33467" xr:uid="{00000000-0005-0000-0000-0000BB820000}"/>
    <cellStyle name="常规 2 2 9 4" xfId="33468" xr:uid="{00000000-0005-0000-0000-0000BC820000}"/>
    <cellStyle name="常规 2 2 9 4 2" xfId="33469" xr:uid="{00000000-0005-0000-0000-0000BD820000}"/>
    <cellStyle name="常规 2 2 9 4 2 2" xfId="33470" xr:uid="{00000000-0005-0000-0000-0000BE820000}"/>
    <cellStyle name="常规 2 2 9 5" xfId="33471" xr:uid="{00000000-0005-0000-0000-0000BF820000}"/>
    <cellStyle name="常规 2 2 9 6" xfId="33472" xr:uid="{00000000-0005-0000-0000-0000C0820000}"/>
    <cellStyle name="常规 2 2 9 6 2" xfId="33473" xr:uid="{00000000-0005-0000-0000-0000C1820000}"/>
    <cellStyle name="常规 2 2 9 7" xfId="33474" xr:uid="{00000000-0005-0000-0000-0000C2820000}"/>
    <cellStyle name="常规 2 20" xfId="33475" xr:uid="{00000000-0005-0000-0000-0000C3820000}"/>
    <cellStyle name="常规 2 20 2" xfId="33476" xr:uid="{00000000-0005-0000-0000-0000C4820000}"/>
    <cellStyle name="常规 2 20 2 2" xfId="33477" xr:uid="{00000000-0005-0000-0000-0000C5820000}"/>
    <cellStyle name="常规 2 20 2 3" xfId="33478" xr:uid="{00000000-0005-0000-0000-0000C6820000}"/>
    <cellStyle name="常规 2 20 3" xfId="33479" xr:uid="{00000000-0005-0000-0000-0000C7820000}"/>
    <cellStyle name="常规 2 20 3 2" xfId="33480" xr:uid="{00000000-0005-0000-0000-0000C8820000}"/>
    <cellStyle name="常规 2 20 4" xfId="33481" xr:uid="{00000000-0005-0000-0000-0000C9820000}"/>
    <cellStyle name="常规 2 20 5" xfId="33482" xr:uid="{00000000-0005-0000-0000-0000CA820000}"/>
    <cellStyle name="常规 2 21" xfId="33483" xr:uid="{00000000-0005-0000-0000-0000CB820000}"/>
    <cellStyle name="常规 2 21 2" xfId="33484" xr:uid="{00000000-0005-0000-0000-0000CC820000}"/>
    <cellStyle name="常规 2 21 2 2" xfId="33485" xr:uid="{00000000-0005-0000-0000-0000CD820000}"/>
    <cellStyle name="常规 2 21 3" xfId="33486" xr:uid="{00000000-0005-0000-0000-0000CE820000}"/>
    <cellStyle name="常规 2 22" xfId="33487" xr:uid="{00000000-0005-0000-0000-0000CF820000}"/>
    <cellStyle name="常规 2 22 2" xfId="33488" xr:uid="{00000000-0005-0000-0000-0000D0820000}"/>
    <cellStyle name="常规 2 22 3" xfId="33489" xr:uid="{00000000-0005-0000-0000-0000D1820000}"/>
    <cellStyle name="常规 2 23" xfId="33490" xr:uid="{00000000-0005-0000-0000-0000D2820000}"/>
    <cellStyle name="常规 2 23 2" xfId="33491" xr:uid="{00000000-0005-0000-0000-0000D3820000}"/>
    <cellStyle name="常规 2 24" xfId="33492" xr:uid="{00000000-0005-0000-0000-0000D4820000}"/>
    <cellStyle name="常规 2 25" xfId="33493" xr:uid="{00000000-0005-0000-0000-0000D5820000}"/>
    <cellStyle name="常规 2 26" xfId="33494" xr:uid="{00000000-0005-0000-0000-0000D6820000}"/>
    <cellStyle name="常规 2 27" xfId="33495" xr:uid="{00000000-0005-0000-0000-0000D7820000}"/>
    <cellStyle name="常规 2 28" xfId="33496" xr:uid="{00000000-0005-0000-0000-0000D8820000}"/>
    <cellStyle name="常规 2 3" xfId="33497" xr:uid="{00000000-0005-0000-0000-0000D9820000}"/>
    <cellStyle name="常规 2 3 2" xfId="33498" xr:uid="{00000000-0005-0000-0000-0000DA820000}"/>
    <cellStyle name="常规 2 3 2 2" xfId="33499" xr:uid="{00000000-0005-0000-0000-0000DB820000}"/>
    <cellStyle name="常规 2 3 2 2 2" xfId="33500" xr:uid="{00000000-0005-0000-0000-0000DC820000}"/>
    <cellStyle name="常规 2 3 2 2 2 2" xfId="33501" xr:uid="{00000000-0005-0000-0000-0000DD820000}"/>
    <cellStyle name="常规 2 3 2 2 2 3" xfId="33502" xr:uid="{00000000-0005-0000-0000-0000DE820000}"/>
    <cellStyle name="常规 2 3 2 2 2 4" xfId="33503" xr:uid="{00000000-0005-0000-0000-0000DF820000}"/>
    <cellStyle name="常规 2 3 2 2 2 4 2" xfId="33504" xr:uid="{00000000-0005-0000-0000-0000E0820000}"/>
    <cellStyle name="常规 2 3 2 2 2 5" xfId="33505" xr:uid="{00000000-0005-0000-0000-0000E1820000}"/>
    <cellStyle name="常规 2 3 2 2 2 5 2" xfId="33506" xr:uid="{00000000-0005-0000-0000-0000E2820000}"/>
    <cellStyle name="常规 2 3 2 2 3" xfId="33507" xr:uid="{00000000-0005-0000-0000-0000E3820000}"/>
    <cellStyle name="常规 2 3 2 2 4" xfId="33508" xr:uid="{00000000-0005-0000-0000-0000E4820000}"/>
    <cellStyle name="常规 2 3 2 2 5" xfId="33509" xr:uid="{00000000-0005-0000-0000-0000E5820000}"/>
    <cellStyle name="常规 2 3 2 2 6" xfId="33510" xr:uid="{00000000-0005-0000-0000-0000E6820000}"/>
    <cellStyle name="常规 2 3 2 2 6 2" xfId="33511" xr:uid="{00000000-0005-0000-0000-0000E7820000}"/>
    <cellStyle name="常规 2 3 2 2 7" xfId="33512" xr:uid="{00000000-0005-0000-0000-0000E8820000}"/>
    <cellStyle name="常规 2 3 2 2 7 2" xfId="33513" xr:uid="{00000000-0005-0000-0000-0000E9820000}"/>
    <cellStyle name="常规 2 3 2 3" xfId="33514" xr:uid="{00000000-0005-0000-0000-0000EA820000}"/>
    <cellStyle name="常规 2 3 2 3 2" xfId="33515" xr:uid="{00000000-0005-0000-0000-0000EB820000}"/>
    <cellStyle name="常规 2 3 2 3 2 2" xfId="33516" xr:uid="{00000000-0005-0000-0000-0000EC820000}"/>
    <cellStyle name="常规 2 3 2 3 2 3" xfId="33517" xr:uid="{00000000-0005-0000-0000-0000ED820000}"/>
    <cellStyle name="常规 2 3 2 3 2 4" xfId="33518" xr:uid="{00000000-0005-0000-0000-0000EE820000}"/>
    <cellStyle name="常规 2 3 2 3 2 4 2" xfId="33519" xr:uid="{00000000-0005-0000-0000-0000EF820000}"/>
    <cellStyle name="常规 2 3 2 3 2 5" xfId="33520" xr:uid="{00000000-0005-0000-0000-0000F0820000}"/>
    <cellStyle name="常规 2 3 2 3 2 5 2" xfId="33521" xr:uid="{00000000-0005-0000-0000-0000F1820000}"/>
    <cellStyle name="常规 2 3 2 3 3" xfId="33522" xr:uid="{00000000-0005-0000-0000-0000F2820000}"/>
    <cellStyle name="常规 2 3 2 3 4" xfId="33523" xr:uid="{00000000-0005-0000-0000-0000F3820000}"/>
    <cellStyle name="常规 2 3 2 3 5" xfId="33524" xr:uid="{00000000-0005-0000-0000-0000F4820000}"/>
    <cellStyle name="常规 2 3 2 3 6" xfId="33525" xr:uid="{00000000-0005-0000-0000-0000F5820000}"/>
    <cellStyle name="常规 2 3 2 3 6 2" xfId="33526" xr:uid="{00000000-0005-0000-0000-0000F6820000}"/>
    <cellStyle name="常规 2 3 2 3 7" xfId="33527" xr:uid="{00000000-0005-0000-0000-0000F7820000}"/>
    <cellStyle name="常规 2 3 2 3 7 2" xfId="33528" xr:uid="{00000000-0005-0000-0000-0000F8820000}"/>
    <cellStyle name="常规 2 3 2 4" xfId="33529" xr:uid="{00000000-0005-0000-0000-0000F9820000}"/>
    <cellStyle name="常规 2 3 2 4 2" xfId="33530" xr:uid="{00000000-0005-0000-0000-0000FA820000}"/>
    <cellStyle name="常规 2 3 2 5" xfId="33531" xr:uid="{00000000-0005-0000-0000-0000FB820000}"/>
    <cellStyle name="常规 2 3 2 6" xfId="33532" xr:uid="{00000000-0005-0000-0000-0000FC820000}"/>
    <cellStyle name="常规 2 3 2 7" xfId="33533" xr:uid="{00000000-0005-0000-0000-0000FD820000}"/>
    <cellStyle name="常规 2 3 3" xfId="33534" xr:uid="{00000000-0005-0000-0000-0000FE820000}"/>
    <cellStyle name="常规 2 3 3 2" xfId="33535" xr:uid="{00000000-0005-0000-0000-0000FF820000}"/>
    <cellStyle name="常规 2 3 3 2 2" xfId="33536" xr:uid="{00000000-0005-0000-0000-000000830000}"/>
    <cellStyle name="常规 2 3 3 3" xfId="33537" xr:uid="{00000000-0005-0000-0000-000001830000}"/>
    <cellStyle name="常规 2 3 3 4" xfId="33538" xr:uid="{00000000-0005-0000-0000-000002830000}"/>
    <cellStyle name="常规 2 3 3 5" xfId="33539" xr:uid="{00000000-0005-0000-0000-000003830000}"/>
    <cellStyle name="常规 2 3 4" xfId="33540" xr:uid="{00000000-0005-0000-0000-000004830000}"/>
    <cellStyle name="常规 2 3 4 2" xfId="33541" xr:uid="{00000000-0005-0000-0000-000005830000}"/>
    <cellStyle name="常规 2 3 4 2 2" xfId="33542" xr:uid="{00000000-0005-0000-0000-000006830000}"/>
    <cellStyle name="常规 2 3 4 3" xfId="33543" xr:uid="{00000000-0005-0000-0000-000007830000}"/>
    <cellStyle name="常规 2 3 4 4" xfId="33544" xr:uid="{00000000-0005-0000-0000-000008830000}"/>
    <cellStyle name="常规 2 3 4 5" xfId="33545" xr:uid="{00000000-0005-0000-0000-000009830000}"/>
    <cellStyle name="常规 2 3 5" xfId="33546" xr:uid="{00000000-0005-0000-0000-00000A830000}"/>
    <cellStyle name="常规 2 3 5 2" xfId="33547" xr:uid="{00000000-0005-0000-0000-00000B830000}"/>
    <cellStyle name="常规 2 3 5 3" xfId="33548" xr:uid="{00000000-0005-0000-0000-00000C830000}"/>
    <cellStyle name="常规 2 3 5 3 2" xfId="33549" xr:uid="{00000000-0005-0000-0000-00000D830000}"/>
    <cellStyle name="常规 2 3 5 3 2 2" xfId="33550" xr:uid="{00000000-0005-0000-0000-00000E830000}"/>
    <cellStyle name="常规 2 3 5 4" xfId="33551" xr:uid="{00000000-0005-0000-0000-00000F830000}"/>
    <cellStyle name="常规 2 3 5 4 2" xfId="33552" xr:uid="{00000000-0005-0000-0000-000010830000}"/>
    <cellStyle name="常规 2 3 6" xfId="33553" xr:uid="{00000000-0005-0000-0000-000011830000}"/>
    <cellStyle name="常规 2 3 7" xfId="33554" xr:uid="{00000000-0005-0000-0000-000012830000}"/>
    <cellStyle name="常规 2 3 8" xfId="33555" xr:uid="{00000000-0005-0000-0000-000013830000}"/>
    <cellStyle name="常规 2 3 8 2" xfId="33556" xr:uid="{00000000-0005-0000-0000-000014830000}"/>
    <cellStyle name="常规 2 3 8 3" xfId="33557" xr:uid="{00000000-0005-0000-0000-000015830000}"/>
    <cellStyle name="常规 2 3 9" xfId="33558" xr:uid="{00000000-0005-0000-0000-000016830000}"/>
    <cellStyle name="常规 2 4" xfId="33559" xr:uid="{00000000-0005-0000-0000-000017830000}"/>
    <cellStyle name="常规 2 4 10" xfId="33560" xr:uid="{00000000-0005-0000-0000-000018830000}"/>
    <cellStyle name="常规 2 4 10 2" xfId="33561" xr:uid="{00000000-0005-0000-0000-000019830000}"/>
    <cellStyle name="常规 2 4 10 3" xfId="33562" xr:uid="{00000000-0005-0000-0000-00001A830000}"/>
    <cellStyle name="常规 2 4 10 4" xfId="33563" xr:uid="{00000000-0005-0000-0000-00001B830000}"/>
    <cellStyle name="常规 2 4 11" xfId="33564" xr:uid="{00000000-0005-0000-0000-00001C830000}"/>
    <cellStyle name="常规 2 4 12" xfId="33565" xr:uid="{00000000-0005-0000-0000-00001D830000}"/>
    <cellStyle name="常规 2 4 13" xfId="33566" xr:uid="{00000000-0005-0000-0000-00001E830000}"/>
    <cellStyle name="常规 2 4 14" xfId="33567" xr:uid="{00000000-0005-0000-0000-00001F830000}"/>
    <cellStyle name="常规 2 4 14 2" xfId="33568" xr:uid="{00000000-0005-0000-0000-000020830000}"/>
    <cellStyle name="常规 2 4 15" xfId="33569" xr:uid="{00000000-0005-0000-0000-000021830000}"/>
    <cellStyle name="常规 2 4 2" xfId="33570" xr:uid="{00000000-0005-0000-0000-000022830000}"/>
    <cellStyle name="常规 2 4 2 10" xfId="33571" xr:uid="{00000000-0005-0000-0000-000023830000}"/>
    <cellStyle name="常规 2 4 2 2" xfId="33572" xr:uid="{00000000-0005-0000-0000-000024830000}"/>
    <cellStyle name="常规 2 4 2 2 2" xfId="33573" xr:uid="{00000000-0005-0000-0000-000025830000}"/>
    <cellStyle name="常规 2 4 2 2 2 2" xfId="33574" xr:uid="{00000000-0005-0000-0000-000026830000}"/>
    <cellStyle name="常规 2 4 2 2 2 2 2" xfId="33575" xr:uid="{00000000-0005-0000-0000-000027830000}"/>
    <cellStyle name="常规 2 4 2 2 2 2 2 2" xfId="33576" xr:uid="{00000000-0005-0000-0000-000028830000}"/>
    <cellStyle name="常规 2 4 2 2 2 2 2 3" xfId="33577" xr:uid="{00000000-0005-0000-0000-000029830000}"/>
    <cellStyle name="常规 2 4 2 2 2 2 2 4" xfId="33578" xr:uid="{00000000-0005-0000-0000-00002A830000}"/>
    <cellStyle name="常规 2 4 2 2 2 2 3" xfId="33579" xr:uid="{00000000-0005-0000-0000-00002B830000}"/>
    <cellStyle name="常规 2 4 2 2 2 2 4" xfId="33580" xr:uid="{00000000-0005-0000-0000-00002C830000}"/>
    <cellStyle name="常规 2 4 2 2 2 2 5" xfId="33581" xr:uid="{00000000-0005-0000-0000-00002D830000}"/>
    <cellStyle name="常规 2 4 2 2 2 3" xfId="33582" xr:uid="{00000000-0005-0000-0000-00002E830000}"/>
    <cellStyle name="常规 2 4 2 2 2 3 2" xfId="33583" xr:uid="{00000000-0005-0000-0000-00002F830000}"/>
    <cellStyle name="常规 2 4 2 2 2 3 2 2" xfId="33584" xr:uid="{00000000-0005-0000-0000-000030830000}"/>
    <cellStyle name="常规 2 4 2 2 2 3 2 3" xfId="33585" xr:uid="{00000000-0005-0000-0000-000031830000}"/>
    <cellStyle name="常规 2 4 2 2 2 3 2 4" xfId="33586" xr:uid="{00000000-0005-0000-0000-000032830000}"/>
    <cellStyle name="常规 2 4 2 2 2 3 3" xfId="33587" xr:uid="{00000000-0005-0000-0000-000033830000}"/>
    <cellStyle name="常规 2 4 2 2 2 3 4" xfId="33588" xr:uid="{00000000-0005-0000-0000-000034830000}"/>
    <cellStyle name="常规 2 4 2 2 2 3 5" xfId="33589" xr:uid="{00000000-0005-0000-0000-000035830000}"/>
    <cellStyle name="常规 2 4 2 2 2 4" xfId="33590" xr:uid="{00000000-0005-0000-0000-000036830000}"/>
    <cellStyle name="常规 2 4 2 2 2 4 2" xfId="33591" xr:uid="{00000000-0005-0000-0000-000037830000}"/>
    <cellStyle name="常规 2 4 2 2 2 4 3" xfId="33592" xr:uid="{00000000-0005-0000-0000-000038830000}"/>
    <cellStyle name="常规 2 4 2 2 2 4 4" xfId="33593" xr:uid="{00000000-0005-0000-0000-000039830000}"/>
    <cellStyle name="常规 2 4 2 2 2 5" xfId="33594" xr:uid="{00000000-0005-0000-0000-00003A830000}"/>
    <cellStyle name="常规 2 4 2 2 2 6" xfId="33595" xr:uid="{00000000-0005-0000-0000-00003B830000}"/>
    <cellStyle name="常规 2 4 2 2 2 7" xfId="33596" xr:uid="{00000000-0005-0000-0000-00003C830000}"/>
    <cellStyle name="常规 2 4 2 2 2 8" xfId="33597" xr:uid="{00000000-0005-0000-0000-00003D830000}"/>
    <cellStyle name="常规 2 4 2 2 2 8 2" xfId="33598" xr:uid="{00000000-0005-0000-0000-00003E830000}"/>
    <cellStyle name="常规 2 4 2 2 3" xfId="33599" xr:uid="{00000000-0005-0000-0000-00003F830000}"/>
    <cellStyle name="常规 2 4 2 2 3 2" xfId="33600" xr:uid="{00000000-0005-0000-0000-000040830000}"/>
    <cellStyle name="常规 2 4 2 2 3 2 2" xfId="33601" xr:uid="{00000000-0005-0000-0000-000041830000}"/>
    <cellStyle name="常规 2 4 2 2 3 2 3" xfId="33602" xr:uid="{00000000-0005-0000-0000-000042830000}"/>
    <cellStyle name="常规 2 4 2 2 3 2 4" xfId="33603" xr:uid="{00000000-0005-0000-0000-000043830000}"/>
    <cellStyle name="常规 2 4 2 2 3 3" xfId="33604" xr:uid="{00000000-0005-0000-0000-000044830000}"/>
    <cellStyle name="常规 2 4 2 2 3 4" xfId="33605" xr:uid="{00000000-0005-0000-0000-000045830000}"/>
    <cellStyle name="常规 2 4 2 2 3 5" xfId="33606" xr:uid="{00000000-0005-0000-0000-000046830000}"/>
    <cellStyle name="常规 2 4 2 2 4" xfId="33607" xr:uid="{00000000-0005-0000-0000-000047830000}"/>
    <cellStyle name="常规 2 4 2 2 4 2" xfId="33608" xr:uid="{00000000-0005-0000-0000-000048830000}"/>
    <cellStyle name="常规 2 4 2 2 4 2 2" xfId="33609" xr:uid="{00000000-0005-0000-0000-000049830000}"/>
    <cellStyle name="常规 2 4 2 2 4 2 3" xfId="33610" xr:uid="{00000000-0005-0000-0000-00004A830000}"/>
    <cellStyle name="常规 2 4 2 2 4 2 4" xfId="33611" xr:uid="{00000000-0005-0000-0000-00004B830000}"/>
    <cellStyle name="常规 2 4 2 2 4 3" xfId="33612" xr:uid="{00000000-0005-0000-0000-00004C830000}"/>
    <cellStyle name="常规 2 4 2 2 4 4" xfId="33613" xr:uid="{00000000-0005-0000-0000-00004D830000}"/>
    <cellStyle name="常规 2 4 2 2 4 5" xfId="33614" xr:uid="{00000000-0005-0000-0000-00004E830000}"/>
    <cellStyle name="常规 2 4 2 2 5" xfId="33615" xr:uid="{00000000-0005-0000-0000-00004F830000}"/>
    <cellStyle name="常规 2 4 2 2 5 2" xfId="33616" xr:uid="{00000000-0005-0000-0000-000050830000}"/>
    <cellStyle name="常规 2 4 2 2 5 3" xfId="33617" xr:uid="{00000000-0005-0000-0000-000051830000}"/>
    <cellStyle name="常规 2 4 2 2 5 4" xfId="33618" xr:uid="{00000000-0005-0000-0000-000052830000}"/>
    <cellStyle name="常规 2 4 2 2 6" xfId="33619" xr:uid="{00000000-0005-0000-0000-000053830000}"/>
    <cellStyle name="常规 2 4 2 2 7" xfId="33620" xr:uid="{00000000-0005-0000-0000-000054830000}"/>
    <cellStyle name="常规 2 4 2 2 8" xfId="33621" xr:uid="{00000000-0005-0000-0000-000055830000}"/>
    <cellStyle name="常规 2 4 2 2 9" xfId="33622" xr:uid="{00000000-0005-0000-0000-000056830000}"/>
    <cellStyle name="常规 2 4 2 2 9 2" xfId="33623" xr:uid="{00000000-0005-0000-0000-000057830000}"/>
    <cellStyle name="常规 2 4 2 3" xfId="33624" xr:uid="{00000000-0005-0000-0000-000058830000}"/>
    <cellStyle name="常规 2 4 2 3 2" xfId="33625" xr:uid="{00000000-0005-0000-0000-000059830000}"/>
    <cellStyle name="常规 2 4 2 3 2 2" xfId="33626" xr:uid="{00000000-0005-0000-0000-00005A830000}"/>
    <cellStyle name="常规 2 4 2 3 2 3" xfId="33627" xr:uid="{00000000-0005-0000-0000-00005B830000}"/>
    <cellStyle name="常规 2 4 2 3 2 4" xfId="33628" xr:uid="{00000000-0005-0000-0000-00005C830000}"/>
    <cellStyle name="常规 2 4 2 3 3" xfId="33629" xr:uid="{00000000-0005-0000-0000-00005D830000}"/>
    <cellStyle name="常规 2 4 2 3 4" xfId="33630" xr:uid="{00000000-0005-0000-0000-00005E830000}"/>
    <cellStyle name="常规 2 4 2 3 5" xfId="33631" xr:uid="{00000000-0005-0000-0000-00005F830000}"/>
    <cellStyle name="常规 2 4 2 3 6" xfId="33632" xr:uid="{00000000-0005-0000-0000-000060830000}"/>
    <cellStyle name="常规 2 4 2 3 6 2" xfId="33633" xr:uid="{00000000-0005-0000-0000-000061830000}"/>
    <cellStyle name="常规 2 4 2 4" xfId="33634" xr:uid="{00000000-0005-0000-0000-000062830000}"/>
    <cellStyle name="常规 2 4 2 4 2" xfId="33635" xr:uid="{00000000-0005-0000-0000-000063830000}"/>
    <cellStyle name="常规 2 4 2 4 2 2" xfId="33636" xr:uid="{00000000-0005-0000-0000-000064830000}"/>
    <cellStyle name="常规 2 4 2 4 2 3" xfId="33637" xr:uid="{00000000-0005-0000-0000-000065830000}"/>
    <cellStyle name="常规 2 4 2 4 2 4" xfId="33638" xr:uid="{00000000-0005-0000-0000-000066830000}"/>
    <cellStyle name="常规 2 4 2 4 3" xfId="33639" xr:uid="{00000000-0005-0000-0000-000067830000}"/>
    <cellStyle name="常规 2 4 2 4 4" xfId="33640" xr:uid="{00000000-0005-0000-0000-000068830000}"/>
    <cellStyle name="常规 2 4 2 4 5" xfId="33641" xr:uid="{00000000-0005-0000-0000-000069830000}"/>
    <cellStyle name="常规 2 4 2 4 6" xfId="33642" xr:uid="{00000000-0005-0000-0000-00006A830000}"/>
    <cellStyle name="常规 2 4 2 4 6 2" xfId="33643" xr:uid="{00000000-0005-0000-0000-00006B830000}"/>
    <cellStyle name="常规 2 4 2 5" xfId="33644" xr:uid="{00000000-0005-0000-0000-00006C830000}"/>
    <cellStyle name="常规 2 4 2 5 2" xfId="33645" xr:uid="{00000000-0005-0000-0000-00006D830000}"/>
    <cellStyle name="常规 2 4 2 5 3" xfId="33646" xr:uid="{00000000-0005-0000-0000-00006E830000}"/>
    <cellStyle name="常规 2 4 2 5 4" xfId="33647" xr:uid="{00000000-0005-0000-0000-00006F830000}"/>
    <cellStyle name="常规 2 4 2 6" xfId="33648" xr:uid="{00000000-0005-0000-0000-000070830000}"/>
    <cellStyle name="常规 2 4 2 7" xfId="33649" xr:uid="{00000000-0005-0000-0000-000071830000}"/>
    <cellStyle name="常规 2 4 2 8" xfId="33650" xr:uid="{00000000-0005-0000-0000-000072830000}"/>
    <cellStyle name="常规 2 4 2 9" xfId="33651" xr:uid="{00000000-0005-0000-0000-000073830000}"/>
    <cellStyle name="常规 2 4 2 9 2" xfId="33652" xr:uid="{00000000-0005-0000-0000-000074830000}"/>
    <cellStyle name="常规 2 4 3" xfId="33653" xr:uid="{00000000-0005-0000-0000-000075830000}"/>
    <cellStyle name="常规 2 4 3 10" xfId="33654" xr:uid="{00000000-0005-0000-0000-000076830000}"/>
    <cellStyle name="常规 2 4 3 2" xfId="33655" xr:uid="{00000000-0005-0000-0000-000077830000}"/>
    <cellStyle name="常规 2 4 3 2 2" xfId="33656" xr:uid="{00000000-0005-0000-0000-000078830000}"/>
    <cellStyle name="常规 2 4 3 2 2 2" xfId="33657" xr:uid="{00000000-0005-0000-0000-000079830000}"/>
    <cellStyle name="常规 2 4 3 2 2 2 2" xfId="33658" xr:uid="{00000000-0005-0000-0000-00007A830000}"/>
    <cellStyle name="常规 2 4 3 2 2 2 2 2" xfId="33659" xr:uid="{00000000-0005-0000-0000-00007B830000}"/>
    <cellStyle name="常规 2 4 3 2 2 2 2 3" xfId="33660" xr:uid="{00000000-0005-0000-0000-00007C830000}"/>
    <cellStyle name="常规 2 4 3 2 2 2 2 4" xfId="33661" xr:uid="{00000000-0005-0000-0000-00007D830000}"/>
    <cellStyle name="常规 2 4 3 2 2 2 3" xfId="33662" xr:uid="{00000000-0005-0000-0000-00007E830000}"/>
    <cellStyle name="常规 2 4 3 2 2 2 4" xfId="33663" xr:uid="{00000000-0005-0000-0000-00007F830000}"/>
    <cellStyle name="常规 2 4 3 2 2 2 5" xfId="33664" xr:uid="{00000000-0005-0000-0000-000080830000}"/>
    <cellStyle name="常规 2 4 3 2 2 3" xfId="33665" xr:uid="{00000000-0005-0000-0000-000081830000}"/>
    <cellStyle name="常规 2 4 3 2 2 3 2" xfId="33666" xr:uid="{00000000-0005-0000-0000-000082830000}"/>
    <cellStyle name="常规 2 4 3 2 2 3 2 2" xfId="33667" xr:uid="{00000000-0005-0000-0000-000083830000}"/>
    <cellStyle name="常规 2 4 3 2 2 3 2 3" xfId="33668" xr:uid="{00000000-0005-0000-0000-000084830000}"/>
    <cellStyle name="常规 2 4 3 2 2 3 2 4" xfId="33669" xr:uid="{00000000-0005-0000-0000-000085830000}"/>
    <cellStyle name="常规 2 4 3 2 2 3 3" xfId="33670" xr:uid="{00000000-0005-0000-0000-000086830000}"/>
    <cellStyle name="常规 2 4 3 2 2 3 4" xfId="33671" xr:uid="{00000000-0005-0000-0000-000087830000}"/>
    <cellStyle name="常规 2 4 3 2 2 3 5" xfId="33672" xr:uid="{00000000-0005-0000-0000-000088830000}"/>
    <cellStyle name="常规 2 4 3 2 2 4" xfId="33673" xr:uid="{00000000-0005-0000-0000-000089830000}"/>
    <cellStyle name="常规 2 4 3 2 2 4 2" xfId="33674" xr:uid="{00000000-0005-0000-0000-00008A830000}"/>
    <cellStyle name="常规 2 4 3 2 2 4 3" xfId="33675" xr:uid="{00000000-0005-0000-0000-00008B830000}"/>
    <cellStyle name="常规 2 4 3 2 2 4 4" xfId="33676" xr:uid="{00000000-0005-0000-0000-00008C830000}"/>
    <cellStyle name="常规 2 4 3 2 2 5" xfId="33677" xr:uid="{00000000-0005-0000-0000-00008D830000}"/>
    <cellStyle name="常规 2 4 3 2 2 6" xfId="33678" xr:uid="{00000000-0005-0000-0000-00008E830000}"/>
    <cellStyle name="常规 2 4 3 2 2 7" xfId="33679" xr:uid="{00000000-0005-0000-0000-00008F830000}"/>
    <cellStyle name="常规 2 4 3 2 2 8" xfId="33680" xr:uid="{00000000-0005-0000-0000-000090830000}"/>
    <cellStyle name="常规 2 4 3 2 2 8 2" xfId="33681" xr:uid="{00000000-0005-0000-0000-000091830000}"/>
    <cellStyle name="常规 2 4 3 2 3" xfId="33682" xr:uid="{00000000-0005-0000-0000-000092830000}"/>
    <cellStyle name="常规 2 4 3 2 3 2" xfId="33683" xr:uid="{00000000-0005-0000-0000-000093830000}"/>
    <cellStyle name="常规 2 4 3 2 3 2 2" xfId="33684" xr:uid="{00000000-0005-0000-0000-000094830000}"/>
    <cellStyle name="常规 2 4 3 2 3 2 3" xfId="33685" xr:uid="{00000000-0005-0000-0000-000095830000}"/>
    <cellStyle name="常规 2 4 3 2 3 2 4" xfId="33686" xr:uid="{00000000-0005-0000-0000-000096830000}"/>
    <cellStyle name="常规 2 4 3 2 3 3" xfId="33687" xr:uid="{00000000-0005-0000-0000-000097830000}"/>
    <cellStyle name="常规 2 4 3 2 3 4" xfId="33688" xr:uid="{00000000-0005-0000-0000-000098830000}"/>
    <cellStyle name="常规 2 4 3 2 3 5" xfId="33689" xr:uid="{00000000-0005-0000-0000-000099830000}"/>
    <cellStyle name="常规 2 4 3 2 4" xfId="33690" xr:uid="{00000000-0005-0000-0000-00009A830000}"/>
    <cellStyle name="常规 2 4 3 2 4 2" xfId="33691" xr:uid="{00000000-0005-0000-0000-00009B830000}"/>
    <cellStyle name="常规 2 4 3 2 4 2 2" xfId="33692" xr:uid="{00000000-0005-0000-0000-00009C830000}"/>
    <cellStyle name="常规 2 4 3 2 4 2 3" xfId="33693" xr:uid="{00000000-0005-0000-0000-00009D830000}"/>
    <cellStyle name="常规 2 4 3 2 4 2 4" xfId="33694" xr:uid="{00000000-0005-0000-0000-00009E830000}"/>
    <cellStyle name="常规 2 4 3 2 4 3" xfId="33695" xr:uid="{00000000-0005-0000-0000-00009F830000}"/>
    <cellStyle name="常规 2 4 3 2 4 4" xfId="33696" xr:uid="{00000000-0005-0000-0000-0000A0830000}"/>
    <cellStyle name="常规 2 4 3 2 4 5" xfId="33697" xr:uid="{00000000-0005-0000-0000-0000A1830000}"/>
    <cellStyle name="常规 2 4 3 2 5" xfId="33698" xr:uid="{00000000-0005-0000-0000-0000A2830000}"/>
    <cellStyle name="常规 2 4 3 2 5 2" xfId="33699" xr:uid="{00000000-0005-0000-0000-0000A3830000}"/>
    <cellStyle name="常规 2 4 3 2 5 3" xfId="33700" xr:uid="{00000000-0005-0000-0000-0000A4830000}"/>
    <cellStyle name="常规 2 4 3 2 5 4" xfId="33701" xr:uid="{00000000-0005-0000-0000-0000A5830000}"/>
    <cellStyle name="常规 2 4 3 2 6" xfId="33702" xr:uid="{00000000-0005-0000-0000-0000A6830000}"/>
    <cellStyle name="常规 2 4 3 2 7" xfId="33703" xr:uid="{00000000-0005-0000-0000-0000A7830000}"/>
    <cellStyle name="常规 2 4 3 2 8" xfId="33704" xr:uid="{00000000-0005-0000-0000-0000A8830000}"/>
    <cellStyle name="常规 2 4 3 2 9" xfId="33705" xr:uid="{00000000-0005-0000-0000-0000A9830000}"/>
    <cellStyle name="常规 2 4 3 2 9 2" xfId="33706" xr:uid="{00000000-0005-0000-0000-0000AA830000}"/>
    <cellStyle name="常规 2 4 3 3" xfId="33707" xr:uid="{00000000-0005-0000-0000-0000AB830000}"/>
    <cellStyle name="常规 2 4 3 3 2" xfId="33708" xr:uid="{00000000-0005-0000-0000-0000AC830000}"/>
    <cellStyle name="常规 2 4 3 3 2 2" xfId="33709" xr:uid="{00000000-0005-0000-0000-0000AD830000}"/>
    <cellStyle name="常规 2 4 3 3 2 3" xfId="33710" xr:uid="{00000000-0005-0000-0000-0000AE830000}"/>
    <cellStyle name="常规 2 4 3 3 2 4" xfId="33711" xr:uid="{00000000-0005-0000-0000-0000AF830000}"/>
    <cellStyle name="常规 2 4 3 3 3" xfId="33712" xr:uid="{00000000-0005-0000-0000-0000B0830000}"/>
    <cellStyle name="常规 2 4 3 3 4" xfId="33713" xr:uid="{00000000-0005-0000-0000-0000B1830000}"/>
    <cellStyle name="常规 2 4 3 3 5" xfId="33714" xr:uid="{00000000-0005-0000-0000-0000B2830000}"/>
    <cellStyle name="常规 2 4 3 3 6" xfId="33715" xr:uid="{00000000-0005-0000-0000-0000B3830000}"/>
    <cellStyle name="常规 2 4 3 3 6 2" xfId="33716" xr:uid="{00000000-0005-0000-0000-0000B4830000}"/>
    <cellStyle name="常规 2 4 3 4" xfId="33717" xr:uid="{00000000-0005-0000-0000-0000B5830000}"/>
    <cellStyle name="常规 2 4 3 4 2" xfId="33718" xr:uid="{00000000-0005-0000-0000-0000B6830000}"/>
    <cellStyle name="常规 2 4 3 4 2 2" xfId="33719" xr:uid="{00000000-0005-0000-0000-0000B7830000}"/>
    <cellStyle name="常规 2 4 3 4 2 3" xfId="33720" xr:uid="{00000000-0005-0000-0000-0000B8830000}"/>
    <cellStyle name="常规 2 4 3 4 2 4" xfId="33721" xr:uid="{00000000-0005-0000-0000-0000B9830000}"/>
    <cellStyle name="常规 2 4 3 4 3" xfId="33722" xr:uid="{00000000-0005-0000-0000-0000BA830000}"/>
    <cellStyle name="常规 2 4 3 4 4" xfId="33723" xr:uid="{00000000-0005-0000-0000-0000BB830000}"/>
    <cellStyle name="常规 2 4 3 4 5" xfId="33724" xr:uid="{00000000-0005-0000-0000-0000BC830000}"/>
    <cellStyle name="常规 2 4 3 4 6" xfId="33725" xr:uid="{00000000-0005-0000-0000-0000BD830000}"/>
    <cellStyle name="常规 2 4 3 4 6 2" xfId="33726" xr:uid="{00000000-0005-0000-0000-0000BE830000}"/>
    <cellStyle name="常规 2 4 3 5" xfId="33727" xr:uid="{00000000-0005-0000-0000-0000BF830000}"/>
    <cellStyle name="常规 2 4 3 5 2" xfId="33728" xr:uid="{00000000-0005-0000-0000-0000C0830000}"/>
    <cellStyle name="常规 2 4 3 5 3" xfId="33729" xr:uid="{00000000-0005-0000-0000-0000C1830000}"/>
    <cellStyle name="常规 2 4 3 5 4" xfId="33730" xr:uid="{00000000-0005-0000-0000-0000C2830000}"/>
    <cellStyle name="常规 2 4 3 6" xfId="33731" xr:uid="{00000000-0005-0000-0000-0000C3830000}"/>
    <cellStyle name="常规 2 4 3 7" xfId="33732" xr:uid="{00000000-0005-0000-0000-0000C4830000}"/>
    <cellStyle name="常规 2 4 3 8" xfId="33733" xr:uid="{00000000-0005-0000-0000-0000C5830000}"/>
    <cellStyle name="常规 2 4 3 9" xfId="33734" xr:uid="{00000000-0005-0000-0000-0000C6830000}"/>
    <cellStyle name="常规 2 4 3 9 2" xfId="33735" xr:uid="{00000000-0005-0000-0000-0000C7830000}"/>
    <cellStyle name="常规 2 4 4" xfId="33736" xr:uid="{00000000-0005-0000-0000-0000C8830000}"/>
    <cellStyle name="常规 2 4 4 10" xfId="33737" xr:uid="{00000000-0005-0000-0000-0000C9830000}"/>
    <cellStyle name="常规 2 4 4 2" xfId="33738" xr:uid="{00000000-0005-0000-0000-0000CA830000}"/>
    <cellStyle name="常规 2 4 4 2 2" xfId="33739" xr:uid="{00000000-0005-0000-0000-0000CB830000}"/>
    <cellStyle name="常规 2 4 4 2 2 2" xfId="33740" xr:uid="{00000000-0005-0000-0000-0000CC830000}"/>
    <cellStyle name="常规 2 4 4 2 2 2 2" xfId="33741" xr:uid="{00000000-0005-0000-0000-0000CD830000}"/>
    <cellStyle name="常规 2 4 4 2 2 2 2 2" xfId="33742" xr:uid="{00000000-0005-0000-0000-0000CE830000}"/>
    <cellStyle name="常规 2 4 4 2 2 2 2 3" xfId="33743" xr:uid="{00000000-0005-0000-0000-0000CF830000}"/>
    <cellStyle name="常规 2 4 4 2 2 2 2 4" xfId="33744" xr:uid="{00000000-0005-0000-0000-0000D0830000}"/>
    <cellStyle name="常规 2 4 4 2 2 2 3" xfId="33745" xr:uid="{00000000-0005-0000-0000-0000D1830000}"/>
    <cellStyle name="常规 2 4 4 2 2 2 4" xfId="33746" xr:uid="{00000000-0005-0000-0000-0000D2830000}"/>
    <cellStyle name="常规 2 4 4 2 2 2 5" xfId="33747" xr:uid="{00000000-0005-0000-0000-0000D3830000}"/>
    <cellStyle name="常规 2 4 4 2 2 3" xfId="33748" xr:uid="{00000000-0005-0000-0000-0000D4830000}"/>
    <cellStyle name="常规 2 4 4 2 2 3 2" xfId="33749" xr:uid="{00000000-0005-0000-0000-0000D5830000}"/>
    <cellStyle name="常规 2 4 4 2 2 3 2 2" xfId="33750" xr:uid="{00000000-0005-0000-0000-0000D6830000}"/>
    <cellStyle name="常规 2 4 4 2 2 3 2 3" xfId="33751" xr:uid="{00000000-0005-0000-0000-0000D7830000}"/>
    <cellStyle name="常规 2 4 4 2 2 3 2 4" xfId="33752" xr:uid="{00000000-0005-0000-0000-0000D8830000}"/>
    <cellStyle name="常规 2 4 4 2 2 3 3" xfId="33753" xr:uid="{00000000-0005-0000-0000-0000D9830000}"/>
    <cellStyle name="常规 2 4 4 2 2 3 4" xfId="33754" xr:uid="{00000000-0005-0000-0000-0000DA830000}"/>
    <cellStyle name="常规 2 4 4 2 2 3 5" xfId="33755" xr:uid="{00000000-0005-0000-0000-0000DB830000}"/>
    <cellStyle name="常规 2 4 4 2 2 4" xfId="33756" xr:uid="{00000000-0005-0000-0000-0000DC830000}"/>
    <cellStyle name="常规 2 4 4 2 2 4 2" xfId="33757" xr:uid="{00000000-0005-0000-0000-0000DD830000}"/>
    <cellStyle name="常规 2 4 4 2 2 4 3" xfId="33758" xr:uid="{00000000-0005-0000-0000-0000DE830000}"/>
    <cellStyle name="常规 2 4 4 2 2 4 4" xfId="33759" xr:uid="{00000000-0005-0000-0000-0000DF830000}"/>
    <cellStyle name="常规 2 4 4 2 2 5" xfId="33760" xr:uid="{00000000-0005-0000-0000-0000E0830000}"/>
    <cellStyle name="常规 2 4 4 2 2 6" xfId="33761" xr:uid="{00000000-0005-0000-0000-0000E1830000}"/>
    <cellStyle name="常规 2 4 4 2 2 7" xfId="33762" xr:uid="{00000000-0005-0000-0000-0000E2830000}"/>
    <cellStyle name="常规 2 4 4 2 3" xfId="33763" xr:uid="{00000000-0005-0000-0000-0000E3830000}"/>
    <cellStyle name="常规 2 4 4 2 3 2" xfId="33764" xr:uid="{00000000-0005-0000-0000-0000E4830000}"/>
    <cellStyle name="常规 2 4 4 2 3 2 2" xfId="33765" xr:uid="{00000000-0005-0000-0000-0000E5830000}"/>
    <cellStyle name="常规 2 4 4 2 3 2 3" xfId="33766" xr:uid="{00000000-0005-0000-0000-0000E6830000}"/>
    <cellStyle name="常规 2 4 4 2 3 2 4" xfId="33767" xr:uid="{00000000-0005-0000-0000-0000E7830000}"/>
    <cellStyle name="常规 2 4 4 2 3 3" xfId="33768" xr:uid="{00000000-0005-0000-0000-0000E8830000}"/>
    <cellStyle name="常规 2 4 4 2 3 4" xfId="33769" xr:uid="{00000000-0005-0000-0000-0000E9830000}"/>
    <cellStyle name="常规 2 4 4 2 3 5" xfId="33770" xr:uid="{00000000-0005-0000-0000-0000EA830000}"/>
    <cellStyle name="常规 2 4 4 2 4" xfId="33771" xr:uid="{00000000-0005-0000-0000-0000EB830000}"/>
    <cellStyle name="常规 2 4 4 2 4 2" xfId="33772" xr:uid="{00000000-0005-0000-0000-0000EC830000}"/>
    <cellStyle name="常规 2 4 4 2 4 2 2" xfId="33773" xr:uid="{00000000-0005-0000-0000-0000ED830000}"/>
    <cellStyle name="常规 2 4 4 2 4 2 3" xfId="33774" xr:uid="{00000000-0005-0000-0000-0000EE830000}"/>
    <cellStyle name="常规 2 4 4 2 4 2 4" xfId="33775" xr:uid="{00000000-0005-0000-0000-0000EF830000}"/>
    <cellStyle name="常规 2 4 4 2 4 3" xfId="33776" xr:uid="{00000000-0005-0000-0000-0000F0830000}"/>
    <cellStyle name="常规 2 4 4 2 4 4" xfId="33777" xr:uid="{00000000-0005-0000-0000-0000F1830000}"/>
    <cellStyle name="常规 2 4 4 2 4 5" xfId="33778" xr:uid="{00000000-0005-0000-0000-0000F2830000}"/>
    <cellStyle name="常规 2 4 4 2 5" xfId="33779" xr:uid="{00000000-0005-0000-0000-0000F3830000}"/>
    <cellStyle name="常规 2 4 4 2 5 2" xfId="33780" xr:uid="{00000000-0005-0000-0000-0000F4830000}"/>
    <cellStyle name="常规 2 4 4 2 5 3" xfId="33781" xr:uid="{00000000-0005-0000-0000-0000F5830000}"/>
    <cellStyle name="常规 2 4 4 2 5 4" xfId="33782" xr:uid="{00000000-0005-0000-0000-0000F6830000}"/>
    <cellStyle name="常规 2 4 4 2 6" xfId="33783" xr:uid="{00000000-0005-0000-0000-0000F7830000}"/>
    <cellStyle name="常规 2 4 4 2 7" xfId="33784" xr:uid="{00000000-0005-0000-0000-0000F8830000}"/>
    <cellStyle name="常规 2 4 4 2 8" xfId="33785" xr:uid="{00000000-0005-0000-0000-0000F9830000}"/>
    <cellStyle name="常规 2 4 4 2 9" xfId="33786" xr:uid="{00000000-0005-0000-0000-0000FA830000}"/>
    <cellStyle name="常规 2 4 4 2 9 2" xfId="33787" xr:uid="{00000000-0005-0000-0000-0000FB830000}"/>
    <cellStyle name="常规 2 4 4 3" xfId="33788" xr:uid="{00000000-0005-0000-0000-0000FC830000}"/>
    <cellStyle name="常规 2 4 4 3 2" xfId="33789" xr:uid="{00000000-0005-0000-0000-0000FD830000}"/>
    <cellStyle name="常规 2 4 4 3 2 2" xfId="33790" xr:uid="{00000000-0005-0000-0000-0000FE830000}"/>
    <cellStyle name="常规 2 4 4 3 2 3" xfId="33791" xr:uid="{00000000-0005-0000-0000-0000FF830000}"/>
    <cellStyle name="常规 2 4 4 3 2 4" xfId="33792" xr:uid="{00000000-0005-0000-0000-000000840000}"/>
    <cellStyle name="常规 2 4 4 3 2 5" xfId="33793" xr:uid="{00000000-0005-0000-0000-000001840000}"/>
    <cellStyle name="常规 2 4 4 3 3" xfId="33794" xr:uid="{00000000-0005-0000-0000-000002840000}"/>
    <cellStyle name="常规 2 4 4 3 4" xfId="33795" xr:uid="{00000000-0005-0000-0000-000003840000}"/>
    <cellStyle name="常规 2 4 4 3 5" xfId="33796" xr:uid="{00000000-0005-0000-0000-000004840000}"/>
    <cellStyle name="常规 2 4 4 3 6" xfId="33797" xr:uid="{00000000-0005-0000-0000-000005840000}"/>
    <cellStyle name="常规 2 4 4 3 6 2" xfId="33798" xr:uid="{00000000-0005-0000-0000-000006840000}"/>
    <cellStyle name="常规 2 4 4 3 7" xfId="33799" xr:uid="{00000000-0005-0000-0000-000007840000}"/>
    <cellStyle name="常规 2 4 4 4" xfId="33800" xr:uid="{00000000-0005-0000-0000-000008840000}"/>
    <cellStyle name="常规 2 4 4 4 2" xfId="33801" xr:uid="{00000000-0005-0000-0000-000009840000}"/>
    <cellStyle name="常规 2 4 4 4 2 2" xfId="33802" xr:uid="{00000000-0005-0000-0000-00000A840000}"/>
    <cellStyle name="常规 2 4 4 4 2 3" xfId="33803" xr:uid="{00000000-0005-0000-0000-00000B840000}"/>
    <cellStyle name="常规 2 4 4 4 2 4" xfId="33804" xr:uid="{00000000-0005-0000-0000-00000C840000}"/>
    <cellStyle name="常规 2 4 4 4 3" xfId="33805" xr:uid="{00000000-0005-0000-0000-00000D840000}"/>
    <cellStyle name="常规 2 4 4 4 4" xfId="33806" xr:uid="{00000000-0005-0000-0000-00000E840000}"/>
    <cellStyle name="常规 2 4 4 4 5" xfId="33807" xr:uid="{00000000-0005-0000-0000-00000F840000}"/>
    <cellStyle name="常规 2 4 4 4 6" xfId="33808" xr:uid="{00000000-0005-0000-0000-000010840000}"/>
    <cellStyle name="常规 2 4 4 5" xfId="33809" xr:uid="{00000000-0005-0000-0000-000011840000}"/>
    <cellStyle name="常规 2 4 4 5 2" xfId="33810" xr:uid="{00000000-0005-0000-0000-000012840000}"/>
    <cellStyle name="常规 2 4 4 5 3" xfId="33811" xr:uid="{00000000-0005-0000-0000-000013840000}"/>
    <cellStyle name="常规 2 4 4 5 4" xfId="33812" xr:uid="{00000000-0005-0000-0000-000014840000}"/>
    <cellStyle name="常规 2 4 4 6" xfId="33813" xr:uid="{00000000-0005-0000-0000-000015840000}"/>
    <cellStyle name="常规 2 4 4 7" xfId="33814" xr:uid="{00000000-0005-0000-0000-000016840000}"/>
    <cellStyle name="常规 2 4 4 8" xfId="33815" xr:uid="{00000000-0005-0000-0000-000017840000}"/>
    <cellStyle name="常规 2 4 4 9" xfId="33816" xr:uid="{00000000-0005-0000-0000-000018840000}"/>
    <cellStyle name="常规 2 4 4 9 2" xfId="33817" xr:uid="{00000000-0005-0000-0000-000019840000}"/>
    <cellStyle name="常规 2 4 5" xfId="33818" xr:uid="{00000000-0005-0000-0000-00001A840000}"/>
    <cellStyle name="常规 2 4 5 2" xfId="33819" xr:uid="{00000000-0005-0000-0000-00001B840000}"/>
    <cellStyle name="常规 2 4 5 2 2" xfId="33820" xr:uid="{00000000-0005-0000-0000-00001C840000}"/>
    <cellStyle name="常规 2 4 5 2 2 2" xfId="33821" xr:uid="{00000000-0005-0000-0000-00001D840000}"/>
    <cellStyle name="常规 2 4 5 2 2 2 2" xfId="33822" xr:uid="{00000000-0005-0000-0000-00001E840000}"/>
    <cellStyle name="常规 2 4 5 2 2 2 2 2" xfId="33823" xr:uid="{00000000-0005-0000-0000-00001F840000}"/>
    <cellStyle name="常规 2 4 5 2 2 2 2 3" xfId="33824" xr:uid="{00000000-0005-0000-0000-000020840000}"/>
    <cellStyle name="常规 2 4 5 2 2 2 2 4" xfId="33825" xr:uid="{00000000-0005-0000-0000-000021840000}"/>
    <cellStyle name="常规 2 4 5 2 2 2 3" xfId="33826" xr:uid="{00000000-0005-0000-0000-000022840000}"/>
    <cellStyle name="常规 2 4 5 2 2 2 4" xfId="33827" xr:uid="{00000000-0005-0000-0000-000023840000}"/>
    <cellStyle name="常规 2 4 5 2 2 2 5" xfId="33828" xr:uid="{00000000-0005-0000-0000-000024840000}"/>
    <cellStyle name="常规 2 4 5 2 2 3" xfId="33829" xr:uid="{00000000-0005-0000-0000-000025840000}"/>
    <cellStyle name="常规 2 4 5 2 2 3 2" xfId="33830" xr:uid="{00000000-0005-0000-0000-000026840000}"/>
    <cellStyle name="常规 2 4 5 2 2 3 2 2" xfId="33831" xr:uid="{00000000-0005-0000-0000-000027840000}"/>
    <cellStyle name="常规 2 4 5 2 2 3 2 3" xfId="33832" xr:uid="{00000000-0005-0000-0000-000028840000}"/>
    <cellStyle name="常规 2 4 5 2 2 3 2 4" xfId="33833" xr:uid="{00000000-0005-0000-0000-000029840000}"/>
    <cellStyle name="常规 2 4 5 2 2 3 3" xfId="33834" xr:uid="{00000000-0005-0000-0000-00002A840000}"/>
    <cellStyle name="常规 2 4 5 2 2 3 4" xfId="33835" xr:uid="{00000000-0005-0000-0000-00002B840000}"/>
    <cellStyle name="常规 2 4 5 2 2 3 5" xfId="33836" xr:uid="{00000000-0005-0000-0000-00002C840000}"/>
    <cellStyle name="常规 2 4 5 2 2 4" xfId="33837" xr:uid="{00000000-0005-0000-0000-00002D840000}"/>
    <cellStyle name="常规 2 4 5 2 2 4 2" xfId="33838" xr:uid="{00000000-0005-0000-0000-00002E840000}"/>
    <cellStyle name="常规 2 4 5 2 2 4 3" xfId="33839" xr:uid="{00000000-0005-0000-0000-00002F840000}"/>
    <cellStyle name="常规 2 4 5 2 2 4 4" xfId="33840" xr:uid="{00000000-0005-0000-0000-000030840000}"/>
    <cellStyle name="常规 2 4 5 2 2 5" xfId="33841" xr:uid="{00000000-0005-0000-0000-000031840000}"/>
    <cellStyle name="常规 2 4 5 2 2 6" xfId="33842" xr:uid="{00000000-0005-0000-0000-000032840000}"/>
    <cellStyle name="常规 2 4 5 2 2 7" xfId="33843" xr:uid="{00000000-0005-0000-0000-000033840000}"/>
    <cellStyle name="常规 2 4 5 2 3" xfId="33844" xr:uid="{00000000-0005-0000-0000-000034840000}"/>
    <cellStyle name="常规 2 4 5 2 3 2" xfId="33845" xr:uid="{00000000-0005-0000-0000-000035840000}"/>
    <cellStyle name="常规 2 4 5 2 3 2 2" xfId="33846" xr:uid="{00000000-0005-0000-0000-000036840000}"/>
    <cellStyle name="常规 2 4 5 2 3 2 3" xfId="33847" xr:uid="{00000000-0005-0000-0000-000037840000}"/>
    <cellStyle name="常规 2 4 5 2 3 2 4" xfId="33848" xr:uid="{00000000-0005-0000-0000-000038840000}"/>
    <cellStyle name="常规 2 4 5 2 3 3" xfId="33849" xr:uid="{00000000-0005-0000-0000-000039840000}"/>
    <cellStyle name="常规 2 4 5 2 3 4" xfId="33850" xr:uid="{00000000-0005-0000-0000-00003A840000}"/>
    <cellStyle name="常规 2 4 5 2 3 5" xfId="33851" xr:uid="{00000000-0005-0000-0000-00003B840000}"/>
    <cellStyle name="常规 2 4 5 2 4" xfId="33852" xr:uid="{00000000-0005-0000-0000-00003C840000}"/>
    <cellStyle name="常规 2 4 5 2 4 2" xfId="33853" xr:uid="{00000000-0005-0000-0000-00003D840000}"/>
    <cellStyle name="常规 2 4 5 2 4 2 2" xfId="33854" xr:uid="{00000000-0005-0000-0000-00003E840000}"/>
    <cellStyle name="常规 2 4 5 2 4 2 3" xfId="33855" xr:uid="{00000000-0005-0000-0000-00003F840000}"/>
    <cellStyle name="常规 2 4 5 2 4 2 4" xfId="33856" xr:uid="{00000000-0005-0000-0000-000040840000}"/>
    <cellStyle name="常规 2 4 5 2 4 3" xfId="33857" xr:uid="{00000000-0005-0000-0000-000041840000}"/>
    <cellStyle name="常规 2 4 5 2 4 4" xfId="33858" xr:uid="{00000000-0005-0000-0000-000042840000}"/>
    <cellStyle name="常规 2 4 5 2 4 5" xfId="33859" xr:uid="{00000000-0005-0000-0000-000043840000}"/>
    <cellStyle name="常规 2 4 5 2 5" xfId="33860" xr:uid="{00000000-0005-0000-0000-000044840000}"/>
    <cellStyle name="常规 2 4 5 2 5 2" xfId="33861" xr:uid="{00000000-0005-0000-0000-000045840000}"/>
    <cellStyle name="常规 2 4 5 2 5 3" xfId="33862" xr:uid="{00000000-0005-0000-0000-000046840000}"/>
    <cellStyle name="常规 2 4 5 2 5 4" xfId="33863" xr:uid="{00000000-0005-0000-0000-000047840000}"/>
    <cellStyle name="常规 2 4 5 2 6" xfId="33864" xr:uid="{00000000-0005-0000-0000-000048840000}"/>
    <cellStyle name="常规 2 4 5 2 7" xfId="33865" xr:uid="{00000000-0005-0000-0000-000049840000}"/>
    <cellStyle name="常规 2 4 5 2 8" xfId="33866" xr:uid="{00000000-0005-0000-0000-00004A840000}"/>
    <cellStyle name="常规 2 4 5 3" xfId="33867" xr:uid="{00000000-0005-0000-0000-00004B840000}"/>
    <cellStyle name="常规 2 4 5 3 2" xfId="33868" xr:uid="{00000000-0005-0000-0000-00004C840000}"/>
    <cellStyle name="常规 2 4 5 3 2 2" xfId="33869" xr:uid="{00000000-0005-0000-0000-00004D840000}"/>
    <cellStyle name="常规 2 4 5 3 2 3" xfId="33870" xr:uid="{00000000-0005-0000-0000-00004E840000}"/>
    <cellStyle name="常规 2 4 5 3 2 4" xfId="33871" xr:uid="{00000000-0005-0000-0000-00004F840000}"/>
    <cellStyle name="常规 2 4 5 3 3" xfId="33872" xr:uid="{00000000-0005-0000-0000-000050840000}"/>
    <cellStyle name="常规 2 4 5 3 4" xfId="33873" xr:uid="{00000000-0005-0000-0000-000051840000}"/>
    <cellStyle name="常规 2 4 5 3 5" xfId="33874" xr:uid="{00000000-0005-0000-0000-000052840000}"/>
    <cellStyle name="常规 2 4 5 4" xfId="33875" xr:uid="{00000000-0005-0000-0000-000053840000}"/>
    <cellStyle name="常规 2 4 5 4 2" xfId="33876" xr:uid="{00000000-0005-0000-0000-000054840000}"/>
    <cellStyle name="常规 2 4 5 4 2 2" xfId="33877" xr:uid="{00000000-0005-0000-0000-000055840000}"/>
    <cellStyle name="常规 2 4 5 4 2 3" xfId="33878" xr:uid="{00000000-0005-0000-0000-000056840000}"/>
    <cellStyle name="常规 2 4 5 4 2 4" xfId="33879" xr:uid="{00000000-0005-0000-0000-000057840000}"/>
    <cellStyle name="常规 2 4 5 4 3" xfId="33880" xr:uid="{00000000-0005-0000-0000-000058840000}"/>
    <cellStyle name="常规 2 4 5 4 4" xfId="33881" xr:uid="{00000000-0005-0000-0000-000059840000}"/>
    <cellStyle name="常规 2 4 5 4 5" xfId="33882" xr:uid="{00000000-0005-0000-0000-00005A840000}"/>
    <cellStyle name="常规 2 4 5 5" xfId="33883" xr:uid="{00000000-0005-0000-0000-00005B840000}"/>
    <cellStyle name="常规 2 4 5 5 2" xfId="33884" xr:uid="{00000000-0005-0000-0000-00005C840000}"/>
    <cellStyle name="常规 2 4 5 5 3" xfId="33885" xr:uid="{00000000-0005-0000-0000-00005D840000}"/>
    <cellStyle name="常规 2 4 5 5 4" xfId="33886" xr:uid="{00000000-0005-0000-0000-00005E840000}"/>
    <cellStyle name="常规 2 4 5 6" xfId="33887" xr:uid="{00000000-0005-0000-0000-00005F840000}"/>
    <cellStyle name="常规 2 4 5 7" xfId="33888" xr:uid="{00000000-0005-0000-0000-000060840000}"/>
    <cellStyle name="常规 2 4 5 8" xfId="33889" xr:uid="{00000000-0005-0000-0000-000061840000}"/>
    <cellStyle name="常规 2 4 5 9" xfId="33890" xr:uid="{00000000-0005-0000-0000-000062840000}"/>
    <cellStyle name="常规 2 4 5 9 2" xfId="33891" xr:uid="{00000000-0005-0000-0000-000063840000}"/>
    <cellStyle name="常规 2 4 6" xfId="33892" xr:uid="{00000000-0005-0000-0000-000064840000}"/>
    <cellStyle name="常规 2 4 6 2" xfId="33893" xr:uid="{00000000-0005-0000-0000-000065840000}"/>
    <cellStyle name="常规 2 4 6 2 2" xfId="33894" xr:uid="{00000000-0005-0000-0000-000066840000}"/>
    <cellStyle name="常规 2 4 6 2 2 2" xfId="33895" xr:uid="{00000000-0005-0000-0000-000067840000}"/>
    <cellStyle name="常规 2 4 6 2 2 2 2" xfId="33896" xr:uid="{00000000-0005-0000-0000-000068840000}"/>
    <cellStyle name="常规 2 4 6 2 2 2 2 2" xfId="33897" xr:uid="{00000000-0005-0000-0000-000069840000}"/>
    <cellStyle name="常规 2 4 6 2 2 2 2 3" xfId="33898" xr:uid="{00000000-0005-0000-0000-00006A840000}"/>
    <cellStyle name="常规 2 4 6 2 2 2 2 4" xfId="33899" xr:uid="{00000000-0005-0000-0000-00006B840000}"/>
    <cellStyle name="常规 2 4 6 2 2 2 3" xfId="33900" xr:uid="{00000000-0005-0000-0000-00006C840000}"/>
    <cellStyle name="常规 2 4 6 2 2 2 4" xfId="33901" xr:uid="{00000000-0005-0000-0000-00006D840000}"/>
    <cellStyle name="常规 2 4 6 2 2 2 5" xfId="33902" xr:uid="{00000000-0005-0000-0000-00006E840000}"/>
    <cellStyle name="常规 2 4 6 2 2 3" xfId="33903" xr:uid="{00000000-0005-0000-0000-00006F840000}"/>
    <cellStyle name="常规 2 4 6 2 2 3 2" xfId="33904" xr:uid="{00000000-0005-0000-0000-000070840000}"/>
    <cellStyle name="常规 2 4 6 2 2 3 2 2" xfId="33905" xr:uid="{00000000-0005-0000-0000-000071840000}"/>
    <cellStyle name="常规 2 4 6 2 2 3 2 3" xfId="33906" xr:uid="{00000000-0005-0000-0000-000072840000}"/>
    <cellStyle name="常规 2 4 6 2 2 3 2 4" xfId="33907" xr:uid="{00000000-0005-0000-0000-000073840000}"/>
    <cellStyle name="常规 2 4 6 2 2 3 3" xfId="33908" xr:uid="{00000000-0005-0000-0000-000074840000}"/>
    <cellStyle name="常规 2 4 6 2 2 3 4" xfId="33909" xr:uid="{00000000-0005-0000-0000-000075840000}"/>
    <cellStyle name="常规 2 4 6 2 2 3 5" xfId="33910" xr:uid="{00000000-0005-0000-0000-000076840000}"/>
    <cellStyle name="常规 2 4 6 2 2 4" xfId="33911" xr:uid="{00000000-0005-0000-0000-000077840000}"/>
    <cellStyle name="常规 2 4 6 2 2 4 2" xfId="33912" xr:uid="{00000000-0005-0000-0000-000078840000}"/>
    <cellStyle name="常规 2 4 6 2 2 4 3" xfId="33913" xr:uid="{00000000-0005-0000-0000-000079840000}"/>
    <cellStyle name="常规 2 4 6 2 2 4 4" xfId="33914" xr:uid="{00000000-0005-0000-0000-00007A840000}"/>
    <cellStyle name="常规 2 4 6 2 2 5" xfId="33915" xr:uid="{00000000-0005-0000-0000-00007B840000}"/>
    <cellStyle name="常规 2 4 6 2 2 6" xfId="33916" xr:uid="{00000000-0005-0000-0000-00007C840000}"/>
    <cellStyle name="常规 2 4 6 2 2 7" xfId="33917" xr:uid="{00000000-0005-0000-0000-00007D840000}"/>
    <cellStyle name="常规 2 4 6 2 3" xfId="33918" xr:uid="{00000000-0005-0000-0000-00007E840000}"/>
    <cellStyle name="常规 2 4 6 2 3 2" xfId="33919" xr:uid="{00000000-0005-0000-0000-00007F840000}"/>
    <cellStyle name="常规 2 4 6 2 3 2 2" xfId="33920" xr:uid="{00000000-0005-0000-0000-000080840000}"/>
    <cellStyle name="常规 2 4 6 2 3 2 3" xfId="33921" xr:uid="{00000000-0005-0000-0000-000081840000}"/>
    <cellStyle name="常规 2 4 6 2 3 2 4" xfId="33922" xr:uid="{00000000-0005-0000-0000-000082840000}"/>
    <cellStyle name="常规 2 4 6 2 3 3" xfId="33923" xr:uid="{00000000-0005-0000-0000-000083840000}"/>
    <cellStyle name="常规 2 4 6 2 3 4" xfId="33924" xr:uid="{00000000-0005-0000-0000-000084840000}"/>
    <cellStyle name="常规 2 4 6 2 3 5" xfId="33925" xr:uid="{00000000-0005-0000-0000-000085840000}"/>
    <cellStyle name="常规 2 4 6 2 4" xfId="33926" xr:uid="{00000000-0005-0000-0000-000086840000}"/>
    <cellStyle name="常规 2 4 6 2 4 2" xfId="33927" xr:uid="{00000000-0005-0000-0000-000087840000}"/>
    <cellStyle name="常规 2 4 6 2 4 2 2" xfId="33928" xr:uid="{00000000-0005-0000-0000-000088840000}"/>
    <cellStyle name="常规 2 4 6 2 4 2 3" xfId="33929" xr:uid="{00000000-0005-0000-0000-000089840000}"/>
    <cellStyle name="常规 2 4 6 2 4 2 4" xfId="33930" xr:uid="{00000000-0005-0000-0000-00008A840000}"/>
    <cellStyle name="常规 2 4 6 2 4 3" xfId="33931" xr:uid="{00000000-0005-0000-0000-00008B840000}"/>
    <cellStyle name="常规 2 4 6 2 4 4" xfId="33932" xr:uid="{00000000-0005-0000-0000-00008C840000}"/>
    <cellStyle name="常规 2 4 6 2 4 5" xfId="33933" xr:uid="{00000000-0005-0000-0000-00008D840000}"/>
    <cellStyle name="常规 2 4 6 2 5" xfId="33934" xr:uid="{00000000-0005-0000-0000-00008E840000}"/>
    <cellStyle name="常规 2 4 6 2 5 2" xfId="33935" xr:uid="{00000000-0005-0000-0000-00008F840000}"/>
    <cellStyle name="常规 2 4 6 2 5 3" xfId="33936" xr:uid="{00000000-0005-0000-0000-000090840000}"/>
    <cellStyle name="常规 2 4 6 2 5 4" xfId="33937" xr:uid="{00000000-0005-0000-0000-000091840000}"/>
    <cellStyle name="常规 2 4 6 2 6" xfId="33938" xr:uid="{00000000-0005-0000-0000-000092840000}"/>
    <cellStyle name="常规 2 4 6 2 7" xfId="33939" xr:uid="{00000000-0005-0000-0000-000093840000}"/>
    <cellStyle name="常规 2 4 6 2 8" xfId="33940" xr:uid="{00000000-0005-0000-0000-000094840000}"/>
    <cellStyle name="常规 2 4 6 3" xfId="33941" xr:uid="{00000000-0005-0000-0000-000095840000}"/>
    <cellStyle name="常规 2 4 6 3 2" xfId="33942" xr:uid="{00000000-0005-0000-0000-000096840000}"/>
    <cellStyle name="常规 2 4 6 3 2 2" xfId="33943" xr:uid="{00000000-0005-0000-0000-000097840000}"/>
    <cellStyle name="常规 2 4 6 3 2 3" xfId="33944" xr:uid="{00000000-0005-0000-0000-000098840000}"/>
    <cellStyle name="常规 2 4 6 3 2 4" xfId="33945" xr:uid="{00000000-0005-0000-0000-000099840000}"/>
    <cellStyle name="常规 2 4 6 3 3" xfId="33946" xr:uid="{00000000-0005-0000-0000-00009A840000}"/>
    <cellStyle name="常规 2 4 6 3 4" xfId="33947" xr:uid="{00000000-0005-0000-0000-00009B840000}"/>
    <cellStyle name="常规 2 4 6 3 5" xfId="33948" xr:uid="{00000000-0005-0000-0000-00009C840000}"/>
    <cellStyle name="常规 2 4 6 4" xfId="33949" xr:uid="{00000000-0005-0000-0000-00009D840000}"/>
    <cellStyle name="常规 2 4 6 4 2" xfId="33950" xr:uid="{00000000-0005-0000-0000-00009E840000}"/>
    <cellStyle name="常规 2 4 6 4 2 2" xfId="33951" xr:uid="{00000000-0005-0000-0000-00009F840000}"/>
    <cellStyle name="常规 2 4 6 4 2 3" xfId="33952" xr:uid="{00000000-0005-0000-0000-0000A0840000}"/>
    <cellStyle name="常规 2 4 6 4 2 4" xfId="33953" xr:uid="{00000000-0005-0000-0000-0000A1840000}"/>
    <cellStyle name="常规 2 4 6 4 3" xfId="33954" xr:uid="{00000000-0005-0000-0000-0000A2840000}"/>
    <cellStyle name="常规 2 4 6 4 4" xfId="33955" xr:uid="{00000000-0005-0000-0000-0000A3840000}"/>
    <cellStyle name="常规 2 4 6 4 5" xfId="33956" xr:uid="{00000000-0005-0000-0000-0000A4840000}"/>
    <cellStyle name="常规 2 4 6 5" xfId="33957" xr:uid="{00000000-0005-0000-0000-0000A5840000}"/>
    <cellStyle name="常规 2 4 6 5 2" xfId="33958" xr:uid="{00000000-0005-0000-0000-0000A6840000}"/>
    <cellStyle name="常规 2 4 6 5 3" xfId="33959" xr:uid="{00000000-0005-0000-0000-0000A7840000}"/>
    <cellStyle name="常规 2 4 6 5 4" xfId="33960" xr:uid="{00000000-0005-0000-0000-0000A8840000}"/>
    <cellStyle name="常规 2 4 6 6" xfId="33961" xr:uid="{00000000-0005-0000-0000-0000A9840000}"/>
    <cellStyle name="常规 2 4 6 7" xfId="33962" xr:uid="{00000000-0005-0000-0000-0000AA840000}"/>
    <cellStyle name="常规 2 4 6 8" xfId="33963" xr:uid="{00000000-0005-0000-0000-0000AB840000}"/>
    <cellStyle name="常规 2 4 6 9" xfId="33964" xr:uid="{00000000-0005-0000-0000-0000AC840000}"/>
    <cellStyle name="常规 2 4 6 9 2" xfId="33965" xr:uid="{00000000-0005-0000-0000-0000AD840000}"/>
    <cellStyle name="常规 2 4 7" xfId="33966" xr:uid="{00000000-0005-0000-0000-0000AE840000}"/>
    <cellStyle name="常规 2 4 7 2" xfId="33967" xr:uid="{00000000-0005-0000-0000-0000AF840000}"/>
    <cellStyle name="常规 2 4 7 2 2" xfId="33968" xr:uid="{00000000-0005-0000-0000-0000B0840000}"/>
    <cellStyle name="常规 2 4 7 2 2 2" xfId="33969" xr:uid="{00000000-0005-0000-0000-0000B1840000}"/>
    <cellStyle name="常规 2 4 7 2 2 2 2" xfId="33970" xr:uid="{00000000-0005-0000-0000-0000B2840000}"/>
    <cellStyle name="常规 2 4 7 2 2 2 3" xfId="33971" xr:uid="{00000000-0005-0000-0000-0000B3840000}"/>
    <cellStyle name="常规 2 4 7 2 2 2 4" xfId="33972" xr:uid="{00000000-0005-0000-0000-0000B4840000}"/>
    <cellStyle name="常规 2 4 7 2 2 3" xfId="33973" xr:uid="{00000000-0005-0000-0000-0000B5840000}"/>
    <cellStyle name="常规 2 4 7 2 2 4" xfId="33974" xr:uid="{00000000-0005-0000-0000-0000B6840000}"/>
    <cellStyle name="常规 2 4 7 2 2 5" xfId="33975" xr:uid="{00000000-0005-0000-0000-0000B7840000}"/>
    <cellStyle name="常规 2 4 7 2 3" xfId="33976" xr:uid="{00000000-0005-0000-0000-0000B8840000}"/>
    <cellStyle name="常规 2 4 7 2 3 2" xfId="33977" xr:uid="{00000000-0005-0000-0000-0000B9840000}"/>
    <cellStyle name="常规 2 4 7 2 3 2 2" xfId="33978" xr:uid="{00000000-0005-0000-0000-0000BA840000}"/>
    <cellStyle name="常规 2 4 7 2 3 2 3" xfId="33979" xr:uid="{00000000-0005-0000-0000-0000BB840000}"/>
    <cellStyle name="常规 2 4 7 2 3 2 4" xfId="33980" xr:uid="{00000000-0005-0000-0000-0000BC840000}"/>
    <cellStyle name="常规 2 4 7 2 3 3" xfId="33981" xr:uid="{00000000-0005-0000-0000-0000BD840000}"/>
    <cellStyle name="常规 2 4 7 2 3 4" xfId="33982" xr:uid="{00000000-0005-0000-0000-0000BE840000}"/>
    <cellStyle name="常规 2 4 7 2 3 5" xfId="33983" xr:uid="{00000000-0005-0000-0000-0000BF840000}"/>
    <cellStyle name="常规 2 4 7 2 4" xfId="33984" xr:uid="{00000000-0005-0000-0000-0000C0840000}"/>
    <cellStyle name="常规 2 4 7 2 4 2" xfId="33985" xr:uid="{00000000-0005-0000-0000-0000C1840000}"/>
    <cellStyle name="常规 2 4 7 2 4 3" xfId="33986" xr:uid="{00000000-0005-0000-0000-0000C2840000}"/>
    <cellStyle name="常规 2 4 7 2 4 4" xfId="33987" xr:uid="{00000000-0005-0000-0000-0000C3840000}"/>
    <cellStyle name="常规 2 4 7 2 5" xfId="33988" xr:uid="{00000000-0005-0000-0000-0000C4840000}"/>
    <cellStyle name="常规 2 4 7 2 6" xfId="33989" xr:uid="{00000000-0005-0000-0000-0000C5840000}"/>
    <cellStyle name="常规 2 4 7 2 7" xfId="33990" xr:uid="{00000000-0005-0000-0000-0000C6840000}"/>
    <cellStyle name="常规 2 4 7 3" xfId="33991" xr:uid="{00000000-0005-0000-0000-0000C7840000}"/>
    <cellStyle name="常规 2 4 7 3 2" xfId="33992" xr:uid="{00000000-0005-0000-0000-0000C8840000}"/>
    <cellStyle name="常规 2 4 7 3 2 2" xfId="33993" xr:uid="{00000000-0005-0000-0000-0000C9840000}"/>
    <cellStyle name="常规 2 4 7 3 2 3" xfId="33994" xr:uid="{00000000-0005-0000-0000-0000CA840000}"/>
    <cellStyle name="常规 2 4 7 3 2 4" xfId="33995" xr:uid="{00000000-0005-0000-0000-0000CB840000}"/>
    <cellStyle name="常规 2 4 7 3 3" xfId="33996" xr:uid="{00000000-0005-0000-0000-0000CC840000}"/>
    <cellStyle name="常规 2 4 7 3 4" xfId="33997" xr:uid="{00000000-0005-0000-0000-0000CD840000}"/>
    <cellStyle name="常规 2 4 7 3 5" xfId="33998" xr:uid="{00000000-0005-0000-0000-0000CE840000}"/>
    <cellStyle name="常规 2 4 7 4" xfId="33999" xr:uid="{00000000-0005-0000-0000-0000CF840000}"/>
    <cellStyle name="常规 2 4 7 4 2" xfId="34000" xr:uid="{00000000-0005-0000-0000-0000D0840000}"/>
    <cellStyle name="常规 2 4 7 4 2 2" xfId="34001" xr:uid="{00000000-0005-0000-0000-0000D1840000}"/>
    <cellStyle name="常规 2 4 7 4 2 3" xfId="34002" xr:uid="{00000000-0005-0000-0000-0000D2840000}"/>
    <cellStyle name="常规 2 4 7 4 2 4" xfId="34003" xr:uid="{00000000-0005-0000-0000-0000D3840000}"/>
    <cellStyle name="常规 2 4 7 4 3" xfId="34004" xr:uid="{00000000-0005-0000-0000-0000D4840000}"/>
    <cellStyle name="常规 2 4 7 4 4" xfId="34005" xr:uid="{00000000-0005-0000-0000-0000D5840000}"/>
    <cellStyle name="常规 2 4 7 4 5" xfId="34006" xr:uid="{00000000-0005-0000-0000-0000D6840000}"/>
    <cellStyle name="常规 2 4 7 5" xfId="34007" xr:uid="{00000000-0005-0000-0000-0000D7840000}"/>
    <cellStyle name="常规 2 4 7 5 2" xfId="34008" xr:uid="{00000000-0005-0000-0000-0000D8840000}"/>
    <cellStyle name="常规 2 4 7 5 3" xfId="34009" xr:uid="{00000000-0005-0000-0000-0000D9840000}"/>
    <cellStyle name="常规 2 4 7 5 4" xfId="34010" xr:uid="{00000000-0005-0000-0000-0000DA840000}"/>
    <cellStyle name="常规 2 4 7 6" xfId="34011" xr:uid="{00000000-0005-0000-0000-0000DB840000}"/>
    <cellStyle name="常规 2 4 7 7" xfId="34012" xr:uid="{00000000-0005-0000-0000-0000DC840000}"/>
    <cellStyle name="常规 2 4 7 8" xfId="34013" xr:uid="{00000000-0005-0000-0000-0000DD840000}"/>
    <cellStyle name="常规 2 4 8" xfId="34014" xr:uid="{00000000-0005-0000-0000-0000DE840000}"/>
    <cellStyle name="常规 2 4 8 2" xfId="34015" xr:uid="{00000000-0005-0000-0000-0000DF840000}"/>
    <cellStyle name="常规 2 4 8 2 2" xfId="34016" xr:uid="{00000000-0005-0000-0000-0000E0840000}"/>
    <cellStyle name="常规 2 4 8 2 3" xfId="34017" xr:uid="{00000000-0005-0000-0000-0000E1840000}"/>
    <cellStyle name="常规 2 4 8 2 4" xfId="34018" xr:uid="{00000000-0005-0000-0000-0000E2840000}"/>
    <cellStyle name="常规 2 4 8 3" xfId="34019" xr:uid="{00000000-0005-0000-0000-0000E3840000}"/>
    <cellStyle name="常规 2 4 8 4" xfId="34020" xr:uid="{00000000-0005-0000-0000-0000E4840000}"/>
    <cellStyle name="常规 2 4 8 5" xfId="34021" xr:uid="{00000000-0005-0000-0000-0000E5840000}"/>
    <cellStyle name="常规 2 4 9" xfId="34022" xr:uid="{00000000-0005-0000-0000-0000E6840000}"/>
    <cellStyle name="常规 2 4 9 2" xfId="34023" xr:uid="{00000000-0005-0000-0000-0000E7840000}"/>
    <cellStyle name="常规 2 4 9 2 2" xfId="34024" xr:uid="{00000000-0005-0000-0000-0000E8840000}"/>
    <cellStyle name="常规 2 4 9 2 3" xfId="34025" xr:uid="{00000000-0005-0000-0000-0000E9840000}"/>
    <cellStyle name="常规 2 4 9 2 4" xfId="34026" xr:uid="{00000000-0005-0000-0000-0000EA840000}"/>
    <cellStyle name="常规 2 4 9 3" xfId="34027" xr:uid="{00000000-0005-0000-0000-0000EB840000}"/>
    <cellStyle name="常规 2 4 9 4" xfId="34028" xr:uid="{00000000-0005-0000-0000-0000EC840000}"/>
    <cellStyle name="常规 2 4 9 5" xfId="34029" xr:uid="{00000000-0005-0000-0000-0000ED840000}"/>
    <cellStyle name="常规 2 5" xfId="34030" xr:uid="{00000000-0005-0000-0000-0000EE840000}"/>
    <cellStyle name="常规 2 5 10" xfId="34031" xr:uid="{00000000-0005-0000-0000-0000EF840000}"/>
    <cellStyle name="常规 2 5 10 2" xfId="34032" xr:uid="{00000000-0005-0000-0000-0000F0840000}"/>
    <cellStyle name="常规 2 5 10 2 2" xfId="34033" xr:uid="{00000000-0005-0000-0000-0000F1840000}"/>
    <cellStyle name="常规 2 5 10 2 2 2" xfId="34034" xr:uid="{00000000-0005-0000-0000-0000F2840000}"/>
    <cellStyle name="常规 2 5 10 2 2 2 2" xfId="34035" xr:uid="{00000000-0005-0000-0000-0000F3840000}"/>
    <cellStyle name="常规 2 5 10 2 2 2 3" xfId="34036" xr:uid="{00000000-0005-0000-0000-0000F4840000}"/>
    <cellStyle name="常规 2 5 10 2 2 2 4" xfId="34037" xr:uid="{00000000-0005-0000-0000-0000F5840000}"/>
    <cellStyle name="常规 2 5 10 2 2 3" xfId="34038" xr:uid="{00000000-0005-0000-0000-0000F6840000}"/>
    <cellStyle name="常规 2 5 10 2 2 4" xfId="34039" xr:uid="{00000000-0005-0000-0000-0000F7840000}"/>
    <cellStyle name="常规 2 5 10 2 2 5" xfId="34040" xr:uid="{00000000-0005-0000-0000-0000F8840000}"/>
    <cellStyle name="常规 2 5 10 2 3" xfId="34041" xr:uid="{00000000-0005-0000-0000-0000F9840000}"/>
    <cellStyle name="常规 2 5 10 2 3 2" xfId="34042" xr:uid="{00000000-0005-0000-0000-0000FA840000}"/>
    <cellStyle name="常规 2 5 10 2 3 2 2" xfId="34043" xr:uid="{00000000-0005-0000-0000-0000FB840000}"/>
    <cellStyle name="常规 2 5 10 2 3 2 3" xfId="34044" xr:uid="{00000000-0005-0000-0000-0000FC840000}"/>
    <cellStyle name="常规 2 5 10 2 3 2 4" xfId="34045" xr:uid="{00000000-0005-0000-0000-0000FD840000}"/>
    <cellStyle name="常规 2 5 10 2 3 3" xfId="34046" xr:uid="{00000000-0005-0000-0000-0000FE840000}"/>
    <cellStyle name="常规 2 5 10 2 3 4" xfId="34047" xr:uid="{00000000-0005-0000-0000-0000FF840000}"/>
    <cellStyle name="常规 2 5 10 2 3 5" xfId="34048" xr:uid="{00000000-0005-0000-0000-000000850000}"/>
    <cellStyle name="常规 2 5 10 2 4" xfId="34049" xr:uid="{00000000-0005-0000-0000-000001850000}"/>
    <cellStyle name="常规 2 5 10 2 4 2" xfId="34050" xr:uid="{00000000-0005-0000-0000-000002850000}"/>
    <cellStyle name="常规 2 5 10 2 4 3" xfId="34051" xr:uid="{00000000-0005-0000-0000-000003850000}"/>
    <cellStyle name="常规 2 5 10 2 4 4" xfId="34052" xr:uid="{00000000-0005-0000-0000-000004850000}"/>
    <cellStyle name="常规 2 5 10 2 5" xfId="34053" xr:uid="{00000000-0005-0000-0000-000005850000}"/>
    <cellStyle name="常规 2 5 10 2 6" xfId="34054" xr:uid="{00000000-0005-0000-0000-000006850000}"/>
    <cellStyle name="常规 2 5 10 2 7" xfId="34055" xr:uid="{00000000-0005-0000-0000-000007850000}"/>
    <cellStyle name="常规 2 5 10 2 8" xfId="34056" xr:uid="{00000000-0005-0000-0000-000008850000}"/>
    <cellStyle name="常规 2 5 10 3" xfId="34057" xr:uid="{00000000-0005-0000-0000-000009850000}"/>
    <cellStyle name="常规 2 5 10 3 2" xfId="34058" xr:uid="{00000000-0005-0000-0000-00000A850000}"/>
    <cellStyle name="常规 2 5 10 3 2 2" xfId="34059" xr:uid="{00000000-0005-0000-0000-00000B850000}"/>
    <cellStyle name="常规 2 5 10 3 2 3" xfId="34060" xr:uid="{00000000-0005-0000-0000-00000C850000}"/>
    <cellStyle name="常规 2 5 10 3 2 4" xfId="34061" xr:uid="{00000000-0005-0000-0000-00000D850000}"/>
    <cellStyle name="常规 2 5 10 3 3" xfId="34062" xr:uid="{00000000-0005-0000-0000-00000E850000}"/>
    <cellStyle name="常规 2 5 10 3 4" xfId="34063" xr:uid="{00000000-0005-0000-0000-00000F850000}"/>
    <cellStyle name="常规 2 5 10 3 5" xfId="34064" xr:uid="{00000000-0005-0000-0000-000010850000}"/>
    <cellStyle name="常规 2 5 10 4" xfId="34065" xr:uid="{00000000-0005-0000-0000-000011850000}"/>
    <cellStyle name="常规 2 5 10 4 2" xfId="34066" xr:uid="{00000000-0005-0000-0000-000012850000}"/>
    <cellStyle name="常规 2 5 10 4 2 2" xfId="34067" xr:uid="{00000000-0005-0000-0000-000013850000}"/>
    <cellStyle name="常规 2 5 10 4 2 3" xfId="34068" xr:uid="{00000000-0005-0000-0000-000014850000}"/>
    <cellStyle name="常规 2 5 10 4 2 4" xfId="34069" xr:uid="{00000000-0005-0000-0000-000015850000}"/>
    <cellStyle name="常规 2 5 10 4 3" xfId="34070" xr:uid="{00000000-0005-0000-0000-000016850000}"/>
    <cellStyle name="常规 2 5 10 4 4" xfId="34071" xr:uid="{00000000-0005-0000-0000-000017850000}"/>
    <cellStyle name="常规 2 5 10 4 5" xfId="34072" xr:uid="{00000000-0005-0000-0000-000018850000}"/>
    <cellStyle name="常规 2 5 10 5" xfId="34073" xr:uid="{00000000-0005-0000-0000-000019850000}"/>
    <cellStyle name="常规 2 5 10 5 2" xfId="34074" xr:uid="{00000000-0005-0000-0000-00001A850000}"/>
    <cellStyle name="常规 2 5 10 5 3" xfId="34075" xr:uid="{00000000-0005-0000-0000-00001B850000}"/>
    <cellStyle name="常规 2 5 10 5 4" xfId="34076" xr:uid="{00000000-0005-0000-0000-00001C850000}"/>
    <cellStyle name="常规 2 5 10 6" xfId="34077" xr:uid="{00000000-0005-0000-0000-00001D850000}"/>
    <cellStyle name="常规 2 5 10 7" xfId="34078" xr:uid="{00000000-0005-0000-0000-00001E850000}"/>
    <cellStyle name="常规 2 5 10 8" xfId="34079" xr:uid="{00000000-0005-0000-0000-00001F850000}"/>
    <cellStyle name="常规 2 5 10 9" xfId="34080" xr:uid="{00000000-0005-0000-0000-000020850000}"/>
    <cellStyle name="常规 2 5 11" xfId="34081" xr:uid="{00000000-0005-0000-0000-000021850000}"/>
    <cellStyle name="常规 2 5 11 2" xfId="34082" xr:uid="{00000000-0005-0000-0000-000022850000}"/>
    <cellStyle name="常规 2 5 11 2 2" xfId="34083" xr:uid="{00000000-0005-0000-0000-000023850000}"/>
    <cellStyle name="常规 2 5 11 2 2 2" xfId="34084" xr:uid="{00000000-0005-0000-0000-000024850000}"/>
    <cellStyle name="常规 2 5 11 2 2 2 2" xfId="34085" xr:uid="{00000000-0005-0000-0000-000025850000}"/>
    <cellStyle name="常规 2 5 11 2 2 2 3" xfId="34086" xr:uid="{00000000-0005-0000-0000-000026850000}"/>
    <cellStyle name="常规 2 5 11 2 2 2 4" xfId="34087" xr:uid="{00000000-0005-0000-0000-000027850000}"/>
    <cellStyle name="常规 2 5 11 2 2 3" xfId="34088" xr:uid="{00000000-0005-0000-0000-000028850000}"/>
    <cellStyle name="常规 2 5 11 2 2 4" xfId="34089" xr:uid="{00000000-0005-0000-0000-000029850000}"/>
    <cellStyle name="常规 2 5 11 2 2 5" xfId="34090" xr:uid="{00000000-0005-0000-0000-00002A850000}"/>
    <cellStyle name="常规 2 5 11 2 3" xfId="34091" xr:uid="{00000000-0005-0000-0000-00002B850000}"/>
    <cellStyle name="常规 2 5 11 2 3 2" xfId="34092" xr:uid="{00000000-0005-0000-0000-00002C850000}"/>
    <cellStyle name="常规 2 5 11 2 3 2 2" xfId="34093" xr:uid="{00000000-0005-0000-0000-00002D850000}"/>
    <cellStyle name="常规 2 5 11 2 3 2 3" xfId="34094" xr:uid="{00000000-0005-0000-0000-00002E850000}"/>
    <cellStyle name="常规 2 5 11 2 3 2 4" xfId="34095" xr:uid="{00000000-0005-0000-0000-00002F850000}"/>
    <cellStyle name="常规 2 5 11 2 3 3" xfId="34096" xr:uid="{00000000-0005-0000-0000-000030850000}"/>
    <cellStyle name="常规 2 5 11 2 3 4" xfId="34097" xr:uid="{00000000-0005-0000-0000-000031850000}"/>
    <cellStyle name="常规 2 5 11 2 3 5" xfId="34098" xr:uid="{00000000-0005-0000-0000-000032850000}"/>
    <cellStyle name="常规 2 5 11 2 4" xfId="34099" xr:uid="{00000000-0005-0000-0000-000033850000}"/>
    <cellStyle name="常规 2 5 11 2 4 2" xfId="34100" xr:uid="{00000000-0005-0000-0000-000034850000}"/>
    <cellStyle name="常规 2 5 11 2 4 3" xfId="34101" xr:uid="{00000000-0005-0000-0000-000035850000}"/>
    <cellStyle name="常规 2 5 11 2 4 4" xfId="34102" xr:uid="{00000000-0005-0000-0000-000036850000}"/>
    <cellStyle name="常规 2 5 11 2 5" xfId="34103" xr:uid="{00000000-0005-0000-0000-000037850000}"/>
    <cellStyle name="常规 2 5 11 2 6" xfId="34104" xr:uid="{00000000-0005-0000-0000-000038850000}"/>
    <cellStyle name="常规 2 5 11 2 7" xfId="34105" xr:uid="{00000000-0005-0000-0000-000039850000}"/>
    <cellStyle name="常规 2 5 11 2 8" xfId="34106" xr:uid="{00000000-0005-0000-0000-00003A850000}"/>
    <cellStyle name="常规 2 5 11 3" xfId="34107" xr:uid="{00000000-0005-0000-0000-00003B850000}"/>
    <cellStyle name="常规 2 5 11 3 2" xfId="34108" xr:uid="{00000000-0005-0000-0000-00003C850000}"/>
    <cellStyle name="常规 2 5 11 3 2 2" xfId="34109" xr:uid="{00000000-0005-0000-0000-00003D850000}"/>
    <cellStyle name="常规 2 5 11 3 2 3" xfId="34110" xr:uid="{00000000-0005-0000-0000-00003E850000}"/>
    <cellStyle name="常规 2 5 11 3 2 4" xfId="34111" xr:uid="{00000000-0005-0000-0000-00003F850000}"/>
    <cellStyle name="常规 2 5 11 3 3" xfId="34112" xr:uid="{00000000-0005-0000-0000-000040850000}"/>
    <cellStyle name="常规 2 5 11 3 4" xfId="34113" xr:uid="{00000000-0005-0000-0000-000041850000}"/>
    <cellStyle name="常规 2 5 11 3 5" xfId="34114" xr:uid="{00000000-0005-0000-0000-000042850000}"/>
    <cellStyle name="常规 2 5 11 4" xfId="34115" xr:uid="{00000000-0005-0000-0000-000043850000}"/>
    <cellStyle name="常规 2 5 11 4 2" xfId="34116" xr:uid="{00000000-0005-0000-0000-000044850000}"/>
    <cellStyle name="常规 2 5 11 4 2 2" xfId="34117" xr:uid="{00000000-0005-0000-0000-000045850000}"/>
    <cellStyle name="常规 2 5 11 4 2 3" xfId="34118" xr:uid="{00000000-0005-0000-0000-000046850000}"/>
    <cellStyle name="常规 2 5 11 4 2 4" xfId="34119" xr:uid="{00000000-0005-0000-0000-000047850000}"/>
    <cellStyle name="常规 2 5 11 4 3" xfId="34120" xr:uid="{00000000-0005-0000-0000-000048850000}"/>
    <cellStyle name="常规 2 5 11 4 4" xfId="34121" xr:uid="{00000000-0005-0000-0000-000049850000}"/>
    <cellStyle name="常规 2 5 11 4 5" xfId="34122" xr:uid="{00000000-0005-0000-0000-00004A850000}"/>
    <cellStyle name="常规 2 5 11 5" xfId="34123" xr:uid="{00000000-0005-0000-0000-00004B850000}"/>
    <cellStyle name="常规 2 5 11 5 2" xfId="34124" xr:uid="{00000000-0005-0000-0000-00004C850000}"/>
    <cellStyle name="常规 2 5 11 5 3" xfId="34125" xr:uid="{00000000-0005-0000-0000-00004D850000}"/>
    <cellStyle name="常规 2 5 11 5 4" xfId="34126" xr:uid="{00000000-0005-0000-0000-00004E850000}"/>
    <cellStyle name="常规 2 5 11 6" xfId="34127" xr:uid="{00000000-0005-0000-0000-00004F850000}"/>
    <cellStyle name="常规 2 5 11 7" xfId="34128" xr:uid="{00000000-0005-0000-0000-000050850000}"/>
    <cellStyle name="常规 2 5 11 8" xfId="34129" xr:uid="{00000000-0005-0000-0000-000051850000}"/>
    <cellStyle name="常规 2 5 11 9" xfId="34130" xr:uid="{00000000-0005-0000-0000-000052850000}"/>
    <cellStyle name="常规 2 5 12" xfId="34131" xr:uid="{00000000-0005-0000-0000-000053850000}"/>
    <cellStyle name="常规 2 5 12 2" xfId="34132" xr:uid="{00000000-0005-0000-0000-000054850000}"/>
    <cellStyle name="常规 2 5 12 2 2" xfId="34133" xr:uid="{00000000-0005-0000-0000-000055850000}"/>
    <cellStyle name="常规 2 5 12 2 2 2" xfId="34134" xr:uid="{00000000-0005-0000-0000-000056850000}"/>
    <cellStyle name="常规 2 5 12 2 2 2 2" xfId="34135" xr:uid="{00000000-0005-0000-0000-000057850000}"/>
    <cellStyle name="常规 2 5 12 2 2 2 3" xfId="34136" xr:uid="{00000000-0005-0000-0000-000058850000}"/>
    <cellStyle name="常规 2 5 12 2 2 2 4" xfId="34137" xr:uid="{00000000-0005-0000-0000-000059850000}"/>
    <cellStyle name="常规 2 5 12 2 2 3" xfId="34138" xr:uid="{00000000-0005-0000-0000-00005A850000}"/>
    <cellStyle name="常规 2 5 12 2 2 4" xfId="34139" xr:uid="{00000000-0005-0000-0000-00005B850000}"/>
    <cellStyle name="常规 2 5 12 2 2 5" xfId="34140" xr:uid="{00000000-0005-0000-0000-00005C850000}"/>
    <cellStyle name="常规 2 5 12 2 3" xfId="34141" xr:uid="{00000000-0005-0000-0000-00005D850000}"/>
    <cellStyle name="常规 2 5 12 2 3 2" xfId="34142" xr:uid="{00000000-0005-0000-0000-00005E850000}"/>
    <cellStyle name="常规 2 5 12 2 3 2 2" xfId="34143" xr:uid="{00000000-0005-0000-0000-00005F850000}"/>
    <cellStyle name="常规 2 5 12 2 3 2 3" xfId="34144" xr:uid="{00000000-0005-0000-0000-000060850000}"/>
    <cellStyle name="常规 2 5 12 2 3 2 4" xfId="34145" xr:uid="{00000000-0005-0000-0000-000061850000}"/>
    <cellStyle name="常规 2 5 12 2 3 3" xfId="34146" xr:uid="{00000000-0005-0000-0000-000062850000}"/>
    <cellStyle name="常规 2 5 12 2 3 4" xfId="34147" xr:uid="{00000000-0005-0000-0000-000063850000}"/>
    <cellStyle name="常规 2 5 12 2 3 5" xfId="34148" xr:uid="{00000000-0005-0000-0000-000064850000}"/>
    <cellStyle name="常规 2 5 12 2 4" xfId="34149" xr:uid="{00000000-0005-0000-0000-000065850000}"/>
    <cellStyle name="常规 2 5 12 2 4 2" xfId="34150" xr:uid="{00000000-0005-0000-0000-000066850000}"/>
    <cellStyle name="常规 2 5 12 2 4 3" xfId="34151" xr:uid="{00000000-0005-0000-0000-000067850000}"/>
    <cellStyle name="常规 2 5 12 2 4 4" xfId="34152" xr:uid="{00000000-0005-0000-0000-000068850000}"/>
    <cellStyle name="常规 2 5 12 2 5" xfId="34153" xr:uid="{00000000-0005-0000-0000-000069850000}"/>
    <cellStyle name="常规 2 5 12 2 6" xfId="34154" xr:uid="{00000000-0005-0000-0000-00006A850000}"/>
    <cellStyle name="常规 2 5 12 2 7" xfId="34155" xr:uid="{00000000-0005-0000-0000-00006B850000}"/>
    <cellStyle name="常规 2 5 12 3" xfId="34156" xr:uid="{00000000-0005-0000-0000-00006C850000}"/>
    <cellStyle name="常规 2 5 12 3 2" xfId="34157" xr:uid="{00000000-0005-0000-0000-00006D850000}"/>
    <cellStyle name="常规 2 5 12 3 2 2" xfId="34158" xr:uid="{00000000-0005-0000-0000-00006E850000}"/>
    <cellStyle name="常规 2 5 12 3 2 3" xfId="34159" xr:uid="{00000000-0005-0000-0000-00006F850000}"/>
    <cellStyle name="常规 2 5 12 3 2 4" xfId="34160" xr:uid="{00000000-0005-0000-0000-000070850000}"/>
    <cellStyle name="常规 2 5 12 3 3" xfId="34161" xr:uid="{00000000-0005-0000-0000-000071850000}"/>
    <cellStyle name="常规 2 5 12 3 4" xfId="34162" xr:uid="{00000000-0005-0000-0000-000072850000}"/>
    <cellStyle name="常规 2 5 12 3 5" xfId="34163" xr:uid="{00000000-0005-0000-0000-000073850000}"/>
    <cellStyle name="常规 2 5 12 4" xfId="34164" xr:uid="{00000000-0005-0000-0000-000074850000}"/>
    <cellStyle name="常规 2 5 12 4 2" xfId="34165" xr:uid="{00000000-0005-0000-0000-000075850000}"/>
    <cellStyle name="常规 2 5 12 4 2 2" xfId="34166" xr:uid="{00000000-0005-0000-0000-000076850000}"/>
    <cellStyle name="常规 2 5 12 4 2 3" xfId="34167" xr:uid="{00000000-0005-0000-0000-000077850000}"/>
    <cellStyle name="常规 2 5 12 4 2 4" xfId="34168" xr:uid="{00000000-0005-0000-0000-000078850000}"/>
    <cellStyle name="常规 2 5 12 4 3" xfId="34169" xr:uid="{00000000-0005-0000-0000-000079850000}"/>
    <cellStyle name="常规 2 5 12 4 4" xfId="34170" xr:uid="{00000000-0005-0000-0000-00007A850000}"/>
    <cellStyle name="常规 2 5 12 4 5" xfId="34171" xr:uid="{00000000-0005-0000-0000-00007B850000}"/>
    <cellStyle name="常规 2 5 12 5" xfId="34172" xr:uid="{00000000-0005-0000-0000-00007C850000}"/>
    <cellStyle name="常规 2 5 12 5 2" xfId="34173" xr:uid="{00000000-0005-0000-0000-00007D850000}"/>
    <cellStyle name="常规 2 5 12 5 3" xfId="34174" xr:uid="{00000000-0005-0000-0000-00007E850000}"/>
    <cellStyle name="常规 2 5 12 5 4" xfId="34175" xr:uid="{00000000-0005-0000-0000-00007F850000}"/>
    <cellStyle name="常规 2 5 12 6" xfId="34176" xr:uid="{00000000-0005-0000-0000-000080850000}"/>
    <cellStyle name="常规 2 5 12 7" xfId="34177" xr:uid="{00000000-0005-0000-0000-000081850000}"/>
    <cellStyle name="常规 2 5 12 8" xfId="34178" xr:uid="{00000000-0005-0000-0000-000082850000}"/>
    <cellStyle name="常规 2 5 13" xfId="34179" xr:uid="{00000000-0005-0000-0000-000083850000}"/>
    <cellStyle name="常规 2 5 13 2" xfId="34180" xr:uid="{00000000-0005-0000-0000-000084850000}"/>
    <cellStyle name="常规 2 5 13 2 2" xfId="34181" xr:uid="{00000000-0005-0000-0000-000085850000}"/>
    <cellStyle name="常规 2 5 13 2 2 2" xfId="34182" xr:uid="{00000000-0005-0000-0000-000086850000}"/>
    <cellStyle name="常规 2 5 13 2 2 2 2" xfId="34183" xr:uid="{00000000-0005-0000-0000-000087850000}"/>
    <cellStyle name="常规 2 5 13 2 2 2 3" xfId="34184" xr:uid="{00000000-0005-0000-0000-000088850000}"/>
    <cellStyle name="常规 2 5 13 2 2 2 4" xfId="34185" xr:uid="{00000000-0005-0000-0000-000089850000}"/>
    <cellStyle name="常规 2 5 13 2 2 3" xfId="34186" xr:uid="{00000000-0005-0000-0000-00008A850000}"/>
    <cellStyle name="常规 2 5 13 2 2 4" xfId="34187" xr:uid="{00000000-0005-0000-0000-00008B850000}"/>
    <cellStyle name="常规 2 5 13 2 2 5" xfId="34188" xr:uid="{00000000-0005-0000-0000-00008C850000}"/>
    <cellStyle name="常规 2 5 13 2 3" xfId="34189" xr:uid="{00000000-0005-0000-0000-00008D850000}"/>
    <cellStyle name="常规 2 5 13 2 3 2" xfId="34190" xr:uid="{00000000-0005-0000-0000-00008E850000}"/>
    <cellStyle name="常规 2 5 13 2 3 2 2" xfId="34191" xr:uid="{00000000-0005-0000-0000-00008F850000}"/>
    <cellStyle name="常规 2 5 13 2 3 2 3" xfId="34192" xr:uid="{00000000-0005-0000-0000-000090850000}"/>
    <cellStyle name="常规 2 5 13 2 3 2 4" xfId="34193" xr:uid="{00000000-0005-0000-0000-000091850000}"/>
    <cellStyle name="常规 2 5 13 2 3 3" xfId="34194" xr:uid="{00000000-0005-0000-0000-000092850000}"/>
    <cellStyle name="常规 2 5 13 2 3 4" xfId="34195" xr:uid="{00000000-0005-0000-0000-000093850000}"/>
    <cellStyle name="常规 2 5 13 2 3 5" xfId="34196" xr:uid="{00000000-0005-0000-0000-000094850000}"/>
    <cellStyle name="常规 2 5 13 2 4" xfId="34197" xr:uid="{00000000-0005-0000-0000-000095850000}"/>
    <cellStyle name="常规 2 5 13 2 4 2" xfId="34198" xr:uid="{00000000-0005-0000-0000-000096850000}"/>
    <cellStyle name="常规 2 5 13 2 4 3" xfId="34199" xr:uid="{00000000-0005-0000-0000-000097850000}"/>
    <cellStyle name="常规 2 5 13 2 4 4" xfId="34200" xr:uid="{00000000-0005-0000-0000-000098850000}"/>
    <cellStyle name="常规 2 5 13 2 5" xfId="34201" xr:uid="{00000000-0005-0000-0000-000099850000}"/>
    <cellStyle name="常规 2 5 13 2 6" xfId="34202" xr:uid="{00000000-0005-0000-0000-00009A850000}"/>
    <cellStyle name="常规 2 5 13 2 7" xfId="34203" xr:uid="{00000000-0005-0000-0000-00009B850000}"/>
    <cellStyle name="常规 2 5 13 3" xfId="34204" xr:uid="{00000000-0005-0000-0000-00009C850000}"/>
    <cellStyle name="常规 2 5 13 3 2" xfId="34205" xr:uid="{00000000-0005-0000-0000-00009D850000}"/>
    <cellStyle name="常规 2 5 13 3 2 2" xfId="34206" xr:uid="{00000000-0005-0000-0000-00009E850000}"/>
    <cellStyle name="常规 2 5 13 3 2 3" xfId="34207" xr:uid="{00000000-0005-0000-0000-00009F850000}"/>
    <cellStyle name="常规 2 5 13 3 2 4" xfId="34208" xr:uid="{00000000-0005-0000-0000-0000A0850000}"/>
    <cellStyle name="常规 2 5 13 3 3" xfId="34209" xr:uid="{00000000-0005-0000-0000-0000A1850000}"/>
    <cellStyle name="常规 2 5 13 3 4" xfId="34210" xr:uid="{00000000-0005-0000-0000-0000A2850000}"/>
    <cellStyle name="常规 2 5 13 3 5" xfId="34211" xr:uid="{00000000-0005-0000-0000-0000A3850000}"/>
    <cellStyle name="常规 2 5 13 4" xfId="34212" xr:uid="{00000000-0005-0000-0000-0000A4850000}"/>
    <cellStyle name="常规 2 5 13 4 2" xfId="34213" xr:uid="{00000000-0005-0000-0000-0000A5850000}"/>
    <cellStyle name="常规 2 5 13 4 2 2" xfId="34214" xr:uid="{00000000-0005-0000-0000-0000A6850000}"/>
    <cellStyle name="常规 2 5 13 4 2 3" xfId="34215" xr:uid="{00000000-0005-0000-0000-0000A7850000}"/>
    <cellStyle name="常规 2 5 13 4 2 4" xfId="34216" xr:uid="{00000000-0005-0000-0000-0000A8850000}"/>
    <cellStyle name="常规 2 5 13 4 3" xfId="34217" xr:uid="{00000000-0005-0000-0000-0000A9850000}"/>
    <cellStyle name="常规 2 5 13 4 4" xfId="34218" xr:uid="{00000000-0005-0000-0000-0000AA850000}"/>
    <cellStyle name="常规 2 5 13 4 5" xfId="34219" xr:uid="{00000000-0005-0000-0000-0000AB850000}"/>
    <cellStyle name="常规 2 5 13 5" xfId="34220" xr:uid="{00000000-0005-0000-0000-0000AC850000}"/>
    <cellStyle name="常规 2 5 13 5 2" xfId="34221" xr:uid="{00000000-0005-0000-0000-0000AD850000}"/>
    <cellStyle name="常规 2 5 13 5 3" xfId="34222" xr:uid="{00000000-0005-0000-0000-0000AE850000}"/>
    <cellStyle name="常规 2 5 13 5 4" xfId="34223" xr:uid="{00000000-0005-0000-0000-0000AF850000}"/>
    <cellStyle name="常规 2 5 13 6" xfId="34224" xr:uid="{00000000-0005-0000-0000-0000B0850000}"/>
    <cellStyle name="常规 2 5 13 7" xfId="34225" xr:uid="{00000000-0005-0000-0000-0000B1850000}"/>
    <cellStyle name="常规 2 5 13 8" xfId="34226" xr:uid="{00000000-0005-0000-0000-0000B2850000}"/>
    <cellStyle name="常规 2 5 14" xfId="34227" xr:uid="{00000000-0005-0000-0000-0000B3850000}"/>
    <cellStyle name="常规 2 5 14 2" xfId="34228" xr:uid="{00000000-0005-0000-0000-0000B4850000}"/>
    <cellStyle name="常规 2 5 14 2 2" xfId="34229" xr:uid="{00000000-0005-0000-0000-0000B5850000}"/>
    <cellStyle name="常规 2 5 14 2 2 2" xfId="34230" xr:uid="{00000000-0005-0000-0000-0000B6850000}"/>
    <cellStyle name="常规 2 5 14 2 2 2 2" xfId="34231" xr:uid="{00000000-0005-0000-0000-0000B7850000}"/>
    <cellStyle name="常规 2 5 14 2 2 2 3" xfId="34232" xr:uid="{00000000-0005-0000-0000-0000B8850000}"/>
    <cellStyle name="常规 2 5 14 2 2 2 4" xfId="34233" xr:uid="{00000000-0005-0000-0000-0000B9850000}"/>
    <cellStyle name="常规 2 5 14 2 2 3" xfId="34234" xr:uid="{00000000-0005-0000-0000-0000BA850000}"/>
    <cellStyle name="常规 2 5 14 2 2 4" xfId="34235" xr:uid="{00000000-0005-0000-0000-0000BB850000}"/>
    <cellStyle name="常规 2 5 14 2 2 5" xfId="34236" xr:uid="{00000000-0005-0000-0000-0000BC850000}"/>
    <cellStyle name="常规 2 5 14 2 3" xfId="34237" xr:uid="{00000000-0005-0000-0000-0000BD850000}"/>
    <cellStyle name="常规 2 5 14 2 3 2" xfId="34238" xr:uid="{00000000-0005-0000-0000-0000BE850000}"/>
    <cellStyle name="常规 2 5 14 2 3 2 2" xfId="34239" xr:uid="{00000000-0005-0000-0000-0000BF850000}"/>
    <cellStyle name="常规 2 5 14 2 3 2 3" xfId="34240" xr:uid="{00000000-0005-0000-0000-0000C0850000}"/>
    <cellStyle name="常规 2 5 14 2 3 2 4" xfId="34241" xr:uid="{00000000-0005-0000-0000-0000C1850000}"/>
    <cellStyle name="常规 2 5 14 2 3 3" xfId="34242" xr:uid="{00000000-0005-0000-0000-0000C2850000}"/>
    <cellStyle name="常规 2 5 14 2 3 4" xfId="34243" xr:uid="{00000000-0005-0000-0000-0000C3850000}"/>
    <cellStyle name="常规 2 5 14 2 3 5" xfId="34244" xr:uid="{00000000-0005-0000-0000-0000C4850000}"/>
    <cellStyle name="常规 2 5 14 2 4" xfId="34245" xr:uid="{00000000-0005-0000-0000-0000C5850000}"/>
    <cellStyle name="常规 2 5 14 2 4 2" xfId="34246" xr:uid="{00000000-0005-0000-0000-0000C6850000}"/>
    <cellStyle name="常规 2 5 14 2 4 3" xfId="34247" xr:uid="{00000000-0005-0000-0000-0000C7850000}"/>
    <cellStyle name="常规 2 5 14 2 4 4" xfId="34248" xr:uid="{00000000-0005-0000-0000-0000C8850000}"/>
    <cellStyle name="常规 2 5 14 2 5" xfId="34249" xr:uid="{00000000-0005-0000-0000-0000C9850000}"/>
    <cellStyle name="常规 2 5 14 2 6" xfId="34250" xr:uid="{00000000-0005-0000-0000-0000CA850000}"/>
    <cellStyle name="常规 2 5 14 2 7" xfId="34251" xr:uid="{00000000-0005-0000-0000-0000CB850000}"/>
    <cellStyle name="常规 2 5 14 3" xfId="34252" xr:uid="{00000000-0005-0000-0000-0000CC850000}"/>
    <cellStyle name="常规 2 5 14 3 2" xfId="34253" xr:uid="{00000000-0005-0000-0000-0000CD850000}"/>
    <cellStyle name="常规 2 5 14 3 2 2" xfId="34254" xr:uid="{00000000-0005-0000-0000-0000CE850000}"/>
    <cellStyle name="常规 2 5 14 3 2 3" xfId="34255" xr:uid="{00000000-0005-0000-0000-0000CF850000}"/>
    <cellStyle name="常规 2 5 14 3 2 4" xfId="34256" xr:uid="{00000000-0005-0000-0000-0000D0850000}"/>
    <cellStyle name="常规 2 5 14 3 3" xfId="34257" xr:uid="{00000000-0005-0000-0000-0000D1850000}"/>
    <cellStyle name="常规 2 5 14 3 4" xfId="34258" xr:uid="{00000000-0005-0000-0000-0000D2850000}"/>
    <cellStyle name="常规 2 5 14 3 5" xfId="34259" xr:uid="{00000000-0005-0000-0000-0000D3850000}"/>
    <cellStyle name="常规 2 5 14 4" xfId="34260" xr:uid="{00000000-0005-0000-0000-0000D4850000}"/>
    <cellStyle name="常规 2 5 14 4 2" xfId="34261" xr:uid="{00000000-0005-0000-0000-0000D5850000}"/>
    <cellStyle name="常规 2 5 14 4 2 2" xfId="34262" xr:uid="{00000000-0005-0000-0000-0000D6850000}"/>
    <cellStyle name="常规 2 5 14 4 2 3" xfId="34263" xr:uid="{00000000-0005-0000-0000-0000D7850000}"/>
    <cellStyle name="常规 2 5 14 4 2 4" xfId="34264" xr:uid="{00000000-0005-0000-0000-0000D8850000}"/>
    <cellStyle name="常规 2 5 14 4 3" xfId="34265" xr:uid="{00000000-0005-0000-0000-0000D9850000}"/>
    <cellStyle name="常规 2 5 14 4 4" xfId="34266" xr:uid="{00000000-0005-0000-0000-0000DA850000}"/>
    <cellStyle name="常规 2 5 14 4 5" xfId="34267" xr:uid="{00000000-0005-0000-0000-0000DB850000}"/>
    <cellStyle name="常规 2 5 14 5" xfId="34268" xr:uid="{00000000-0005-0000-0000-0000DC850000}"/>
    <cellStyle name="常规 2 5 14 5 2" xfId="34269" xr:uid="{00000000-0005-0000-0000-0000DD850000}"/>
    <cellStyle name="常规 2 5 14 5 3" xfId="34270" xr:uid="{00000000-0005-0000-0000-0000DE850000}"/>
    <cellStyle name="常规 2 5 14 5 4" xfId="34271" xr:uid="{00000000-0005-0000-0000-0000DF850000}"/>
    <cellStyle name="常规 2 5 14 6" xfId="34272" xr:uid="{00000000-0005-0000-0000-0000E0850000}"/>
    <cellStyle name="常规 2 5 14 7" xfId="34273" xr:uid="{00000000-0005-0000-0000-0000E1850000}"/>
    <cellStyle name="常规 2 5 14 8" xfId="34274" xr:uid="{00000000-0005-0000-0000-0000E2850000}"/>
    <cellStyle name="常规 2 5 15" xfId="34275" xr:uid="{00000000-0005-0000-0000-0000E3850000}"/>
    <cellStyle name="常规 2 5 15 2" xfId="34276" xr:uid="{00000000-0005-0000-0000-0000E4850000}"/>
    <cellStyle name="常规 2 5 15 2 2" xfId="34277" xr:uid="{00000000-0005-0000-0000-0000E5850000}"/>
    <cellStyle name="常规 2 5 15 2 3" xfId="34278" xr:uid="{00000000-0005-0000-0000-0000E6850000}"/>
    <cellStyle name="常规 2 5 15 2 4" xfId="34279" xr:uid="{00000000-0005-0000-0000-0000E7850000}"/>
    <cellStyle name="常规 2 5 15 3" xfId="34280" xr:uid="{00000000-0005-0000-0000-0000E8850000}"/>
    <cellStyle name="常规 2 5 15 4" xfId="34281" xr:uid="{00000000-0005-0000-0000-0000E9850000}"/>
    <cellStyle name="常规 2 5 15 5" xfId="34282" xr:uid="{00000000-0005-0000-0000-0000EA850000}"/>
    <cellStyle name="常规 2 5 16" xfId="34283" xr:uid="{00000000-0005-0000-0000-0000EB850000}"/>
    <cellStyle name="常规 2 5 16 2" xfId="34284" xr:uid="{00000000-0005-0000-0000-0000EC850000}"/>
    <cellStyle name="常规 2 5 16 2 2" xfId="34285" xr:uid="{00000000-0005-0000-0000-0000ED850000}"/>
    <cellStyle name="常规 2 5 16 2 3" xfId="34286" xr:uid="{00000000-0005-0000-0000-0000EE850000}"/>
    <cellStyle name="常规 2 5 16 2 4" xfId="34287" xr:uid="{00000000-0005-0000-0000-0000EF850000}"/>
    <cellStyle name="常规 2 5 16 3" xfId="34288" xr:uid="{00000000-0005-0000-0000-0000F0850000}"/>
    <cellStyle name="常规 2 5 16 4" xfId="34289" xr:uid="{00000000-0005-0000-0000-0000F1850000}"/>
    <cellStyle name="常规 2 5 16 5" xfId="34290" xr:uid="{00000000-0005-0000-0000-0000F2850000}"/>
    <cellStyle name="常规 2 5 17" xfId="34291" xr:uid="{00000000-0005-0000-0000-0000F3850000}"/>
    <cellStyle name="常规 2 5 17 2" xfId="34292" xr:uid="{00000000-0005-0000-0000-0000F4850000}"/>
    <cellStyle name="常规 2 5 17 3" xfId="34293" xr:uid="{00000000-0005-0000-0000-0000F5850000}"/>
    <cellStyle name="常规 2 5 17 4" xfId="34294" xr:uid="{00000000-0005-0000-0000-0000F6850000}"/>
    <cellStyle name="常规 2 5 18" xfId="34295" xr:uid="{00000000-0005-0000-0000-0000F7850000}"/>
    <cellStyle name="常规 2 5 19" xfId="34296" xr:uid="{00000000-0005-0000-0000-0000F8850000}"/>
    <cellStyle name="常规 2 5 2" xfId="34297" xr:uid="{00000000-0005-0000-0000-0000F9850000}"/>
    <cellStyle name="常规 2 5 2 10" xfId="34298" xr:uid="{00000000-0005-0000-0000-0000FA850000}"/>
    <cellStyle name="常规 2 5 2 10 2" xfId="34299" xr:uid="{00000000-0005-0000-0000-0000FB850000}"/>
    <cellStyle name="常规 2 5 2 11" xfId="34300" xr:uid="{00000000-0005-0000-0000-0000FC850000}"/>
    <cellStyle name="常规 2 5 2 12" xfId="34301" xr:uid="{00000000-0005-0000-0000-0000FD850000}"/>
    <cellStyle name="常规 2 5 2 12 2" xfId="34302" xr:uid="{00000000-0005-0000-0000-0000FE850000}"/>
    <cellStyle name="常规 2 5 2 2" xfId="34303" xr:uid="{00000000-0005-0000-0000-0000FF850000}"/>
    <cellStyle name="常规 2 5 2 2 10" xfId="34304" xr:uid="{00000000-0005-0000-0000-000000860000}"/>
    <cellStyle name="常规 2 5 2 2 11" xfId="34305" xr:uid="{00000000-0005-0000-0000-000001860000}"/>
    <cellStyle name="常规 2 5 2 2 11 2" xfId="34306" xr:uid="{00000000-0005-0000-0000-000002860000}"/>
    <cellStyle name="常规 2 5 2 2 2" xfId="34307" xr:uid="{00000000-0005-0000-0000-000003860000}"/>
    <cellStyle name="常规 2 5 2 2 2 10" xfId="34308" xr:uid="{00000000-0005-0000-0000-000004860000}"/>
    <cellStyle name="常规 2 5 2 2 2 10 2" xfId="34309" xr:uid="{00000000-0005-0000-0000-000005860000}"/>
    <cellStyle name="常规 2 5 2 2 2 10 3" xfId="34310" xr:uid="{00000000-0005-0000-0000-000006860000}"/>
    <cellStyle name="常规 2 5 2 2 2 2" xfId="34311" xr:uid="{00000000-0005-0000-0000-000007860000}"/>
    <cellStyle name="常规 2 5 2 2 2 2 2" xfId="34312" xr:uid="{00000000-0005-0000-0000-000008860000}"/>
    <cellStyle name="常规 2 5 2 2 2 2 2 2" xfId="34313" xr:uid="{00000000-0005-0000-0000-000009860000}"/>
    <cellStyle name="常规 2 5 2 2 2 2 2 3" xfId="34314" xr:uid="{00000000-0005-0000-0000-00000A860000}"/>
    <cellStyle name="常规 2 5 2 2 2 2 2 4" xfId="34315" xr:uid="{00000000-0005-0000-0000-00000B860000}"/>
    <cellStyle name="常规 2 5 2 2 2 2 2 5" xfId="34316" xr:uid="{00000000-0005-0000-0000-00000C860000}"/>
    <cellStyle name="常规 2 5 2 2 2 2 2 5 2" xfId="34317" xr:uid="{00000000-0005-0000-0000-00000D860000}"/>
    <cellStyle name="常规 2 5 2 2 2 2 3" xfId="34318" xr:uid="{00000000-0005-0000-0000-00000E860000}"/>
    <cellStyle name="常规 2 5 2 2 2 2 3 2" xfId="34319" xr:uid="{00000000-0005-0000-0000-00000F860000}"/>
    <cellStyle name="常规 2 5 2 2 2 2 3 2 2" xfId="34320" xr:uid="{00000000-0005-0000-0000-000010860000}"/>
    <cellStyle name="常规 2 5 2 2 2 2 4" xfId="34321" xr:uid="{00000000-0005-0000-0000-000011860000}"/>
    <cellStyle name="常规 2 5 2 2 2 2 4 2" xfId="34322" xr:uid="{00000000-0005-0000-0000-000012860000}"/>
    <cellStyle name="常规 2 5 2 2 2 2 4 2 2" xfId="34323" xr:uid="{00000000-0005-0000-0000-000013860000}"/>
    <cellStyle name="常规 2 5 2 2 2 2 4 3" xfId="34324" xr:uid="{00000000-0005-0000-0000-000014860000}"/>
    <cellStyle name="常规 2 5 2 2 2 2 5" xfId="34325" xr:uid="{00000000-0005-0000-0000-000015860000}"/>
    <cellStyle name="常规 2 5 2 2 2 2 5 2" xfId="34326" xr:uid="{00000000-0005-0000-0000-000016860000}"/>
    <cellStyle name="常规 2 5 2 2 2 2 5 3" xfId="34327" xr:uid="{00000000-0005-0000-0000-000017860000}"/>
    <cellStyle name="常规 2 5 2 2 2 2 6" xfId="34328" xr:uid="{00000000-0005-0000-0000-000018860000}"/>
    <cellStyle name="常规 2 5 2 2 2 2 6 2" xfId="34329" xr:uid="{00000000-0005-0000-0000-000019860000}"/>
    <cellStyle name="常规 2 5 2 2 2 2 7" xfId="34330" xr:uid="{00000000-0005-0000-0000-00001A860000}"/>
    <cellStyle name="常规 2 5 2 2 2 3" xfId="34331" xr:uid="{00000000-0005-0000-0000-00001B860000}"/>
    <cellStyle name="常规 2 5 2 2 2 3 2" xfId="34332" xr:uid="{00000000-0005-0000-0000-00001C860000}"/>
    <cellStyle name="常规 2 5 2 2 2 3 2 2" xfId="34333" xr:uid="{00000000-0005-0000-0000-00001D860000}"/>
    <cellStyle name="常规 2 5 2 2 2 3 2 2 2" xfId="34334" xr:uid="{00000000-0005-0000-0000-00001E860000}"/>
    <cellStyle name="常规 2 5 2 2 2 3 2 3" xfId="34335" xr:uid="{00000000-0005-0000-0000-00001F860000}"/>
    <cellStyle name="常规 2 5 2 2 2 3 2 4" xfId="34336" xr:uid="{00000000-0005-0000-0000-000020860000}"/>
    <cellStyle name="常规 2 5 2 2 2 3 2 5" xfId="34337" xr:uid="{00000000-0005-0000-0000-000021860000}"/>
    <cellStyle name="常规 2 5 2 2 2 3 2 5 2" xfId="34338" xr:uid="{00000000-0005-0000-0000-000022860000}"/>
    <cellStyle name="常规 2 5 2 2 2 3 2 6" xfId="34339" xr:uid="{00000000-0005-0000-0000-000023860000}"/>
    <cellStyle name="常规 2 5 2 2 2 3 3" xfId="34340" xr:uid="{00000000-0005-0000-0000-000024860000}"/>
    <cellStyle name="常规 2 5 2 2 2 3 3 2" xfId="34341" xr:uid="{00000000-0005-0000-0000-000025860000}"/>
    <cellStyle name="常规 2 5 2 2 2 3 3 2 2" xfId="34342" xr:uid="{00000000-0005-0000-0000-000026860000}"/>
    <cellStyle name="常规 2 5 2 2 2 3 4" xfId="34343" xr:uid="{00000000-0005-0000-0000-000027860000}"/>
    <cellStyle name="常规 2 5 2 2 2 3 4 2" xfId="34344" xr:uid="{00000000-0005-0000-0000-000028860000}"/>
    <cellStyle name="常规 2 5 2 2 2 3 4 3" xfId="34345" xr:uid="{00000000-0005-0000-0000-000029860000}"/>
    <cellStyle name="常规 2 5 2 2 2 3 5" xfId="34346" xr:uid="{00000000-0005-0000-0000-00002A860000}"/>
    <cellStyle name="常规 2 5 2 2 2 3 5 2" xfId="34347" xr:uid="{00000000-0005-0000-0000-00002B860000}"/>
    <cellStyle name="常规 2 5 2 2 2 3 6" xfId="34348" xr:uid="{00000000-0005-0000-0000-00002C860000}"/>
    <cellStyle name="常规 2 5 2 2 2 3 6 2" xfId="34349" xr:uid="{00000000-0005-0000-0000-00002D860000}"/>
    <cellStyle name="常规 2 5 2 2 2 3 7" xfId="34350" xr:uid="{00000000-0005-0000-0000-00002E860000}"/>
    <cellStyle name="常规 2 5 2 2 2 4" xfId="34351" xr:uid="{00000000-0005-0000-0000-00002F860000}"/>
    <cellStyle name="常规 2 5 2 2 2 4 2" xfId="34352" xr:uid="{00000000-0005-0000-0000-000030860000}"/>
    <cellStyle name="常规 2 5 2 2 2 4 2 2" xfId="34353" xr:uid="{00000000-0005-0000-0000-000031860000}"/>
    <cellStyle name="常规 2 5 2 2 2 4 2 2 2" xfId="34354" xr:uid="{00000000-0005-0000-0000-000032860000}"/>
    <cellStyle name="常规 2 5 2 2 2 4 2 3" xfId="34355" xr:uid="{00000000-0005-0000-0000-000033860000}"/>
    <cellStyle name="常规 2 5 2 2 2 4 3" xfId="34356" xr:uid="{00000000-0005-0000-0000-000034860000}"/>
    <cellStyle name="常规 2 5 2 2 2 4 3 2" xfId="34357" xr:uid="{00000000-0005-0000-0000-000035860000}"/>
    <cellStyle name="常规 2 5 2 2 2 4 3 2 2" xfId="34358" xr:uid="{00000000-0005-0000-0000-000036860000}"/>
    <cellStyle name="常规 2 5 2 2 2 4 4" xfId="34359" xr:uid="{00000000-0005-0000-0000-000037860000}"/>
    <cellStyle name="常规 2 5 2 2 2 4 4 2" xfId="34360" xr:uid="{00000000-0005-0000-0000-000038860000}"/>
    <cellStyle name="常规 2 5 2 2 2 4 4 3" xfId="34361" xr:uid="{00000000-0005-0000-0000-000039860000}"/>
    <cellStyle name="常规 2 5 2 2 2 4 5" xfId="34362" xr:uid="{00000000-0005-0000-0000-00003A860000}"/>
    <cellStyle name="常规 2 5 2 2 2 4 5 2" xfId="34363" xr:uid="{00000000-0005-0000-0000-00003B860000}"/>
    <cellStyle name="常规 2 5 2 2 2 4 6" xfId="34364" xr:uid="{00000000-0005-0000-0000-00003C860000}"/>
    <cellStyle name="常规 2 5 2 2 2 5" xfId="34365" xr:uid="{00000000-0005-0000-0000-00003D860000}"/>
    <cellStyle name="常规 2 5 2 2 2 5 2" xfId="34366" xr:uid="{00000000-0005-0000-0000-00003E860000}"/>
    <cellStyle name="常规 2 5 2 2 2 5 2 2" xfId="34367" xr:uid="{00000000-0005-0000-0000-00003F860000}"/>
    <cellStyle name="常规 2 5 2 2 2 6" xfId="34368" xr:uid="{00000000-0005-0000-0000-000040860000}"/>
    <cellStyle name="常规 2 5 2 2 2 6 2" xfId="34369" xr:uid="{00000000-0005-0000-0000-000041860000}"/>
    <cellStyle name="常规 2 5 2 2 2 6 2 2" xfId="34370" xr:uid="{00000000-0005-0000-0000-000042860000}"/>
    <cellStyle name="常规 2 5 2 2 2 7" xfId="34371" xr:uid="{00000000-0005-0000-0000-000043860000}"/>
    <cellStyle name="常规 2 5 2 2 2 7 2" xfId="34372" xr:uid="{00000000-0005-0000-0000-000044860000}"/>
    <cellStyle name="常规 2 5 2 2 2 7 2 2" xfId="34373" xr:uid="{00000000-0005-0000-0000-000045860000}"/>
    <cellStyle name="常规 2 5 2 2 2 8" xfId="34374" xr:uid="{00000000-0005-0000-0000-000046860000}"/>
    <cellStyle name="常规 2 5 2 2 2 8 2" xfId="34375" xr:uid="{00000000-0005-0000-0000-000047860000}"/>
    <cellStyle name="常规 2 5 2 2 2 8 2 2" xfId="34376" xr:uid="{00000000-0005-0000-0000-000048860000}"/>
    <cellStyle name="常规 2 5 2 2 2 9" xfId="34377" xr:uid="{00000000-0005-0000-0000-000049860000}"/>
    <cellStyle name="常规 2 5 2 2 2 9 2" xfId="34378" xr:uid="{00000000-0005-0000-0000-00004A860000}"/>
    <cellStyle name="常规 2 5 2 2 2 9 3" xfId="34379" xr:uid="{00000000-0005-0000-0000-00004B860000}"/>
    <cellStyle name="常规 2 5 2 2 3" xfId="34380" xr:uid="{00000000-0005-0000-0000-00004C860000}"/>
    <cellStyle name="常规 2 5 2 2 3 2" xfId="34381" xr:uid="{00000000-0005-0000-0000-00004D860000}"/>
    <cellStyle name="常规 2 5 2 2 3 2 2" xfId="34382" xr:uid="{00000000-0005-0000-0000-00004E860000}"/>
    <cellStyle name="常规 2 5 2 2 3 2 3" xfId="34383" xr:uid="{00000000-0005-0000-0000-00004F860000}"/>
    <cellStyle name="常规 2 5 2 2 3 2 4" xfId="34384" xr:uid="{00000000-0005-0000-0000-000050860000}"/>
    <cellStyle name="常规 2 5 2 2 3 2 5" xfId="34385" xr:uid="{00000000-0005-0000-0000-000051860000}"/>
    <cellStyle name="常规 2 5 2 2 3 2 5 2" xfId="34386" xr:uid="{00000000-0005-0000-0000-000052860000}"/>
    <cellStyle name="常规 2 5 2 2 3 3" xfId="34387" xr:uid="{00000000-0005-0000-0000-000053860000}"/>
    <cellStyle name="常规 2 5 2 2 3 3 2" xfId="34388" xr:uid="{00000000-0005-0000-0000-000054860000}"/>
    <cellStyle name="常规 2 5 2 2 3 3 2 2" xfId="34389" xr:uid="{00000000-0005-0000-0000-000055860000}"/>
    <cellStyle name="常规 2 5 2 2 3 4" xfId="34390" xr:uid="{00000000-0005-0000-0000-000056860000}"/>
    <cellStyle name="常规 2 5 2 2 3 4 2" xfId="34391" xr:uid="{00000000-0005-0000-0000-000057860000}"/>
    <cellStyle name="常规 2 5 2 2 3 4 2 2" xfId="34392" xr:uid="{00000000-0005-0000-0000-000058860000}"/>
    <cellStyle name="常规 2 5 2 2 3 4 3" xfId="34393" xr:uid="{00000000-0005-0000-0000-000059860000}"/>
    <cellStyle name="常规 2 5 2 2 3 4 3 2" xfId="34394" xr:uid="{00000000-0005-0000-0000-00005A860000}"/>
    <cellStyle name="常规 2 5 2 2 3 5" xfId="34395" xr:uid="{00000000-0005-0000-0000-00005B860000}"/>
    <cellStyle name="常规 2 5 2 2 3 5 2" xfId="34396" xr:uid="{00000000-0005-0000-0000-00005C860000}"/>
    <cellStyle name="常规 2 5 2 2 3 5 3" xfId="34397" xr:uid="{00000000-0005-0000-0000-00005D860000}"/>
    <cellStyle name="常规 2 5 2 2 3 6" xfId="34398" xr:uid="{00000000-0005-0000-0000-00005E860000}"/>
    <cellStyle name="常规 2 5 2 2 3 6 2" xfId="34399" xr:uid="{00000000-0005-0000-0000-00005F860000}"/>
    <cellStyle name="常规 2 5 2 2 3 7" xfId="34400" xr:uid="{00000000-0005-0000-0000-000060860000}"/>
    <cellStyle name="常规 2 5 2 2 4" xfId="34401" xr:uid="{00000000-0005-0000-0000-000061860000}"/>
    <cellStyle name="常规 2 5 2 2 4 2" xfId="34402" xr:uid="{00000000-0005-0000-0000-000062860000}"/>
    <cellStyle name="常规 2 5 2 2 4 2 2" xfId="34403" xr:uid="{00000000-0005-0000-0000-000063860000}"/>
    <cellStyle name="常规 2 5 2 2 4 2 2 2" xfId="34404" xr:uid="{00000000-0005-0000-0000-000064860000}"/>
    <cellStyle name="常规 2 5 2 2 4 2 3" xfId="34405" xr:uid="{00000000-0005-0000-0000-000065860000}"/>
    <cellStyle name="常规 2 5 2 2 4 2 4" xfId="34406" xr:uid="{00000000-0005-0000-0000-000066860000}"/>
    <cellStyle name="常规 2 5 2 2 4 2 5" xfId="34407" xr:uid="{00000000-0005-0000-0000-000067860000}"/>
    <cellStyle name="常规 2 5 2 2 4 2 5 2" xfId="34408" xr:uid="{00000000-0005-0000-0000-000068860000}"/>
    <cellStyle name="常规 2 5 2 2 4 2 6" xfId="34409" xr:uid="{00000000-0005-0000-0000-000069860000}"/>
    <cellStyle name="常规 2 5 2 2 4 3" xfId="34410" xr:uid="{00000000-0005-0000-0000-00006A860000}"/>
    <cellStyle name="常规 2 5 2 2 4 3 2" xfId="34411" xr:uid="{00000000-0005-0000-0000-00006B860000}"/>
    <cellStyle name="常规 2 5 2 2 4 3 2 2" xfId="34412" xr:uid="{00000000-0005-0000-0000-00006C860000}"/>
    <cellStyle name="常规 2 5 2 2 4 3 3" xfId="34413" xr:uid="{00000000-0005-0000-0000-00006D860000}"/>
    <cellStyle name="常规 2 5 2 2 4 4" xfId="34414" xr:uid="{00000000-0005-0000-0000-00006E860000}"/>
    <cellStyle name="常规 2 5 2 2 4 4 2" xfId="34415" xr:uid="{00000000-0005-0000-0000-00006F860000}"/>
    <cellStyle name="常规 2 5 2 2 4 4 3" xfId="34416" xr:uid="{00000000-0005-0000-0000-000070860000}"/>
    <cellStyle name="常规 2 5 2 2 4 5" xfId="34417" xr:uid="{00000000-0005-0000-0000-000071860000}"/>
    <cellStyle name="常规 2 5 2 2 4 5 2" xfId="34418" xr:uid="{00000000-0005-0000-0000-000072860000}"/>
    <cellStyle name="常规 2 5 2 2 4 6" xfId="34419" xr:uid="{00000000-0005-0000-0000-000073860000}"/>
    <cellStyle name="常规 2 5 2 2 4 6 2" xfId="34420" xr:uid="{00000000-0005-0000-0000-000074860000}"/>
    <cellStyle name="常规 2 5 2 2 4 7" xfId="34421" xr:uid="{00000000-0005-0000-0000-000075860000}"/>
    <cellStyle name="常规 2 5 2 2 5" xfId="34422" xr:uid="{00000000-0005-0000-0000-000076860000}"/>
    <cellStyle name="常规 2 5 2 2 5 2" xfId="34423" xr:uid="{00000000-0005-0000-0000-000077860000}"/>
    <cellStyle name="常规 2 5 2 2 5 2 2" xfId="34424" xr:uid="{00000000-0005-0000-0000-000078860000}"/>
    <cellStyle name="常规 2 5 2 2 5 2 2 2" xfId="34425" xr:uid="{00000000-0005-0000-0000-000079860000}"/>
    <cellStyle name="常规 2 5 2 2 5 2 2 3" xfId="34426" xr:uid="{00000000-0005-0000-0000-00007A860000}"/>
    <cellStyle name="常规 2 5 2 2 5 2 3" xfId="34427" xr:uid="{00000000-0005-0000-0000-00007B860000}"/>
    <cellStyle name="常规 2 5 2 2 5 2 3 2" xfId="34428" xr:uid="{00000000-0005-0000-0000-00007C860000}"/>
    <cellStyle name="常规 2 5 2 2 5 3" xfId="34429" xr:uid="{00000000-0005-0000-0000-00007D860000}"/>
    <cellStyle name="常规 2 5 2 2 5 3 2" xfId="34430" xr:uid="{00000000-0005-0000-0000-00007E860000}"/>
    <cellStyle name="常规 2 5 2 2 5 3 2 2" xfId="34431" xr:uid="{00000000-0005-0000-0000-00007F860000}"/>
    <cellStyle name="常规 2 5 2 2 5 4" xfId="34432" xr:uid="{00000000-0005-0000-0000-000080860000}"/>
    <cellStyle name="常规 2 5 2 2 5 4 2" xfId="34433" xr:uid="{00000000-0005-0000-0000-000081860000}"/>
    <cellStyle name="常规 2 5 2 2 5 4 3" xfId="34434" xr:uid="{00000000-0005-0000-0000-000082860000}"/>
    <cellStyle name="常规 2 5 2 2 5 5" xfId="34435" xr:uid="{00000000-0005-0000-0000-000083860000}"/>
    <cellStyle name="常规 2 5 2 2 5 5 2" xfId="34436" xr:uid="{00000000-0005-0000-0000-000084860000}"/>
    <cellStyle name="常规 2 5 2 2 5 5 3" xfId="34437" xr:uid="{00000000-0005-0000-0000-000085860000}"/>
    <cellStyle name="常规 2 5 2 2 5 6" xfId="34438" xr:uid="{00000000-0005-0000-0000-000086860000}"/>
    <cellStyle name="常规 2 5 2 2 5 7" xfId="34439" xr:uid="{00000000-0005-0000-0000-000087860000}"/>
    <cellStyle name="常规 2 5 2 2 6" xfId="34440" xr:uid="{00000000-0005-0000-0000-000088860000}"/>
    <cellStyle name="常规 2 5 2 2 6 2" xfId="34441" xr:uid="{00000000-0005-0000-0000-000089860000}"/>
    <cellStyle name="常规 2 5 2 2 6 2 2" xfId="34442" xr:uid="{00000000-0005-0000-0000-00008A860000}"/>
    <cellStyle name="常规 2 5 2 2 7" xfId="34443" xr:uid="{00000000-0005-0000-0000-00008B860000}"/>
    <cellStyle name="常规 2 5 2 2 7 2" xfId="34444" xr:uid="{00000000-0005-0000-0000-00008C860000}"/>
    <cellStyle name="常规 2 5 2 2 7 2 2" xfId="34445" xr:uid="{00000000-0005-0000-0000-00008D860000}"/>
    <cellStyle name="常规 2 5 2 2 8" xfId="34446" xr:uid="{00000000-0005-0000-0000-00008E860000}"/>
    <cellStyle name="常规 2 5 2 2 8 2" xfId="34447" xr:uid="{00000000-0005-0000-0000-00008F860000}"/>
    <cellStyle name="常规 2 5 2 2 8 2 2" xfId="34448" xr:uid="{00000000-0005-0000-0000-000090860000}"/>
    <cellStyle name="常规 2 5 2 2 9" xfId="34449" xr:uid="{00000000-0005-0000-0000-000091860000}"/>
    <cellStyle name="常规 2 5 2 2 9 2" xfId="34450" xr:uid="{00000000-0005-0000-0000-000092860000}"/>
    <cellStyle name="常规 2 5 2 2 9 2 2" xfId="34451" xr:uid="{00000000-0005-0000-0000-000093860000}"/>
    <cellStyle name="常规 2 5 2 3" xfId="34452" xr:uid="{00000000-0005-0000-0000-000094860000}"/>
    <cellStyle name="常规 2 5 2 3 10" xfId="34453" xr:uid="{00000000-0005-0000-0000-000095860000}"/>
    <cellStyle name="常规 2 5 2 3 10 2" xfId="34454" xr:uid="{00000000-0005-0000-0000-000096860000}"/>
    <cellStyle name="常规 2 5 2 3 11" xfId="34455" xr:uid="{00000000-0005-0000-0000-000097860000}"/>
    <cellStyle name="常规 2 5 2 3 12" xfId="34456" xr:uid="{00000000-0005-0000-0000-000098860000}"/>
    <cellStyle name="常规 2 5 2 3 2" xfId="34457" xr:uid="{00000000-0005-0000-0000-000099860000}"/>
    <cellStyle name="常规 2 5 2 3 2 2" xfId="34458" xr:uid="{00000000-0005-0000-0000-00009A860000}"/>
    <cellStyle name="常规 2 5 2 3 2 2 2" xfId="34459" xr:uid="{00000000-0005-0000-0000-00009B860000}"/>
    <cellStyle name="常规 2 5 2 3 2 2 2 2" xfId="34460" xr:uid="{00000000-0005-0000-0000-00009C860000}"/>
    <cellStyle name="常规 2 5 2 3 2 2 2 3" xfId="34461" xr:uid="{00000000-0005-0000-0000-00009D860000}"/>
    <cellStyle name="常规 2 5 2 3 2 2 2 4" xfId="34462" xr:uid="{00000000-0005-0000-0000-00009E860000}"/>
    <cellStyle name="常规 2 5 2 3 2 2 3" xfId="34463" xr:uid="{00000000-0005-0000-0000-00009F860000}"/>
    <cellStyle name="常规 2 5 2 3 2 2 4" xfId="34464" xr:uid="{00000000-0005-0000-0000-0000A0860000}"/>
    <cellStyle name="常规 2 5 2 3 2 2 5" xfId="34465" xr:uid="{00000000-0005-0000-0000-0000A1860000}"/>
    <cellStyle name="常规 2 5 2 3 2 2 6" xfId="34466" xr:uid="{00000000-0005-0000-0000-0000A2860000}"/>
    <cellStyle name="常规 2 5 2 3 2 2 6 2" xfId="34467" xr:uid="{00000000-0005-0000-0000-0000A3860000}"/>
    <cellStyle name="常规 2 5 2 3 2 3" xfId="34468" xr:uid="{00000000-0005-0000-0000-0000A4860000}"/>
    <cellStyle name="常规 2 5 2 3 2 3 2" xfId="34469" xr:uid="{00000000-0005-0000-0000-0000A5860000}"/>
    <cellStyle name="常规 2 5 2 3 2 3 2 2" xfId="34470" xr:uid="{00000000-0005-0000-0000-0000A6860000}"/>
    <cellStyle name="常规 2 5 2 3 2 3 2 3" xfId="34471" xr:uid="{00000000-0005-0000-0000-0000A7860000}"/>
    <cellStyle name="常规 2 5 2 3 2 3 2 4" xfId="34472" xr:uid="{00000000-0005-0000-0000-0000A8860000}"/>
    <cellStyle name="常规 2 5 2 3 2 3 3" xfId="34473" xr:uid="{00000000-0005-0000-0000-0000A9860000}"/>
    <cellStyle name="常规 2 5 2 3 2 3 4" xfId="34474" xr:uid="{00000000-0005-0000-0000-0000AA860000}"/>
    <cellStyle name="常规 2 5 2 3 2 3 5" xfId="34475" xr:uid="{00000000-0005-0000-0000-0000AB860000}"/>
    <cellStyle name="常规 2 5 2 3 2 3 6" xfId="34476" xr:uid="{00000000-0005-0000-0000-0000AC860000}"/>
    <cellStyle name="常规 2 5 2 3 2 3 6 2" xfId="34477" xr:uid="{00000000-0005-0000-0000-0000AD860000}"/>
    <cellStyle name="常规 2 5 2 3 2 4" xfId="34478" xr:uid="{00000000-0005-0000-0000-0000AE860000}"/>
    <cellStyle name="常规 2 5 2 3 2 4 2" xfId="34479" xr:uid="{00000000-0005-0000-0000-0000AF860000}"/>
    <cellStyle name="常规 2 5 2 3 2 4 2 2" xfId="34480" xr:uid="{00000000-0005-0000-0000-0000B0860000}"/>
    <cellStyle name="常规 2 5 2 3 2 4 3" xfId="34481" xr:uid="{00000000-0005-0000-0000-0000B1860000}"/>
    <cellStyle name="常规 2 5 2 3 2 4 3 2" xfId="34482" xr:uid="{00000000-0005-0000-0000-0000B2860000}"/>
    <cellStyle name="常规 2 5 2 3 2 4 4" xfId="34483" xr:uid="{00000000-0005-0000-0000-0000B3860000}"/>
    <cellStyle name="常规 2 5 2 3 2 4 5" xfId="34484" xr:uid="{00000000-0005-0000-0000-0000B4860000}"/>
    <cellStyle name="常规 2 5 2 3 2 4 6" xfId="34485" xr:uid="{00000000-0005-0000-0000-0000B5860000}"/>
    <cellStyle name="常规 2 5 2 3 2 5" xfId="34486" xr:uid="{00000000-0005-0000-0000-0000B6860000}"/>
    <cellStyle name="常规 2 5 2 3 2 5 2" xfId="34487" xr:uid="{00000000-0005-0000-0000-0000B7860000}"/>
    <cellStyle name="常规 2 5 2 3 2 5 3" xfId="34488" xr:uid="{00000000-0005-0000-0000-0000B8860000}"/>
    <cellStyle name="常规 2 5 2 3 2 6" xfId="34489" xr:uid="{00000000-0005-0000-0000-0000B9860000}"/>
    <cellStyle name="常规 2 5 2 3 2 7" xfId="34490" xr:uid="{00000000-0005-0000-0000-0000BA860000}"/>
    <cellStyle name="常规 2 5 2 3 2 8" xfId="34491" xr:uid="{00000000-0005-0000-0000-0000BB860000}"/>
    <cellStyle name="常规 2 5 2 3 2 8 2" xfId="34492" xr:uid="{00000000-0005-0000-0000-0000BC860000}"/>
    <cellStyle name="常规 2 5 2 3 2 9" xfId="34493" xr:uid="{00000000-0005-0000-0000-0000BD860000}"/>
    <cellStyle name="常规 2 5 2 3 3" xfId="34494" xr:uid="{00000000-0005-0000-0000-0000BE860000}"/>
    <cellStyle name="常规 2 5 2 3 3 2" xfId="34495" xr:uid="{00000000-0005-0000-0000-0000BF860000}"/>
    <cellStyle name="常规 2 5 2 3 3 2 2" xfId="34496" xr:uid="{00000000-0005-0000-0000-0000C0860000}"/>
    <cellStyle name="常规 2 5 2 3 3 2 2 2" xfId="34497" xr:uid="{00000000-0005-0000-0000-0000C1860000}"/>
    <cellStyle name="常规 2 5 2 3 3 2 3" xfId="34498" xr:uid="{00000000-0005-0000-0000-0000C2860000}"/>
    <cellStyle name="常规 2 5 2 3 3 2 4" xfId="34499" xr:uid="{00000000-0005-0000-0000-0000C3860000}"/>
    <cellStyle name="常规 2 5 2 3 3 2 5" xfId="34500" xr:uid="{00000000-0005-0000-0000-0000C4860000}"/>
    <cellStyle name="常规 2 5 2 3 3 2 5 2" xfId="34501" xr:uid="{00000000-0005-0000-0000-0000C5860000}"/>
    <cellStyle name="常规 2 5 2 3 3 2 6" xfId="34502" xr:uid="{00000000-0005-0000-0000-0000C6860000}"/>
    <cellStyle name="常规 2 5 2 3 3 3" xfId="34503" xr:uid="{00000000-0005-0000-0000-0000C7860000}"/>
    <cellStyle name="常规 2 5 2 3 3 3 2" xfId="34504" xr:uid="{00000000-0005-0000-0000-0000C8860000}"/>
    <cellStyle name="常规 2 5 2 3 3 3 2 2" xfId="34505" xr:uid="{00000000-0005-0000-0000-0000C9860000}"/>
    <cellStyle name="常规 2 5 2 3 3 3 3" xfId="34506" xr:uid="{00000000-0005-0000-0000-0000CA860000}"/>
    <cellStyle name="常规 2 5 2 3 3 4" xfId="34507" xr:uid="{00000000-0005-0000-0000-0000CB860000}"/>
    <cellStyle name="常规 2 5 2 3 3 4 2" xfId="34508" xr:uid="{00000000-0005-0000-0000-0000CC860000}"/>
    <cellStyle name="常规 2 5 2 3 3 4 3" xfId="34509" xr:uid="{00000000-0005-0000-0000-0000CD860000}"/>
    <cellStyle name="常规 2 5 2 3 3 5" xfId="34510" xr:uid="{00000000-0005-0000-0000-0000CE860000}"/>
    <cellStyle name="常规 2 5 2 3 3 5 2" xfId="34511" xr:uid="{00000000-0005-0000-0000-0000CF860000}"/>
    <cellStyle name="常规 2 5 2 3 3 6" xfId="34512" xr:uid="{00000000-0005-0000-0000-0000D0860000}"/>
    <cellStyle name="常规 2 5 2 3 3 6 2" xfId="34513" xr:uid="{00000000-0005-0000-0000-0000D1860000}"/>
    <cellStyle name="常规 2 5 2 3 3 7" xfId="34514" xr:uid="{00000000-0005-0000-0000-0000D2860000}"/>
    <cellStyle name="常规 2 5 2 3 4" xfId="34515" xr:uid="{00000000-0005-0000-0000-0000D3860000}"/>
    <cellStyle name="常规 2 5 2 3 4 2" xfId="34516" xr:uid="{00000000-0005-0000-0000-0000D4860000}"/>
    <cellStyle name="常规 2 5 2 3 4 2 2" xfId="34517" xr:uid="{00000000-0005-0000-0000-0000D5860000}"/>
    <cellStyle name="常规 2 5 2 3 4 2 2 2" xfId="34518" xr:uid="{00000000-0005-0000-0000-0000D6860000}"/>
    <cellStyle name="常规 2 5 2 3 4 2 3" xfId="34519" xr:uid="{00000000-0005-0000-0000-0000D7860000}"/>
    <cellStyle name="常规 2 5 2 3 4 2 4" xfId="34520" xr:uid="{00000000-0005-0000-0000-0000D8860000}"/>
    <cellStyle name="常规 2 5 2 3 4 2 5" xfId="34521" xr:uid="{00000000-0005-0000-0000-0000D9860000}"/>
    <cellStyle name="常规 2 5 2 3 4 2 5 2" xfId="34522" xr:uid="{00000000-0005-0000-0000-0000DA860000}"/>
    <cellStyle name="常规 2 5 2 3 4 2 6" xfId="34523" xr:uid="{00000000-0005-0000-0000-0000DB860000}"/>
    <cellStyle name="常规 2 5 2 3 4 3" xfId="34524" xr:uid="{00000000-0005-0000-0000-0000DC860000}"/>
    <cellStyle name="常规 2 5 2 3 4 3 2" xfId="34525" xr:uid="{00000000-0005-0000-0000-0000DD860000}"/>
    <cellStyle name="常规 2 5 2 3 4 3 2 2" xfId="34526" xr:uid="{00000000-0005-0000-0000-0000DE860000}"/>
    <cellStyle name="常规 2 5 2 3 4 4" xfId="34527" xr:uid="{00000000-0005-0000-0000-0000DF860000}"/>
    <cellStyle name="常规 2 5 2 3 4 4 2" xfId="34528" xr:uid="{00000000-0005-0000-0000-0000E0860000}"/>
    <cellStyle name="常规 2 5 2 3 4 4 3" xfId="34529" xr:uid="{00000000-0005-0000-0000-0000E1860000}"/>
    <cellStyle name="常规 2 5 2 3 4 5" xfId="34530" xr:uid="{00000000-0005-0000-0000-0000E2860000}"/>
    <cellStyle name="常规 2 5 2 3 4 5 2" xfId="34531" xr:uid="{00000000-0005-0000-0000-0000E3860000}"/>
    <cellStyle name="常规 2 5 2 3 4 6" xfId="34532" xr:uid="{00000000-0005-0000-0000-0000E4860000}"/>
    <cellStyle name="常规 2 5 2 3 4 6 2" xfId="34533" xr:uid="{00000000-0005-0000-0000-0000E5860000}"/>
    <cellStyle name="常规 2 5 2 3 4 7" xfId="34534" xr:uid="{00000000-0005-0000-0000-0000E6860000}"/>
    <cellStyle name="常规 2 5 2 3 5" xfId="34535" xr:uid="{00000000-0005-0000-0000-0000E7860000}"/>
    <cellStyle name="常规 2 5 2 3 5 2" xfId="34536" xr:uid="{00000000-0005-0000-0000-0000E8860000}"/>
    <cellStyle name="常规 2 5 2 3 5 3" xfId="34537" xr:uid="{00000000-0005-0000-0000-0000E9860000}"/>
    <cellStyle name="常规 2 5 2 3 5 4" xfId="34538" xr:uid="{00000000-0005-0000-0000-0000EA860000}"/>
    <cellStyle name="常规 2 5 2 3 5 5" xfId="34539" xr:uid="{00000000-0005-0000-0000-0000EB860000}"/>
    <cellStyle name="常规 2 5 2 3 5 5 2" xfId="34540" xr:uid="{00000000-0005-0000-0000-0000EC860000}"/>
    <cellStyle name="常规 2 5 2 3 6" xfId="34541" xr:uid="{00000000-0005-0000-0000-0000ED860000}"/>
    <cellStyle name="常规 2 5 2 3 6 2" xfId="34542" xr:uid="{00000000-0005-0000-0000-0000EE860000}"/>
    <cellStyle name="常规 2 5 2 3 6 2 2" xfId="34543" xr:uid="{00000000-0005-0000-0000-0000EF860000}"/>
    <cellStyle name="常规 2 5 2 3 7" xfId="34544" xr:uid="{00000000-0005-0000-0000-0000F0860000}"/>
    <cellStyle name="常规 2 5 2 3 7 2" xfId="34545" xr:uid="{00000000-0005-0000-0000-0000F1860000}"/>
    <cellStyle name="常规 2 5 2 3 7 2 2" xfId="34546" xr:uid="{00000000-0005-0000-0000-0000F2860000}"/>
    <cellStyle name="常规 2 5 2 3 8" xfId="34547" xr:uid="{00000000-0005-0000-0000-0000F3860000}"/>
    <cellStyle name="常规 2 5 2 3 8 2" xfId="34548" xr:uid="{00000000-0005-0000-0000-0000F4860000}"/>
    <cellStyle name="常规 2 5 2 3 9" xfId="34549" xr:uid="{00000000-0005-0000-0000-0000F5860000}"/>
    <cellStyle name="常规 2 5 2 3 9 2" xfId="34550" xr:uid="{00000000-0005-0000-0000-0000F6860000}"/>
    <cellStyle name="常规 2 5 2 4" xfId="34551" xr:uid="{00000000-0005-0000-0000-0000F7860000}"/>
    <cellStyle name="常规 2 5 2 4 2" xfId="34552" xr:uid="{00000000-0005-0000-0000-0000F8860000}"/>
    <cellStyle name="常规 2 5 2 4 2 2" xfId="34553" xr:uid="{00000000-0005-0000-0000-0000F9860000}"/>
    <cellStyle name="常规 2 5 2 4 2 3" xfId="34554" xr:uid="{00000000-0005-0000-0000-0000FA860000}"/>
    <cellStyle name="常规 2 5 2 4 2 4" xfId="34555" xr:uid="{00000000-0005-0000-0000-0000FB860000}"/>
    <cellStyle name="常规 2 5 2 4 2 5" xfId="34556" xr:uid="{00000000-0005-0000-0000-0000FC860000}"/>
    <cellStyle name="常规 2 5 2 4 2 5 2" xfId="34557" xr:uid="{00000000-0005-0000-0000-0000FD860000}"/>
    <cellStyle name="常规 2 5 2 4 3" xfId="34558" xr:uid="{00000000-0005-0000-0000-0000FE860000}"/>
    <cellStyle name="常规 2 5 2 4 3 2" xfId="34559" xr:uid="{00000000-0005-0000-0000-0000FF860000}"/>
    <cellStyle name="常规 2 5 2 4 3 2 2" xfId="34560" xr:uid="{00000000-0005-0000-0000-000000870000}"/>
    <cellStyle name="常规 2 5 2 4 4" xfId="34561" xr:uid="{00000000-0005-0000-0000-000001870000}"/>
    <cellStyle name="常规 2 5 2 4 4 2" xfId="34562" xr:uid="{00000000-0005-0000-0000-000002870000}"/>
    <cellStyle name="常规 2 5 2 4 4 2 2" xfId="34563" xr:uid="{00000000-0005-0000-0000-000003870000}"/>
    <cellStyle name="常规 2 5 2 4 4 3" xfId="34564" xr:uid="{00000000-0005-0000-0000-000004870000}"/>
    <cellStyle name="常规 2 5 2 4 5" xfId="34565" xr:uid="{00000000-0005-0000-0000-000005870000}"/>
    <cellStyle name="常规 2 5 2 4 5 2" xfId="34566" xr:uid="{00000000-0005-0000-0000-000006870000}"/>
    <cellStyle name="常规 2 5 2 4 5 3" xfId="34567" xr:uid="{00000000-0005-0000-0000-000007870000}"/>
    <cellStyle name="常规 2 5 2 4 6" xfId="34568" xr:uid="{00000000-0005-0000-0000-000008870000}"/>
    <cellStyle name="常规 2 5 2 4 6 2" xfId="34569" xr:uid="{00000000-0005-0000-0000-000009870000}"/>
    <cellStyle name="常规 2 5 2 4 7" xfId="34570" xr:uid="{00000000-0005-0000-0000-00000A870000}"/>
    <cellStyle name="常规 2 5 2 5" xfId="34571" xr:uid="{00000000-0005-0000-0000-00000B870000}"/>
    <cellStyle name="常规 2 5 2 5 2" xfId="34572" xr:uid="{00000000-0005-0000-0000-00000C870000}"/>
    <cellStyle name="常规 2 5 2 5 2 2" xfId="34573" xr:uid="{00000000-0005-0000-0000-00000D870000}"/>
    <cellStyle name="常规 2 5 2 5 2 3" xfId="34574" xr:uid="{00000000-0005-0000-0000-00000E870000}"/>
    <cellStyle name="常规 2 5 2 5 2 4" xfId="34575" xr:uid="{00000000-0005-0000-0000-00000F870000}"/>
    <cellStyle name="常规 2 5 2 5 2 5" xfId="34576" xr:uid="{00000000-0005-0000-0000-000010870000}"/>
    <cellStyle name="常规 2 5 2 5 2 5 2" xfId="34577" xr:uid="{00000000-0005-0000-0000-000011870000}"/>
    <cellStyle name="常规 2 5 2 5 3" xfId="34578" xr:uid="{00000000-0005-0000-0000-000012870000}"/>
    <cellStyle name="常规 2 5 2 5 3 2" xfId="34579" xr:uid="{00000000-0005-0000-0000-000013870000}"/>
    <cellStyle name="常规 2 5 2 5 3 2 2" xfId="34580" xr:uid="{00000000-0005-0000-0000-000014870000}"/>
    <cellStyle name="常规 2 5 2 5 4" xfId="34581" xr:uid="{00000000-0005-0000-0000-000015870000}"/>
    <cellStyle name="常规 2 5 2 5 4 2" xfId="34582" xr:uid="{00000000-0005-0000-0000-000016870000}"/>
    <cellStyle name="常规 2 5 2 5 4 2 2" xfId="34583" xr:uid="{00000000-0005-0000-0000-000017870000}"/>
    <cellStyle name="常规 2 5 2 5 5" xfId="34584" xr:uid="{00000000-0005-0000-0000-000018870000}"/>
    <cellStyle name="常规 2 5 2 5 5 2" xfId="34585" xr:uid="{00000000-0005-0000-0000-000019870000}"/>
    <cellStyle name="常规 2 5 2 5 5 3" xfId="34586" xr:uid="{00000000-0005-0000-0000-00001A870000}"/>
    <cellStyle name="常规 2 5 2 5 6" xfId="34587" xr:uid="{00000000-0005-0000-0000-00001B870000}"/>
    <cellStyle name="常规 2 5 2 5 6 2" xfId="34588" xr:uid="{00000000-0005-0000-0000-00001C870000}"/>
    <cellStyle name="常规 2 5 2 5 7" xfId="34589" xr:uid="{00000000-0005-0000-0000-00001D870000}"/>
    <cellStyle name="常规 2 5 2 6" xfId="34590" xr:uid="{00000000-0005-0000-0000-00001E870000}"/>
    <cellStyle name="常规 2 5 2 6 2" xfId="34591" xr:uid="{00000000-0005-0000-0000-00001F870000}"/>
    <cellStyle name="常规 2 5 2 6 2 2" xfId="34592" xr:uid="{00000000-0005-0000-0000-000020870000}"/>
    <cellStyle name="常规 2 5 2 6 2 2 2" xfId="34593" xr:uid="{00000000-0005-0000-0000-000021870000}"/>
    <cellStyle name="常规 2 5 2 6 3" xfId="34594" xr:uid="{00000000-0005-0000-0000-000022870000}"/>
    <cellStyle name="常规 2 5 2 6 3 2" xfId="34595" xr:uid="{00000000-0005-0000-0000-000023870000}"/>
    <cellStyle name="常规 2 5 2 6 3 2 2" xfId="34596" xr:uid="{00000000-0005-0000-0000-000024870000}"/>
    <cellStyle name="常规 2 5 2 6 3 3" xfId="34597" xr:uid="{00000000-0005-0000-0000-000025870000}"/>
    <cellStyle name="常规 2 5 2 6 4" xfId="34598" xr:uid="{00000000-0005-0000-0000-000026870000}"/>
    <cellStyle name="常规 2 5 2 6 4 2" xfId="34599" xr:uid="{00000000-0005-0000-0000-000027870000}"/>
    <cellStyle name="常规 2 5 2 6 4 2 2" xfId="34600" xr:uid="{00000000-0005-0000-0000-000028870000}"/>
    <cellStyle name="常规 2 5 2 6 5" xfId="34601" xr:uid="{00000000-0005-0000-0000-000029870000}"/>
    <cellStyle name="常规 2 5 2 6 5 2" xfId="34602" xr:uid="{00000000-0005-0000-0000-00002A870000}"/>
    <cellStyle name="常规 2 5 2 6 5 3" xfId="34603" xr:uid="{00000000-0005-0000-0000-00002B870000}"/>
    <cellStyle name="常规 2 5 2 6 6" xfId="34604" xr:uid="{00000000-0005-0000-0000-00002C870000}"/>
    <cellStyle name="常规 2 5 2 6 6 2" xfId="34605" xr:uid="{00000000-0005-0000-0000-00002D870000}"/>
    <cellStyle name="常规 2 5 2 7" xfId="34606" xr:uid="{00000000-0005-0000-0000-00002E870000}"/>
    <cellStyle name="常规 2 5 2 7 2" xfId="34607" xr:uid="{00000000-0005-0000-0000-00002F870000}"/>
    <cellStyle name="常规 2 5 2 7 2 2" xfId="34608" xr:uid="{00000000-0005-0000-0000-000030870000}"/>
    <cellStyle name="常规 2 5 2 8" xfId="34609" xr:uid="{00000000-0005-0000-0000-000031870000}"/>
    <cellStyle name="常规 2 5 2 8 2" xfId="34610" xr:uid="{00000000-0005-0000-0000-000032870000}"/>
    <cellStyle name="常规 2 5 2 8 2 2" xfId="34611" xr:uid="{00000000-0005-0000-0000-000033870000}"/>
    <cellStyle name="常规 2 5 2 9" xfId="34612" xr:uid="{00000000-0005-0000-0000-000034870000}"/>
    <cellStyle name="常规 2 5 20" xfId="34613" xr:uid="{00000000-0005-0000-0000-000035870000}"/>
    <cellStyle name="常规 2 5 21" xfId="34614" xr:uid="{00000000-0005-0000-0000-000036870000}"/>
    <cellStyle name="常规 2 5 21 2" xfId="34615" xr:uid="{00000000-0005-0000-0000-000037870000}"/>
    <cellStyle name="常规 2 5 22" xfId="34616" xr:uid="{00000000-0005-0000-0000-000038870000}"/>
    <cellStyle name="常规 2 5 3" xfId="34617" xr:uid="{00000000-0005-0000-0000-000039870000}"/>
    <cellStyle name="常规 2 5 3 10" xfId="34618" xr:uid="{00000000-0005-0000-0000-00003A870000}"/>
    <cellStyle name="常规 2 5 3 10 2" xfId="34619" xr:uid="{00000000-0005-0000-0000-00003B870000}"/>
    <cellStyle name="常规 2 5 3 10 2 2" xfId="34620" xr:uid="{00000000-0005-0000-0000-00003C870000}"/>
    <cellStyle name="常规 2 5 3 10 2 2 2" xfId="34621" xr:uid="{00000000-0005-0000-0000-00003D870000}"/>
    <cellStyle name="常规 2 5 3 10 2 2 2 2" xfId="34622" xr:uid="{00000000-0005-0000-0000-00003E870000}"/>
    <cellStyle name="常规 2 5 3 10 2 2 2 3" xfId="34623" xr:uid="{00000000-0005-0000-0000-00003F870000}"/>
    <cellStyle name="常规 2 5 3 10 2 2 2 4" xfId="34624" xr:uid="{00000000-0005-0000-0000-000040870000}"/>
    <cellStyle name="常规 2 5 3 10 2 2 3" xfId="34625" xr:uid="{00000000-0005-0000-0000-000041870000}"/>
    <cellStyle name="常规 2 5 3 10 2 2 4" xfId="34626" xr:uid="{00000000-0005-0000-0000-000042870000}"/>
    <cellStyle name="常规 2 5 3 10 2 2 5" xfId="34627" xr:uid="{00000000-0005-0000-0000-000043870000}"/>
    <cellStyle name="常规 2 5 3 10 2 3" xfId="34628" xr:uid="{00000000-0005-0000-0000-000044870000}"/>
    <cellStyle name="常规 2 5 3 10 2 3 2" xfId="34629" xr:uid="{00000000-0005-0000-0000-000045870000}"/>
    <cellStyle name="常规 2 5 3 10 2 3 2 2" xfId="34630" xr:uid="{00000000-0005-0000-0000-000046870000}"/>
    <cellStyle name="常规 2 5 3 10 2 3 2 3" xfId="34631" xr:uid="{00000000-0005-0000-0000-000047870000}"/>
    <cellStyle name="常规 2 5 3 10 2 3 2 4" xfId="34632" xr:uid="{00000000-0005-0000-0000-000048870000}"/>
    <cellStyle name="常规 2 5 3 10 2 3 3" xfId="34633" xr:uid="{00000000-0005-0000-0000-000049870000}"/>
    <cellStyle name="常规 2 5 3 10 2 3 4" xfId="34634" xr:uid="{00000000-0005-0000-0000-00004A870000}"/>
    <cellStyle name="常规 2 5 3 10 2 3 5" xfId="34635" xr:uid="{00000000-0005-0000-0000-00004B870000}"/>
    <cellStyle name="常规 2 5 3 10 2 4" xfId="34636" xr:uid="{00000000-0005-0000-0000-00004C870000}"/>
    <cellStyle name="常规 2 5 3 10 2 4 2" xfId="34637" xr:uid="{00000000-0005-0000-0000-00004D870000}"/>
    <cellStyle name="常规 2 5 3 10 2 4 3" xfId="34638" xr:uid="{00000000-0005-0000-0000-00004E870000}"/>
    <cellStyle name="常规 2 5 3 10 2 4 4" xfId="34639" xr:uid="{00000000-0005-0000-0000-00004F870000}"/>
    <cellStyle name="常规 2 5 3 10 2 5" xfId="34640" xr:uid="{00000000-0005-0000-0000-000050870000}"/>
    <cellStyle name="常规 2 5 3 10 2 6" xfId="34641" xr:uid="{00000000-0005-0000-0000-000051870000}"/>
    <cellStyle name="常规 2 5 3 10 2 7" xfId="34642" xr:uid="{00000000-0005-0000-0000-000052870000}"/>
    <cellStyle name="常规 2 5 3 10 3" xfId="34643" xr:uid="{00000000-0005-0000-0000-000053870000}"/>
    <cellStyle name="常规 2 5 3 10 3 2" xfId="34644" xr:uid="{00000000-0005-0000-0000-000054870000}"/>
    <cellStyle name="常规 2 5 3 10 3 2 2" xfId="34645" xr:uid="{00000000-0005-0000-0000-000055870000}"/>
    <cellStyle name="常规 2 5 3 10 3 2 3" xfId="34646" xr:uid="{00000000-0005-0000-0000-000056870000}"/>
    <cellStyle name="常规 2 5 3 10 3 2 4" xfId="34647" xr:uid="{00000000-0005-0000-0000-000057870000}"/>
    <cellStyle name="常规 2 5 3 10 3 3" xfId="34648" xr:uid="{00000000-0005-0000-0000-000058870000}"/>
    <cellStyle name="常规 2 5 3 10 3 4" xfId="34649" xr:uid="{00000000-0005-0000-0000-000059870000}"/>
    <cellStyle name="常规 2 5 3 10 3 5" xfId="34650" xr:uid="{00000000-0005-0000-0000-00005A870000}"/>
    <cellStyle name="常规 2 5 3 10 4" xfId="34651" xr:uid="{00000000-0005-0000-0000-00005B870000}"/>
    <cellStyle name="常规 2 5 3 10 4 2" xfId="34652" xr:uid="{00000000-0005-0000-0000-00005C870000}"/>
    <cellStyle name="常规 2 5 3 10 4 2 2" xfId="34653" xr:uid="{00000000-0005-0000-0000-00005D870000}"/>
    <cellStyle name="常规 2 5 3 10 4 2 3" xfId="34654" xr:uid="{00000000-0005-0000-0000-00005E870000}"/>
    <cellStyle name="常规 2 5 3 10 4 2 4" xfId="34655" xr:uid="{00000000-0005-0000-0000-00005F870000}"/>
    <cellStyle name="常规 2 5 3 10 4 3" xfId="34656" xr:uid="{00000000-0005-0000-0000-000060870000}"/>
    <cellStyle name="常规 2 5 3 10 4 4" xfId="34657" xr:uid="{00000000-0005-0000-0000-000061870000}"/>
    <cellStyle name="常规 2 5 3 10 4 5" xfId="34658" xr:uid="{00000000-0005-0000-0000-000062870000}"/>
    <cellStyle name="常规 2 5 3 10 5" xfId="34659" xr:uid="{00000000-0005-0000-0000-000063870000}"/>
    <cellStyle name="常规 2 5 3 10 5 2" xfId="34660" xr:uid="{00000000-0005-0000-0000-000064870000}"/>
    <cellStyle name="常规 2 5 3 10 5 3" xfId="34661" xr:uid="{00000000-0005-0000-0000-000065870000}"/>
    <cellStyle name="常规 2 5 3 10 5 4" xfId="34662" xr:uid="{00000000-0005-0000-0000-000066870000}"/>
    <cellStyle name="常规 2 5 3 10 6" xfId="34663" xr:uid="{00000000-0005-0000-0000-000067870000}"/>
    <cellStyle name="常规 2 5 3 10 7" xfId="34664" xr:uid="{00000000-0005-0000-0000-000068870000}"/>
    <cellStyle name="常规 2 5 3 10 8" xfId="34665" xr:uid="{00000000-0005-0000-0000-000069870000}"/>
    <cellStyle name="常规 2 5 3 11" xfId="34666" xr:uid="{00000000-0005-0000-0000-00006A870000}"/>
    <cellStyle name="常规 2 5 3 11 2" xfId="34667" xr:uid="{00000000-0005-0000-0000-00006B870000}"/>
    <cellStyle name="常规 2 5 3 11 2 2" xfId="34668" xr:uid="{00000000-0005-0000-0000-00006C870000}"/>
    <cellStyle name="常规 2 5 3 11 2 2 2" xfId="34669" xr:uid="{00000000-0005-0000-0000-00006D870000}"/>
    <cellStyle name="常规 2 5 3 11 2 2 2 2" xfId="34670" xr:uid="{00000000-0005-0000-0000-00006E870000}"/>
    <cellStyle name="常规 2 5 3 11 2 2 2 3" xfId="34671" xr:uid="{00000000-0005-0000-0000-00006F870000}"/>
    <cellStyle name="常规 2 5 3 11 2 2 2 4" xfId="34672" xr:uid="{00000000-0005-0000-0000-000070870000}"/>
    <cellStyle name="常规 2 5 3 11 2 2 3" xfId="34673" xr:uid="{00000000-0005-0000-0000-000071870000}"/>
    <cellStyle name="常规 2 5 3 11 2 2 4" xfId="34674" xr:uid="{00000000-0005-0000-0000-000072870000}"/>
    <cellStyle name="常规 2 5 3 11 2 2 5" xfId="34675" xr:uid="{00000000-0005-0000-0000-000073870000}"/>
    <cellStyle name="常规 2 5 3 11 2 3" xfId="34676" xr:uid="{00000000-0005-0000-0000-000074870000}"/>
    <cellStyle name="常规 2 5 3 11 2 3 2" xfId="34677" xr:uid="{00000000-0005-0000-0000-000075870000}"/>
    <cellStyle name="常规 2 5 3 11 2 3 2 2" xfId="34678" xr:uid="{00000000-0005-0000-0000-000076870000}"/>
    <cellStyle name="常规 2 5 3 11 2 3 2 3" xfId="34679" xr:uid="{00000000-0005-0000-0000-000077870000}"/>
    <cellStyle name="常规 2 5 3 11 2 3 2 4" xfId="34680" xr:uid="{00000000-0005-0000-0000-000078870000}"/>
    <cellStyle name="常规 2 5 3 11 2 3 3" xfId="34681" xr:uid="{00000000-0005-0000-0000-000079870000}"/>
    <cellStyle name="常规 2 5 3 11 2 3 4" xfId="34682" xr:uid="{00000000-0005-0000-0000-00007A870000}"/>
    <cellStyle name="常规 2 5 3 11 2 3 5" xfId="34683" xr:uid="{00000000-0005-0000-0000-00007B870000}"/>
    <cellStyle name="常规 2 5 3 11 2 4" xfId="34684" xr:uid="{00000000-0005-0000-0000-00007C870000}"/>
    <cellStyle name="常规 2 5 3 11 2 4 2" xfId="34685" xr:uid="{00000000-0005-0000-0000-00007D870000}"/>
    <cellStyle name="常规 2 5 3 11 2 4 3" xfId="34686" xr:uid="{00000000-0005-0000-0000-00007E870000}"/>
    <cellStyle name="常规 2 5 3 11 2 4 4" xfId="34687" xr:uid="{00000000-0005-0000-0000-00007F870000}"/>
    <cellStyle name="常规 2 5 3 11 2 5" xfId="34688" xr:uid="{00000000-0005-0000-0000-000080870000}"/>
    <cellStyle name="常规 2 5 3 11 2 6" xfId="34689" xr:uid="{00000000-0005-0000-0000-000081870000}"/>
    <cellStyle name="常规 2 5 3 11 2 7" xfId="34690" xr:uid="{00000000-0005-0000-0000-000082870000}"/>
    <cellStyle name="常规 2 5 3 11 3" xfId="34691" xr:uid="{00000000-0005-0000-0000-000083870000}"/>
    <cellStyle name="常规 2 5 3 11 3 2" xfId="34692" xr:uid="{00000000-0005-0000-0000-000084870000}"/>
    <cellStyle name="常规 2 5 3 11 3 2 2" xfId="34693" xr:uid="{00000000-0005-0000-0000-000085870000}"/>
    <cellStyle name="常规 2 5 3 11 3 2 3" xfId="34694" xr:uid="{00000000-0005-0000-0000-000086870000}"/>
    <cellStyle name="常规 2 5 3 11 3 2 4" xfId="34695" xr:uid="{00000000-0005-0000-0000-000087870000}"/>
    <cellStyle name="常规 2 5 3 11 3 3" xfId="34696" xr:uid="{00000000-0005-0000-0000-000088870000}"/>
    <cellStyle name="常规 2 5 3 11 3 4" xfId="34697" xr:uid="{00000000-0005-0000-0000-000089870000}"/>
    <cellStyle name="常规 2 5 3 11 3 5" xfId="34698" xr:uid="{00000000-0005-0000-0000-00008A870000}"/>
    <cellStyle name="常规 2 5 3 11 4" xfId="34699" xr:uid="{00000000-0005-0000-0000-00008B870000}"/>
    <cellStyle name="常规 2 5 3 11 4 2" xfId="34700" xr:uid="{00000000-0005-0000-0000-00008C870000}"/>
    <cellStyle name="常规 2 5 3 11 4 2 2" xfId="34701" xr:uid="{00000000-0005-0000-0000-00008D870000}"/>
    <cellStyle name="常规 2 5 3 11 4 2 3" xfId="34702" xr:uid="{00000000-0005-0000-0000-00008E870000}"/>
    <cellStyle name="常规 2 5 3 11 4 2 4" xfId="34703" xr:uid="{00000000-0005-0000-0000-00008F870000}"/>
    <cellStyle name="常规 2 5 3 11 4 3" xfId="34704" xr:uid="{00000000-0005-0000-0000-000090870000}"/>
    <cellStyle name="常规 2 5 3 11 4 4" xfId="34705" xr:uid="{00000000-0005-0000-0000-000091870000}"/>
    <cellStyle name="常规 2 5 3 11 4 5" xfId="34706" xr:uid="{00000000-0005-0000-0000-000092870000}"/>
    <cellStyle name="常规 2 5 3 11 5" xfId="34707" xr:uid="{00000000-0005-0000-0000-000093870000}"/>
    <cellStyle name="常规 2 5 3 11 5 2" xfId="34708" xr:uid="{00000000-0005-0000-0000-000094870000}"/>
    <cellStyle name="常规 2 5 3 11 5 3" xfId="34709" xr:uid="{00000000-0005-0000-0000-000095870000}"/>
    <cellStyle name="常规 2 5 3 11 5 4" xfId="34710" xr:uid="{00000000-0005-0000-0000-000096870000}"/>
    <cellStyle name="常规 2 5 3 11 6" xfId="34711" xr:uid="{00000000-0005-0000-0000-000097870000}"/>
    <cellStyle name="常规 2 5 3 11 7" xfId="34712" xr:uid="{00000000-0005-0000-0000-000098870000}"/>
    <cellStyle name="常规 2 5 3 11 8" xfId="34713" xr:uid="{00000000-0005-0000-0000-000099870000}"/>
    <cellStyle name="常规 2 5 3 12" xfId="34714" xr:uid="{00000000-0005-0000-0000-00009A870000}"/>
    <cellStyle name="常规 2 5 3 12 2" xfId="34715" xr:uid="{00000000-0005-0000-0000-00009B870000}"/>
    <cellStyle name="常规 2 5 3 12 2 2" xfId="34716" xr:uid="{00000000-0005-0000-0000-00009C870000}"/>
    <cellStyle name="常规 2 5 3 12 2 2 2" xfId="34717" xr:uid="{00000000-0005-0000-0000-00009D870000}"/>
    <cellStyle name="常规 2 5 3 12 2 2 2 2" xfId="34718" xr:uid="{00000000-0005-0000-0000-00009E870000}"/>
    <cellStyle name="常规 2 5 3 12 2 2 2 3" xfId="34719" xr:uid="{00000000-0005-0000-0000-00009F870000}"/>
    <cellStyle name="常规 2 5 3 12 2 2 2 4" xfId="34720" xr:uid="{00000000-0005-0000-0000-0000A0870000}"/>
    <cellStyle name="常规 2 5 3 12 2 2 3" xfId="34721" xr:uid="{00000000-0005-0000-0000-0000A1870000}"/>
    <cellStyle name="常规 2 5 3 12 2 2 4" xfId="34722" xr:uid="{00000000-0005-0000-0000-0000A2870000}"/>
    <cellStyle name="常规 2 5 3 12 2 2 5" xfId="34723" xr:uid="{00000000-0005-0000-0000-0000A3870000}"/>
    <cellStyle name="常规 2 5 3 12 2 3" xfId="34724" xr:uid="{00000000-0005-0000-0000-0000A4870000}"/>
    <cellStyle name="常规 2 5 3 12 2 3 2" xfId="34725" xr:uid="{00000000-0005-0000-0000-0000A5870000}"/>
    <cellStyle name="常规 2 5 3 12 2 3 2 2" xfId="34726" xr:uid="{00000000-0005-0000-0000-0000A6870000}"/>
    <cellStyle name="常规 2 5 3 12 2 3 2 3" xfId="34727" xr:uid="{00000000-0005-0000-0000-0000A7870000}"/>
    <cellStyle name="常规 2 5 3 12 2 3 2 4" xfId="34728" xr:uid="{00000000-0005-0000-0000-0000A8870000}"/>
    <cellStyle name="常规 2 5 3 12 2 3 3" xfId="34729" xr:uid="{00000000-0005-0000-0000-0000A9870000}"/>
    <cellStyle name="常规 2 5 3 12 2 3 4" xfId="34730" xr:uid="{00000000-0005-0000-0000-0000AA870000}"/>
    <cellStyle name="常规 2 5 3 12 2 3 5" xfId="34731" xr:uid="{00000000-0005-0000-0000-0000AB870000}"/>
    <cellStyle name="常规 2 5 3 12 2 4" xfId="34732" xr:uid="{00000000-0005-0000-0000-0000AC870000}"/>
    <cellStyle name="常规 2 5 3 12 2 4 2" xfId="34733" xr:uid="{00000000-0005-0000-0000-0000AD870000}"/>
    <cellStyle name="常规 2 5 3 12 2 4 3" xfId="34734" xr:uid="{00000000-0005-0000-0000-0000AE870000}"/>
    <cellStyle name="常规 2 5 3 12 2 4 4" xfId="34735" xr:uid="{00000000-0005-0000-0000-0000AF870000}"/>
    <cellStyle name="常规 2 5 3 12 2 5" xfId="34736" xr:uid="{00000000-0005-0000-0000-0000B0870000}"/>
    <cellStyle name="常规 2 5 3 12 2 6" xfId="34737" xr:uid="{00000000-0005-0000-0000-0000B1870000}"/>
    <cellStyle name="常规 2 5 3 12 2 7" xfId="34738" xr:uid="{00000000-0005-0000-0000-0000B2870000}"/>
    <cellStyle name="常规 2 5 3 12 3" xfId="34739" xr:uid="{00000000-0005-0000-0000-0000B3870000}"/>
    <cellStyle name="常规 2 5 3 12 3 2" xfId="34740" xr:uid="{00000000-0005-0000-0000-0000B4870000}"/>
    <cellStyle name="常规 2 5 3 12 3 2 2" xfId="34741" xr:uid="{00000000-0005-0000-0000-0000B5870000}"/>
    <cellStyle name="常规 2 5 3 12 3 2 3" xfId="34742" xr:uid="{00000000-0005-0000-0000-0000B6870000}"/>
    <cellStyle name="常规 2 5 3 12 3 2 4" xfId="34743" xr:uid="{00000000-0005-0000-0000-0000B7870000}"/>
    <cellStyle name="常规 2 5 3 12 3 3" xfId="34744" xr:uid="{00000000-0005-0000-0000-0000B8870000}"/>
    <cellStyle name="常规 2 5 3 12 3 4" xfId="34745" xr:uid="{00000000-0005-0000-0000-0000B9870000}"/>
    <cellStyle name="常规 2 5 3 12 3 5" xfId="34746" xr:uid="{00000000-0005-0000-0000-0000BA870000}"/>
    <cellStyle name="常规 2 5 3 12 4" xfId="34747" xr:uid="{00000000-0005-0000-0000-0000BB870000}"/>
    <cellStyle name="常规 2 5 3 12 4 2" xfId="34748" xr:uid="{00000000-0005-0000-0000-0000BC870000}"/>
    <cellStyle name="常规 2 5 3 12 4 2 2" xfId="34749" xr:uid="{00000000-0005-0000-0000-0000BD870000}"/>
    <cellStyle name="常规 2 5 3 12 4 2 3" xfId="34750" xr:uid="{00000000-0005-0000-0000-0000BE870000}"/>
    <cellStyle name="常规 2 5 3 12 4 2 4" xfId="34751" xr:uid="{00000000-0005-0000-0000-0000BF870000}"/>
    <cellStyle name="常规 2 5 3 12 4 3" xfId="34752" xr:uid="{00000000-0005-0000-0000-0000C0870000}"/>
    <cellStyle name="常规 2 5 3 12 4 4" xfId="34753" xr:uid="{00000000-0005-0000-0000-0000C1870000}"/>
    <cellStyle name="常规 2 5 3 12 4 5" xfId="34754" xr:uid="{00000000-0005-0000-0000-0000C2870000}"/>
    <cellStyle name="常规 2 5 3 12 5" xfId="34755" xr:uid="{00000000-0005-0000-0000-0000C3870000}"/>
    <cellStyle name="常规 2 5 3 12 5 2" xfId="34756" xr:uid="{00000000-0005-0000-0000-0000C4870000}"/>
    <cellStyle name="常规 2 5 3 12 5 3" xfId="34757" xr:uid="{00000000-0005-0000-0000-0000C5870000}"/>
    <cellStyle name="常规 2 5 3 12 5 4" xfId="34758" xr:uid="{00000000-0005-0000-0000-0000C6870000}"/>
    <cellStyle name="常规 2 5 3 12 6" xfId="34759" xr:uid="{00000000-0005-0000-0000-0000C7870000}"/>
    <cellStyle name="常规 2 5 3 12 7" xfId="34760" xr:uid="{00000000-0005-0000-0000-0000C8870000}"/>
    <cellStyle name="常规 2 5 3 12 8" xfId="34761" xr:uid="{00000000-0005-0000-0000-0000C9870000}"/>
    <cellStyle name="常规 2 5 3 13" xfId="34762" xr:uid="{00000000-0005-0000-0000-0000CA870000}"/>
    <cellStyle name="常规 2 5 3 13 2" xfId="34763" xr:uid="{00000000-0005-0000-0000-0000CB870000}"/>
    <cellStyle name="常规 2 5 3 13 2 2" xfId="34764" xr:uid="{00000000-0005-0000-0000-0000CC870000}"/>
    <cellStyle name="常规 2 5 3 13 2 2 2" xfId="34765" xr:uid="{00000000-0005-0000-0000-0000CD870000}"/>
    <cellStyle name="常规 2 5 3 13 2 2 2 2" xfId="34766" xr:uid="{00000000-0005-0000-0000-0000CE870000}"/>
    <cellStyle name="常规 2 5 3 13 2 2 2 3" xfId="34767" xr:uid="{00000000-0005-0000-0000-0000CF870000}"/>
    <cellStyle name="常规 2 5 3 13 2 2 2 4" xfId="34768" xr:uid="{00000000-0005-0000-0000-0000D0870000}"/>
    <cellStyle name="常规 2 5 3 13 2 2 3" xfId="34769" xr:uid="{00000000-0005-0000-0000-0000D1870000}"/>
    <cellStyle name="常规 2 5 3 13 2 2 4" xfId="34770" xr:uid="{00000000-0005-0000-0000-0000D2870000}"/>
    <cellStyle name="常规 2 5 3 13 2 2 5" xfId="34771" xr:uid="{00000000-0005-0000-0000-0000D3870000}"/>
    <cellStyle name="常规 2 5 3 13 2 3" xfId="34772" xr:uid="{00000000-0005-0000-0000-0000D4870000}"/>
    <cellStyle name="常规 2 5 3 13 2 3 2" xfId="34773" xr:uid="{00000000-0005-0000-0000-0000D5870000}"/>
    <cellStyle name="常规 2 5 3 13 2 3 2 2" xfId="34774" xr:uid="{00000000-0005-0000-0000-0000D6870000}"/>
    <cellStyle name="常规 2 5 3 13 2 3 2 3" xfId="34775" xr:uid="{00000000-0005-0000-0000-0000D7870000}"/>
    <cellStyle name="常规 2 5 3 13 2 3 2 4" xfId="34776" xr:uid="{00000000-0005-0000-0000-0000D8870000}"/>
    <cellStyle name="常规 2 5 3 13 2 3 3" xfId="34777" xr:uid="{00000000-0005-0000-0000-0000D9870000}"/>
    <cellStyle name="常规 2 5 3 13 2 3 4" xfId="34778" xr:uid="{00000000-0005-0000-0000-0000DA870000}"/>
    <cellStyle name="常规 2 5 3 13 2 3 5" xfId="34779" xr:uid="{00000000-0005-0000-0000-0000DB870000}"/>
    <cellStyle name="常规 2 5 3 13 2 4" xfId="34780" xr:uid="{00000000-0005-0000-0000-0000DC870000}"/>
    <cellStyle name="常规 2 5 3 13 2 4 2" xfId="34781" xr:uid="{00000000-0005-0000-0000-0000DD870000}"/>
    <cellStyle name="常规 2 5 3 13 2 4 3" xfId="34782" xr:uid="{00000000-0005-0000-0000-0000DE870000}"/>
    <cellStyle name="常规 2 5 3 13 2 4 4" xfId="34783" xr:uid="{00000000-0005-0000-0000-0000DF870000}"/>
    <cellStyle name="常规 2 5 3 13 2 5" xfId="34784" xr:uid="{00000000-0005-0000-0000-0000E0870000}"/>
    <cellStyle name="常规 2 5 3 13 2 6" xfId="34785" xr:uid="{00000000-0005-0000-0000-0000E1870000}"/>
    <cellStyle name="常规 2 5 3 13 2 7" xfId="34786" xr:uid="{00000000-0005-0000-0000-0000E2870000}"/>
    <cellStyle name="常规 2 5 3 13 3" xfId="34787" xr:uid="{00000000-0005-0000-0000-0000E3870000}"/>
    <cellStyle name="常规 2 5 3 13 3 2" xfId="34788" xr:uid="{00000000-0005-0000-0000-0000E4870000}"/>
    <cellStyle name="常规 2 5 3 13 3 2 2" xfId="34789" xr:uid="{00000000-0005-0000-0000-0000E5870000}"/>
    <cellStyle name="常规 2 5 3 13 3 2 3" xfId="34790" xr:uid="{00000000-0005-0000-0000-0000E6870000}"/>
    <cellStyle name="常规 2 5 3 13 3 2 4" xfId="34791" xr:uid="{00000000-0005-0000-0000-0000E7870000}"/>
    <cellStyle name="常规 2 5 3 13 3 3" xfId="34792" xr:uid="{00000000-0005-0000-0000-0000E8870000}"/>
    <cellStyle name="常规 2 5 3 13 3 4" xfId="34793" xr:uid="{00000000-0005-0000-0000-0000E9870000}"/>
    <cellStyle name="常规 2 5 3 13 3 5" xfId="34794" xr:uid="{00000000-0005-0000-0000-0000EA870000}"/>
    <cellStyle name="常规 2 5 3 13 4" xfId="34795" xr:uid="{00000000-0005-0000-0000-0000EB870000}"/>
    <cellStyle name="常规 2 5 3 13 4 2" xfId="34796" xr:uid="{00000000-0005-0000-0000-0000EC870000}"/>
    <cellStyle name="常规 2 5 3 13 4 2 2" xfId="34797" xr:uid="{00000000-0005-0000-0000-0000ED870000}"/>
    <cellStyle name="常规 2 5 3 13 4 2 3" xfId="34798" xr:uid="{00000000-0005-0000-0000-0000EE870000}"/>
    <cellStyle name="常规 2 5 3 13 4 2 4" xfId="34799" xr:uid="{00000000-0005-0000-0000-0000EF870000}"/>
    <cellStyle name="常规 2 5 3 13 4 3" xfId="34800" xr:uid="{00000000-0005-0000-0000-0000F0870000}"/>
    <cellStyle name="常规 2 5 3 13 4 4" xfId="34801" xr:uid="{00000000-0005-0000-0000-0000F1870000}"/>
    <cellStyle name="常规 2 5 3 13 4 5" xfId="34802" xr:uid="{00000000-0005-0000-0000-0000F2870000}"/>
    <cellStyle name="常规 2 5 3 13 5" xfId="34803" xr:uid="{00000000-0005-0000-0000-0000F3870000}"/>
    <cellStyle name="常规 2 5 3 13 5 2" xfId="34804" xr:uid="{00000000-0005-0000-0000-0000F4870000}"/>
    <cellStyle name="常规 2 5 3 13 5 3" xfId="34805" xr:uid="{00000000-0005-0000-0000-0000F5870000}"/>
    <cellStyle name="常规 2 5 3 13 5 4" xfId="34806" xr:uid="{00000000-0005-0000-0000-0000F6870000}"/>
    <cellStyle name="常规 2 5 3 13 6" xfId="34807" xr:uid="{00000000-0005-0000-0000-0000F7870000}"/>
    <cellStyle name="常规 2 5 3 13 7" xfId="34808" xr:uid="{00000000-0005-0000-0000-0000F8870000}"/>
    <cellStyle name="常规 2 5 3 13 8" xfId="34809" xr:uid="{00000000-0005-0000-0000-0000F9870000}"/>
    <cellStyle name="常规 2 5 3 14" xfId="34810" xr:uid="{00000000-0005-0000-0000-0000FA870000}"/>
    <cellStyle name="常规 2 5 3 14 2" xfId="34811" xr:uid="{00000000-0005-0000-0000-0000FB870000}"/>
    <cellStyle name="常规 2 5 3 14 2 2" xfId="34812" xr:uid="{00000000-0005-0000-0000-0000FC870000}"/>
    <cellStyle name="常规 2 5 3 14 2 2 2" xfId="34813" xr:uid="{00000000-0005-0000-0000-0000FD870000}"/>
    <cellStyle name="常规 2 5 3 14 2 2 2 2" xfId="34814" xr:uid="{00000000-0005-0000-0000-0000FE870000}"/>
    <cellStyle name="常规 2 5 3 14 2 2 2 3" xfId="34815" xr:uid="{00000000-0005-0000-0000-0000FF870000}"/>
    <cellStyle name="常规 2 5 3 14 2 2 2 4" xfId="34816" xr:uid="{00000000-0005-0000-0000-000000880000}"/>
    <cellStyle name="常规 2 5 3 14 2 2 3" xfId="34817" xr:uid="{00000000-0005-0000-0000-000001880000}"/>
    <cellStyle name="常规 2 5 3 14 2 2 4" xfId="34818" xr:uid="{00000000-0005-0000-0000-000002880000}"/>
    <cellStyle name="常规 2 5 3 14 2 2 5" xfId="34819" xr:uid="{00000000-0005-0000-0000-000003880000}"/>
    <cellStyle name="常规 2 5 3 14 2 3" xfId="34820" xr:uid="{00000000-0005-0000-0000-000004880000}"/>
    <cellStyle name="常规 2 5 3 14 2 3 2" xfId="34821" xr:uid="{00000000-0005-0000-0000-000005880000}"/>
    <cellStyle name="常规 2 5 3 14 2 3 2 2" xfId="34822" xr:uid="{00000000-0005-0000-0000-000006880000}"/>
    <cellStyle name="常规 2 5 3 14 2 3 2 3" xfId="34823" xr:uid="{00000000-0005-0000-0000-000007880000}"/>
    <cellStyle name="常规 2 5 3 14 2 3 2 4" xfId="34824" xr:uid="{00000000-0005-0000-0000-000008880000}"/>
    <cellStyle name="常规 2 5 3 14 2 3 3" xfId="34825" xr:uid="{00000000-0005-0000-0000-000009880000}"/>
    <cellStyle name="常规 2 5 3 14 2 3 4" xfId="34826" xr:uid="{00000000-0005-0000-0000-00000A880000}"/>
    <cellStyle name="常规 2 5 3 14 2 3 5" xfId="34827" xr:uid="{00000000-0005-0000-0000-00000B880000}"/>
    <cellStyle name="常规 2 5 3 14 2 4" xfId="34828" xr:uid="{00000000-0005-0000-0000-00000C880000}"/>
    <cellStyle name="常规 2 5 3 14 2 4 2" xfId="34829" xr:uid="{00000000-0005-0000-0000-00000D880000}"/>
    <cellStyle name="常规 2 5 3 14 2 4 3" xfId="34830" xr:uid="{00000000-0005-0000-0000-00000E880000}"/>
    <cellStyle name="常规 2 5 3 14 2 4 4" xfId="34831" xr:uid="{00000000-0005-0000-0000-00000F880000}"/>
    <cellStyle name="常规 2 5 3 14 2 5" xfId="34832" xr:uid="{00000000-0005-0000-0000-000010880000}"/>
    <cellStyle name="常规 2 5 3 14 2 6" xfId="34833" xr:uid="{00000000-0005-0000-0000-000011880000}"/>
    <cellStyle name="常规 2 5 3 14 2 7" xfId="34834" xr:uid="{00000000-0005-0000-0000-000012880000}"/>
    <cellStyle name="常规 2 5 3 14 3" xfId="34835" xr:uid="{00000000-0005-0000-0000-000013880000}"/>
    <cellStyle name="常规 2 5 3 14 3 2" xfId="34836" xr:uid="{00000000-0005-0000-0000-000014880000}"/>
    <cellStyle name="常规 2 5 3 14 3 2 2" xfId="34837" xr:uid="{00000000-0005-0000-0000-000015880000}"/>
    <cellStyle name="常规 2 5 3 14 3 2 3" xfId="34838" xr:uid="{00000000-0005-0000-0000-000016880000}"/>
    <cellStyle name="常规 2 5 3 14 3 2 4" xfId="34839" xr:uid="{00000000-0005-0000-0000-000017880000}"/>
    <cellStyle name="常规 2 5 3 14 3 3" xfId="34840" xr:uid="{00000000-0005-0000-0000-000018880000}"/>
    <cellStyle name="常规 2 5 3 14 3 4" xfId="34841" xr:uid="{00000000-0005-0000-0000-000019880000}"/>
    <cellStyle name="常规 2 5 3 14 3 5" xfId="34842" xr:uid="{00000000-0005-0000-0000-00001A880000}"/>
    <cellStyle name="常规 2 5 3 14 4" xfId="34843" xr:uid="{00000000-0005-0000-0000-00001B880000}"/>
    <cellStyle name="常规 2 5 3 14 4 2" xfId="34844" xr:uid="{00000000-0005-0000-0000-00001C880000}"/>
    <cellStyle name="常规 2 5 3 14 4 2 2" xfId="34845" xr:uid="{00000000-0005-0000-0000-00001D880000}"/>
    <cellStyle name="常规 2 5 3 14 4 2 3" xfId="34846" xr:uid="{00000000-0005-0000-0000-00001E880000}"/>
    <cellStyle name="常规 2 5 3 14 4 2 4" xfId="34847" xr:uid="{00000000-0005-0000-0000-00001F880000}"/>
    <cellStyle name="常规 2 5 3 14 4 3" xfId="34848" xr:uid="{00000000-0005-0000-0000-000020880000}"/>
    <cellStyle name="常规 2 5 3 14 4 4" xfId="34849" xr:uid="{00000000-0005-0000-0000-000021880000}"/>
    <cellStyle name="常规 2 5 3 14 4 5" xfId="34850" xr:uid="{00000000-0005-0000-0000-000022880000}"/>
    <cellStyle name="常规 2 5 3 14 5" xfId="34851" xr:uid="{00000000-0005-0000-0000-000023880000}"/>
    <cellStyle name="常规 2 5 3 14 5 2" xfId="34852" xr:uid="{00000000-0005-0000-0000-000024880000}"/>
    <cellStyle name="常规 2 5 3 14 5 3" xfId="34853" xr:uid="{00000000-0005-0000-0000-000025880000}"/>
    <cellStyle name="常规 2 5 3 14 5 4" xfId="34854" xr:uid="{00000000-0005-0000-0000-000026880000}"/>
    <cellStyle name="常规 2 5 3 14 6" xfId="34855" xr:uid="{00000000-0005-0000-0000-000027880000}"/>
    <cellStyle name="常规 2 5 3 14 7" xfId="34856" xr:uid="{00000000-0005-0000-0000-000028880000}"/>
    <cellStyle name="常规 2 5 3 14 8" xfId="34857" xr:uid="{00000000-0005-0000-0000-000029880000}"/>
    <cellStyle name="常规 2 5 3 15" xfId="34858" xr:uid="{00000000-0005-0000-0000-00002A880000}"/>
    <cellStyle name="常规 2 5 3 15 2" xfId="34859" xr:uid="{00000000-0005-0000-0000-00002B880000}"/>
    <cellStyle name="常规 2 5 3 15 2 2" xfId="34860" xr:uid="{00000000-0005-0000-0000-00002C880000}"/>
    <cellStyle name="常规 2 5 3 15 2 3" xfId="34861" xr:uid="{00000000-0005-0000-0000-00002D880000}"/>
    <cellStyle name="常规 2 5 3 15 2 4" xfId="34862" xr:uid="{00000000-0005-0000-0000-00002E880000}"/>
    <cellStyle name="常规 2 5 3 15 3" xfId="34863" xr:uid="{00000000-0005-0000-0000-00002F880000}"/>
    <cellStyle name="常规 2 5 3 15 4" xfId="34864" xr:uid="{00000000-0005-0000-0000-000030880000}"/>
    <cellStyle name="常规 2 5 3 15 5" xfId="34865" xr:uid="{00000000-0005-0000-0000-000031880000}"/>
    <cellStyle name="常规 2 5 3 16" xfId="34866" xr:uid="{00000000-0005-0000-0000-000032880000}"/>
    <cellStyle name="常规 2 5 3 16 2" xfId="34867" xr:uid="{00000000-0005-0000-0000-000033880000}"/>
    <cellStyle name="常规 2 5 3 16 2 2" xfId="34868" xr:uid="{00000000-0005-0000-0000-000034880000}"/>
    <cellStyle name="常规 2 5 3 16 2 3" xfId="34869" xr:uid="{00000000-0005-0000-0000-000035880000}"/>
    <cellStyle name="常规 2 5 3 16 2 4" xfId="34870" xr:uid="{00000000-0005-0000-0000-000036880000}"/>
    <cellStyle name="常规 2 5 3 16 3" xfId="34871" xr:uid="{00000000-0005-0000-0000-000037880000}"/>
    <cellStyle name="常规 2 5 3 16 4" xfId="34872" xr:uid="{00000000-0005-0000-0000-000038880000}"/>
    <cellStyle name="常规 2 5 3 16 5" xfId="34873" xr:uid="{00000000-0005-0000-0000-000039880000}"/>
    <cellStyle name="常规 2 5 3 17" xfId="34874" xr:uid="{00000000-0005-0000-0000-00003A880000}"/>
    <cellStyle name="常规 2 5 3 17 2" xfId="34875" xr:uid="{00000000-0005-0000-0000-00003B880000}"/>
    <cellStyle name="常规 2 5 3 17 3" xfId="34876" xr:uid="{00000000-0005-0000-0000-00003C880000}"/>
    <cellStyle name="常规 2 5 3 17 4" xfId="34877" xr:uid="{00000000-0005-0000-0000-00003D880000}"/>
    <cellStyle name="常规 2 5 3 18" xfId="34878" xr:uid="{00000000-0005-0000-0000-00003E880000}"/>
    <cellStyle name="常规 2 5 3 19" xfId="34879" xr:uid="{00000000-0005-0000-0000-00003F880000}"/>
    <cellStyle name="常规 2 5 3 2" xfId="34880" xr:uid="{00000000-0005-0000-0000-000040880000}"/>
    <cellStyle name="常规 2 5 3 2 10" xfId="34881" xr:uid="{00000000-0005-0000-0000-000041880000}"/>
    <cellStyle name="常规 2 5 3 2 2" xfId="34882" xr:uid="{00000000-0005-0000-0000-000042880000}"/>
    <cellStyle name="常规 2 5 3 2 2 2" xfId="34883" xr:uid="{00000000-0005-0000-0000-000043880000}"/>
    <cellStyle name="常规 2 5 3 2 2 2 2" xfId="34884" xr:uid="{00000000-0005-0000-0000-000044880000}"/>
    <cellStyle name="常规 2 5 3 2 2 2 2 2" xfId="34885" xr:uid="{00000000-0005-0000-0000-000045880000}"/>
    <cellStyle name="常规 2 5 3 2 2 2 2 2 2" xfId="34886" xr:uid="{00000000-0005-0000-0000-000046880000}"/>
    <cellStyle name="常规 2 5 3 2 2 2 2 2 3" xfId="34887" xr:uid="{00000000-0005-0000-0000-000047880000}"/>
    <cellStyle name="常规 2 5 3 2 2 2 2 2 4" xfId="34888" xr:uid="{00000000-0005-0000-0000-000048880000}"/>
    <cellStyle name="常规 2 5 3 2 2 2 2 3" xfId="34889" xr:uid="{00000000-0005-0000-0000-000049880000}"/>
    <cellStyle name="常规 2 5 3 2 2 2 2 4" xfId="34890" xr:uid="{00000000-0005-0000-0000-00004A880000}"/>
    <cellStyle name="常规 2 5 3 2 2 2 2 5" xfId="34891" xr:uid="{00000000-0005-0000-0000-00004B880000}"/>
    <cellStyle name="常规 2 5 3 2 2 2 3" xfId="34892" xr:uid="{00000000-0005-0000-0000-00004C880000}"/>
    <cellStyle name="常规 2 5 3 2 2 2 3 2" xfId="34893" xr:uid="{00000000-0005-0000-0000-00004D880000}"/>
    <cellStyle name="常规 2 5 3 2 2 2 3 2 2" xfId="34894" xr:uid="{00000000-0005-0000-0000-00004E880000}"/>
    <cellStyle name="常规 2 5 3 2 2 2 3 2 3" xfId="34895" xr:uid="{00000000-0005-0000-0000-00004F880000}"/>
    <cellStyle name="常规 2 5 3 2 2 2 3 2 4" xfId="34896" xr:uid="{00000000-0005-0000-0000-000050880000}"/>
    <cellStyle name="常规 2 5 3 2 2 2 3 3" xfId="34897" xr:uid="{00000000-0005-0000-0000-000051880000}"/>
    <cellStyle name="常规 2 5 3 2 2 2 3 4" xfId="34898" xr:uid="{00000000-0005-0000-0000-000052880000}"/>
    <cellStyle name="常规 2 5 3 2 2 2 3 5" xfId="34899" xr:uid="{00000000-0005-0000-0000-000053880000}"/>
    <cellStyle name="常规 2 5 3 2 2 2 4" xfId="34900" xr:uid="{00000000-0005-0000-0000-000054880000}"/>
    <cellStyle name="常规 2 5 3 2 2 2 4 2" xfId="34901" xr:uid="{00000000-0005-0000-0000-000055880000}"/>
    <cellStyle name="常规 2 5 3 2 2 2 4 3" xfId="34902" xr:uid="{00000000-0005-0000-0000-000056880000}"/>
    <cellStyle name="常规 2 5 3 2 2 2 4 4" xfId="34903" xr:uid="{00000000-0005-0000-0000-000057880000}"/>
    <cellStyle name="常规 2 5 3 2 2 2 5" xfId="34904" xr:uid="{00000000-0005-0000-0000-000058880000}"/>
    <cellStyle name="常规 2 5 3 2 2 2 6" xfId="34905" xr:uid="{00000000-0005-0000-0000-000059880000}"/>
    <cellStyle name="常规 2 5 3 2 2 2 7" xfId="34906" xr:uid="{00000000-0005-0000-0000-00005A880000}"/>
    <cellStyle name="常规 2 5 3 2 2 3" xfId="34907" xr:uid="{00000000-0005-0000-0000-00005B880000}"/>
    <cellStyle name="常规 2 5 3 2 2 3 2" xfId="34908" xr:uid="{00000000-0005-0000-0000-00005C880000}"/>
    <cellStyle name="常规 2 5 3 2 2 3 2 2" xfId="34909" xr:uid="{00000000-0005-0000-0000-00005D880000}"/>
    <cellStyle name="常规 2 5 3 2 2 3 2 3" xfId="34910" xr:uid="{00000000-0005-0000-0000-00005E880000}"/>
    <cellStyle name="常规 2 5 3 2 2 3 2 4" xfId="34911" xr:uid="{00000000-0005-0000-0000-00005F880000}"/>
    <cellStyle name="常规 2 5 3 2 2 3 3" xfId="34912" xr:uid="{00000000-0005-0000-0000-000060880000}"/>
    <cellStyle name="常规 2 5 3 2 2 3 4" xfId="34913" xr:uid="{00000000-0005-0000-0000-000061880000}"/>
    <cellStyle name="常规 2 5 3 2 2 3 5" xfId="34914" xr:uid="{00000000-0005-0000-0000-000062880000}"/>
    <cellStyle name="常规 2 5 3 2 2 4" xfId="34915" xr:uid="{00000000-0005-0000-0000-000063880000}"/>
    <cellStyle name="常规 2 5 3 2 2 4 2" xfId="34916" xr:uid="{00000000-0005-0000-0000-000064880000}"/>
    <cellStyle name="常规 2 5 3 2 2 4 2 2" xfId="34917" xr:uid="{00000000-0005-0000-0000-000065880000}"/>
    <cellStyle name="常规 2 5 3 2 2 4 2 3" xfId="34918" xr:uid="{00000000-0005-0000-0000-000066880000}"/>
    <cellStyle name="常规 2 5 3 2 2 4 2 4" xfId="34919" xr:uid="{00000000-0005-0000-0000-000067880000}"/>
    <cellStyle name="常规 2 5 3 2 2 4 3" xfId="34920" xr:uid="{00000000-0005-0000-0000-000068880000}"/>
    <cellStyle name="常规 2 5 3 2 2 4 4" xfId="34921" xr:uid="{00000000-0005-0000-0000-000069880000}"/>
    <cellStyle name="常规 2 5 3 2 2 4 5" xfId="34922" xr:uid="{00000000-0005-0000-0000-00006A880000}"/>
    <cellStyle name="常规 2 5 3 2 2 5" xfId="34923" xr:uid="{00000000-0005-0000-0000-00006B880000}"/>
    <cellStyle name="常规 2 5 3 2 2 5 2" xfId="34924" xr:uid="{00000000-0005-0000-0000-00006C880000}"/>
    <cellStyle name="常规 2 5 3 2 2 5 3" xfId="34925" xr:uid="{00000000-0005-0000-0000-00006D880000}"/>
    <cellStyle name="常规 2 5 3 2 2 5 4" xfId="34926" xr:uid="{00000000-0005-0000-0000-00006E880000}"/>
    <cellStyle name="常规 2 5 3 2 2 6" xfId="34927" xr:uid="{00000000-0005-0000-0000-00006F880000}"/>
    <cellStyle name="常规 2 5 3 2 2 7" xfId="34928" xr:uid="{00000000-0005-0000-0000-000070880000}"/>
    <cellStyle name="常规 2 5 3 2 2 8" xfId="34929" xr:uid="{00000000-0005-0000-0000-000071880000}"/>
    <cellStyle name="常规 2 5 3 2 2 9" xfId="34930" xr:uid="{00000000-0005-0000-0000-000072880000}"/>
    <cellStyle name="常规 2 5 3 2 2 9 2" xfId="34931" xr:uid="{00000000-0005-0000-0000-000073880000}"/>
    <cellStyle name="常规 2 5 3 2 3" xfId="34932" xr:uid="{00000000-0005-0000-0000-000074880000}"/>
    <cellStyle name="常规 2 5 3 2 3 2" xfId="34933" xr:uid="{00000000-0005-0000-0000-000075880000}"/>
    <cellStyle name="常规 2 5 3 2 3 2 2" xfId="34934" xr:uid="{00000000-0005-0000-0000-000076880000}"/>
    <cellStyle name="常规 2 5 3 2 3 2 3" xfId="34935" xr:uid="{00000000-0005-0000-0000-000077880000}"/>
    <cellStyle name="常规 2 5 3 2 3 2 4" xfId="34936" xr:uid="{00000000-0005-0000-0000-000078880000}"/>
    <cellStyle name="常规 2 5 3 2 3 3" xfId="34937" xr:uid="{00000000-0005-0000-0000-000079880000}"/>
    <cellStyle name="常规 2 5 3 2 3 4" xfId="34938" xr:uid="{00000000-0005-0000-0000-00007A880000}"/>
    <cellStyle name="常规 2 5 3 2 3 5" xfId="34939" xr:uid="{00000000-0005-0000-0000-00007B880000}"/>
    <cellStyle name="常规 2 5 3 2 3 6" xfId="34940" xr:uid="{00000000-0005-0000-0000-00007C880000}"/>
    <cellStyle name="常规 2 5 3 2 3 6 2" xfId="34941" xr:uid="{00000000-0005-0000-0000-00007D880000}"/>
    <cellStyle name="常规 2 5 3 2 4" xfId="34942" xr:uid="{00000000-0005-0000-0000-00007E880000}"/>
    <cellStyle name="常规 2 5 3 2 4 2" xfId="34943" xr:uid="{00000000-0005-0000-0000-00007F880000}"/>
    <cellStyle name="常规 2 5 3 2 4 2 2" xfId="34944" xr:uid="{00000000-0005-0000-0000-000080880000}"/>
    <cellStyle name="常规 2 5 3 2 4 2 3" xfId="34945" xr:uid="{00000000-0005-0000-0000-000081880000}"/>
    <cellStyle name="常规 2 5 3 2 4 2 4" xfId="34946" xr:uid="{00000000-0005-0000-0000-000082880000}"/>
    <cellStyle name="常规 2 5 3 2 4 2 5" xfId="34947" xr:uid="{00000000-0005-0000-0000-000083880000}"/>
    <cellStyle name="常规 2 5 3 2 4 3" xfId="34948" xr:uid="{00000000-0005-0000-0000-000084880000}"/>
    <cellStyle name="常规 2 5 3 2 4 4" xfId="34949" xr:uid="{00000000-0005-0000-0000-000085880000}"/>
    <cellStyle name="常规 2 5 3 2 4 5" xfId="34950" xr:uid="{00000000-0005-0000-0000-000086880000}"/>
    <cellStyle name="常规 2 5 3 2 4 6" xfId="34951" xr:uid="{00000000-0005-0000-0000-000087880000}"/>
    <cellStyle name="常规 2 5 3 2 5" xfId="34952" xr:uid="{00000000-0005-0000-0000-000088880000}"/>
    <cellStyle name="常规 2 5 3 2 5 2" xfId="34953" xr:uid="{00000000-0005-0000-0000-000089880000}"/>
    <cellStyle name="常规 2 5 3 2 5 2 2" xfId="34954" xr:uid="{00000000-0005-0000-0000-00008A880000}"/>
    <cellStyle name="常规 2 5 3 2 5 3" xfId="34955" xr:uid="{00000000-0005-0000-0000-00008B880000}"/>
    <cellStyle name="常规 2 5 3 2 5 4" xfId="34956" xr:uid="{00000000-0005-0000-0000-00008C880000}"/>
    <cellStyle name="常规 2 5 3 2 5 5" xfId="34957" xr:uid="{00000000-0005-0000-0000-00008D880000}"/>
    <cellStyle name="常规 2 5 3 2 6" xfId="34958" xr:uid="{00000000-0005-0000-0000-00008E880000}"/>
    <cellStyle name="常规 2 5 3 2 7" xfId="34959" xr:uid="{00000000-0005-0000-0000-00008F880000}"/>
    <cellStyle name="常规 2 5 3 2 8" xfId="34960" xr:uid="{00000000-0005-0000-0000-000090880000}"/>
    <cellStyle name="常规 2 5 3 2 9" xfId="34961" xr:uid="{00000000-0005-0000-0000-000091880000}"/>
    <cellStyle name="常规 2 5 3 2 9 2" xfId="34962" xr:uid="{00000000-0005-0000-0000-000092880000}"/>
    <cellStyle name="常规 2 5 3 20" xfId="34963" xr:uid="{00000000-0005-0000-0000-000093880000}"/>
    <cellStyle name="常规 2 5 3 21" xfId="34964" xr:uid="{00000000-0005-0000-0000-000094880000}"/>
    <cellStyle name="常规 2 5 3 21 2" xfId="34965" xr:uid="{00000000-0005-0000-0000-000095880000}"/>
    <cellStyle name="常规 2 5 3 22" xfId="34966" xr:uid="{00000000-0005-0000-0000-000096880000}"/>
    <cellStyle name="常规 2 5 3 3" xfId="34967" xr:uid="{00000000-0005-0000-0000-000097880000}"/>
    <cellStyle name="常规 2 5 3 3 10" xfId="34968" xr:uid="{00000000-0005-0000-0000-000098880000}"/>
    <cellStyle name="常规 2 5 3 3 2" xfId="34969" xr:uid="{00000000-0005-0000-0000-000099880000}"/>
    <cellStyle name="常规 2 5 3 3 2 10" xfId="34970" xr:uid="{00000000-0005-0000-0000-00009A880000}"/>
    <cellStyle name="常规 2 5 3 3 2 2" xfId="34971" xr:uid="{00000000-0005-0000-0000-00009B880000}"/>
    <cellStyle name="常规 2 5 3 3 2 2 2" xfId="34972" xr:uid="{00000000-0005-0000-0000-00009C880000}"/>
    <cellStyle name="常规 2 5 3 3 2 2 2 2" xfId="34973" xr:uid="{00000000-0005-0000-0000-00009D880000}"/>
    <cellStyle name="常规 2 5 3 3 2 2 2 2 2" xfId="34974" xr:uid="{00000000-0005-0000-0000-00009E880000}"/>
    <cellStyle name="常规 2 5 3 3 2 2 2 2 3" xfId="34975" xr:uid="{00000000-0005-0000-0000-00009F880000}"/>
    <cellStyle name="常规 2 5 3 3 2 2 2 2 4" xfId="34976" xr:uid="{00000000-0005-0000-0000-0000A0880000}"/>
    <cellStyle name="常规 2 5 3 3 2 2 2 3" xfId="34977" xr:uid="{00000000-0005-0000-0000-0000A1880000}"/>
    <cellStyle name="常规 2 5 3 3 2 2 2 4" xfId="34978" xr:uid="{00000000-0005-0000-0000-0000A2880000}"/>
    <cellStyle name="常规 2 5 3 3 2 2 2 5" xfId="34979" xr:uid="{00000000-0005-0000-0000-0000A3880000}"/>
    <cellStyle name="常规 2 5 3 3 2 2 3" xfId="34980" xr:uid="{00000000-0005-0000-0000-0000A4880000}"/>
    <cellStyle name="常规 2 5 3 3 2 2 3 2" xfId="34981" xr:uid="{00000000-0005-0000-0000-0000A5880000}"/>
    <cellStyle name="常规 2 5 3 3 2 2 3 2 2" xfId="34982" xr:uid="{00000000-0005-0000-0000-0000A6880000}"/>
    <cellStyle name="常规 2 5 3 3 2 2 3 2 3" xfId="34983" xr:uid="{00000000-0005-0000-0000-0000A7880000}"/>
    <cellStyle name="常规 2 5 3 3 2 2 3 2 4" xfId="34984" xr:uid="{00000000-0005-0000-0000-0000A8880000}"/>
    <cellStyle name="常规 2 5 3 3 2 2 3 3" xfId="34985" xr:uid="{00000000-0005-0000-0000-0000A9880000}"/>
    <cellStyle name="常规 2 5 3 3 2 2 3 4" xfId="34986" xr:uid="{00000000-0005-0000-0000-0000AA880000}"/>
    <cellStyle name="常规 2 5 3 3 2 2 3 5" xfId="34987" xr:uid="{00000000-0005-0000-0000-0000AB880000}"/>
    <cellStyle name="常规 2 5 3 3 2 2 4" xfId="34988" xr:uid="{00000000-0005-0000-0000-0000AC880000}"/>
    <cellStyle name="常规 2 5 3 3 2 2 4 2" xfId="34989" xr:uid="{00000000-0005-0000-0000-0000AD880000}"/>
    <cellStyle name="常规 2 5 3 3 2 2 4 3" xfId="34990" xr:uid="{00000000-0005-0000-0000-0000AE880000}"/>
    <cellStyle name="常规 2 5 3 3 2 2 4 4" xfId="34991" xr:uid="{00000000-0005-0000-0000-0000AF880000}"/>
    <cellStyle name="常规 2 5 3 3 2 2 5" xfId="34992" xr:uid="{00000000-0005-0000-0000-0000B0880000}"/>
    <cellStyle name="常规 2 5 3 3 2 2 6" xfId="34993" xr:uid="{00000000-0005-0000-0000-0000B1880000}"/>
    <cellStyle name="常规 2 5 3 3 2 2 7" xfId="34994" xr:uid="{00000000-0005-0000-0000-0000B2880000}"/>
    <cellStyle name="常规 2 5 3 3 2 2 8" xfId="34995" xr:uid="{00000000-0005-0000-0000-0000B3880000}"/>
    <cellStyle name="常规 2 5 3 3 2 3" xfId="34996" xr:uid="{00000000-0005-0000-0000-0000B4880000}"/>
    <cellStyle name="常规 2 5 3 3 2 3 2" xfId="34997" xr:uid="{00000000-0005-0000-0000-0000B5880000}"/>
    <cellStyle name="常规 2 5 3 3 2 3 2 2" xfId="34998" xr:uid="{00000000-0005-0000-0000-0000B6880000}"/>
    <cellStyle name="常规 2 5 3 3 2 3 2 3" xfId="34999" xr:uid="{00000000-0005-0000-0000-0000B7880000}"/>
    <cellStyle name="常规 2 5 3 3 2 3 2 4" xfId="35000" xr:uid="{00000000-0005-0000-0000-0000B8880000}"/>
    <cellStyle name="常规 2 5 3 3 2 3 3" xfId="35001" xr:uid="{00000000-0005-0000-0000-0000B9880000}"/>
    <cellStyle name="常规 2 5 3 3 2 3 4" xfId="35002" xr:uid="{00000000-0005-0000-0000-0000BA880000}"/>
    <cellStyle name="常规 2 5 3 3 2 3 5" xfId="35003" xr:uid="{00000000-0005-0000-0000-0000BB880000}"/>
    <cellStyle name="常规 2 5 3 3 2 4" xfId="35004" xr:uid="{00000000-0005-0000-0000-0000BC880000}"/>
    <cellStyle name="常规 2 5 3 3 2 4 2" xfId="35005" xr:uid="{00000000-0005-0000-0000-0000BD880000}"/>
    <cellStyle name="常规 2 5 3 3 2 4 2 2" xfId="35006" xr:uid="{00000000-0005-0000-0000-0000BE880000}"/>
    <cellStyle name="常规 2 5 3 3 2 4 2 3" xfId="35007" xr:uid="{00000000-0005-0000-0000-0000BF880000}"/>
    <cellStyle name="常规 2 5 3 3 2 4 2 4" xfId="35008" xr:uid="{00000000-0005-0000-0000-0000C0880000}"/>
    <cellStyle name="常规 2 5 3 3 2 4 3" xfId="35009" xr:uid="{00000000-0005-0000-0000-0000C1880000}"/>
    <cellStyle name="常规 2 5 3 3 2 4 4" xfId="35010" xr:uid="{00000000-0005-0000-0000-0000C2880000}"/>
    <cellStyle name="常规 2 5 3 3 2 4 5" xfId="35011" xr:uid="{00000000-0005-0000-0000-0000C3880000}"/>
    <cellStyle name="常规 2 5 3 3 2 5" xfId="35012" xr:uid="{00000000-0005-0000-0000-0000C4880000}"/>
    <cellStyle name="常规 2 5 3 3 2 5 2" xfId="35013" xr:uid="{00000000-0005-0000-0000-0000C5880000}"/>
    <cellStyle name="常规 2 5 3 3 2 5 3" xfId="35014" xr:uid="{00000000-0005-0000-0000-0000C6880000}"/>
    <cellStyle name="常规 2 5 3 3 2 5 4" xfId="35015" xr:uid="{00000000-0005-0000-0000-0000C7880000}"/>
    <cellStyle name="常规 2 5 3 3 2 6" xfId="35016" xr:uid="{00000000-0005-0000-0000-0000C8880000}"/>
    <cellStyle name="常规 2 5 3 3 2 7" xfId="35017" xr:uid="{00000000-0005-0000-0000-0000C9880000}"/>
    <cellStyle name="常规 2 5 3 3 2 8" xfId="35018" xr:uid="{00000000-0005-0000-0000-0000CA880000}"/>
    <cellStyle name="常规 2 5 3 3 2 9" xfId="35019" xr:uid="{00000000-0005-0000-0000-0000CB880000}"/>
    <cellStyle name="常规 2 5 3 3 2 9 2" xfId="35020" xr:uid="{00000000-0005-0000-0000-0000CC880000}"/>
    <cellStyle name="常规 2 5 3 3 3" xfId="35021" xr:uid="{00000000-0005-0000-0000-0000CD880000}"/>
    <cellStyle name="常规 2 5 3 3 3 2" xfId="35022" xr:uid="{00000000-0005-0000-0000-0000CE880000}"/>
    <cellStyle name="常规 2 5 3 3 3 2 2" xfId="35023" xr:uid="{00000000-0005-0000-0000-0000CF880000}"/>
    <cellStyle name="常规 2 5 3 3 3 2 3" xfId="35024" xr:uid="{00000000-0005-0000-0000-0000D0880000}"/>
    <cellStyle name="常规 2 5 3 3 3 2 4" xfId="35025" xr:uid="{00000000-0005-0000-0000-0000D1880000}"/>
    <cellStyle name="常规 2 5 3 3 3 2 5" xfId="35026" xr:uid="{00000000-0005-0000-0000-0000D2880000}"/>
    <cellStyle name="常规 2 5 3 3 3 3" xfId="35027" xr:uid="{00000000-0005-0000-0000-0000D3880000}"/>
    <cellStyle name="常规 2 5 3 3 3 4" xfId="35028" xr:uid="{00000000-0005-0000-0000-0000D4880000}"/>
    <cellStyle name="常规 2 5 3 3 3 5" xfId="35029" xr:uid="{00000000-0005-0000-0000-0000D5880000}"/>
    <cellStyle name="常规 2 5 3 3 3 6" xfId="35030" xr:uid="{00000000-0005-0000-0000-0000D6880000}"/>
    <cellStyle name="常规 2 5 3 3 4" xfId="35031" xr:uid="{00000000-0005-0000-0000-0000D7880000}"/>
    <cellStyle name="常规 2 5 3 3 4 2" xfId="35032" xr:uid="{00000000-0005-0000-0000-0000D8880000}"/>
    <cellStyle name="常规 2 5 3 3 4 2 2" xfId="35033" xr:uid="{00000000-0005-0000-0000-0000D9880000}"/>
    <cellStyle name="常规 2 5 3 3 4 2 3" xfId="35034" xr:uid="{00000000-0005-0000-0000-0000DA880000}"/>
    <cellStyle name="常规 2 5 3 3 4 2 4" xfId="35035" xr:uid="{00000000-0005-0000-0000-0000DB880000}"/>
    <cellStyle name="常规 2 5 3 3 4 2 5" xfId="35036" xr:uid="{00000000-0005-0000-0000-0000DC880000}"/>
    <cellStyle name="常规 2 5 3 3 4 3" xfId="35037" xr:uid="{00000000-0005-0000-0000-0000DD880000}"/>
    <cellStyle name="常规 2 5 3 3 4 4" xfId="35038" xr:uid="{00000000-0005-0000-0000-0000DE880000}"/>
    <cellStyle name="常规 2 5 3 3 4 5" xfId="35039" xr:uid="{00000000-0005-0000-0000-0000DF880000}"/>
    <cellStyle name="常规 2 5 3 3 4 6" xfId="35040" xr:uid="{00000000-0005-0000-0000-0000E0880000}"/>
    <cellStyle name="常规 2 5 3 3 5" xfId="35041" xr:uid="{00000000-0005-0000-0000-0000E1880000}"/>
    <cellStyle name="常规 2 5 3 3 5 2" xfId="35042" xr:uid="{00000000-0005-0000-0000-0000E2880000}"/>
    <cellStyle name="常规 2 5 3 3 5 3" xfId="35043" xr:uid="{00000000-0005-0000-0000-0000E3880000}"/>
    <cellStyle name="常规 2 5 3 3 5 4" xfId="35044" xr:uid="{00000000-0005-0000-0000-0000E4880000}"/>
    <cellStyle name="常规 2 5 3 3 5 5" xfId="35045" xr:uid="{00000000-0005-0000-0000-0000E5880000}"/>
    <cellStyle name="常规 2 5 3 3 6" xfId="35046" xr:uid="{00000000-0005-0000-0000-0000E6880000}"/>
    <cellStyle name="常规 2 5 3 3 7" xfId="35047" xr:uid="{00000000-0005-0000-0000-0000E7880000}"/>
    <cellStyle name="常规 2 5 3 3 8" xfId="35048" xr:uid="{00000000-0005-0000-0000-0000E8880000}"/>
    <cellStyle name="常规 2 5 3 3 9" xfId="35049" xr:uid="{00000000-0005-0000-0000-0000E9880000}"/>
    <cellStyle name="常规 2 5 3 3 9 2" xfId="35050" xr:uid="{00000000-0005-0000-0000-0000EA880000}"/>
    <cellStyle name="常规 2 5 3 4" xfId="35051" xr:uid="{00000000-0005-0000-0000-0000EB880000}"/>
    <cellStyle name="常规 2 5 3 4 2" xfId="35052" xr:uid="{00000000-0005-0000-0000-0000EC880000}"/>
    <cellStyle name="常规 2 5 3 4 2 2" xfId="35053" xr:uid="{00000000-0005-0000-0000-0000ED880000}"/>
    <cellStyle name="常规 2 5 3 4 2 2 2" xfId="35054" xr:uid="{00000000-0005-0000-0000-0000EE880000}"/>
    <cellStyle name="常规 2 5 3 4 2 2 2 2" xfId="35055" xr:uid="{00000000-0005-0000-0000-0000EF880000}"/>
    <cellStyle name="常规 2 5 3 4 2 2 2 2 2" xfId="35056" xr:uid="{00000000-0005-0000-0000-0000F0880000}"/>
    <cellStyle name="常规 2 5 3 4 2 2 2 2 3" xfId="35057" xr:uid="{00000000-0005-0000-0000-0000F1880000}"/>
    <cellStyle name="常规 2 5 3 4 2 2 2 2 4" xfId="35058" xr:uid="{00000000-0005-0000-0000-0000F2880000}"/>
    <cellStyle name="常规 2 5 3 4 2 2 2 3" xfId="35059" xr:uid="{00000000-0005-0000-0000-0000F3880000}"/>
    <cellStyle name="常规 2 5 3 4 2 2 2 4" xfId="35060" xr:uid="{00000000-0005-0000-0000-0000F4880000}"/>
    <cellStyle name="常规 2 5 3 4 2 2 2 5" xfId="35061" xr:uid="{00000000-0005-0000-0000-0000F5880000}"/>
    <cellStyle name="常规 2 5 3 4 2 2 3" xfId="35062" xr:uid="{00000000-0005-0000-0000-0000F6880000}"/>
    <cellStyle name="常规 2 5 3 4 2 2 3 2" xfId="35063" xr:uid="{00000000-0005-0000-0000-0000F7880000}"/>
    <cellStyle name="常规 2 5 3 4 2 2 3 2 2" xfId="35064" xr:uid="{00000000-0005-0000-0000-0000F8880000}"/>
    <cellStyle name="常规 2 5 3 4 2 2 3 2 3" xfId="35065" xr:uid="{00000000-0005-0000-0000-0000F9880000}"/>
    <cellStyle name="常规 2 5 3 4 2 2 3 2 4" xfId="35066" xr:uid="{00000000-0005-0000-0000-0000FA880000}"/>
    <cellStyle name="常规 2 5 3 4 2 2 3 3" xfId="35067" xr:uid="{00000000-0005-0000-0000-0000FB880000}"/>
    <cellStyle name="常规 2 5 3 4 2 2 3 4" xfId="35068" xr:uid="{00000000-0005-0000-0000-0000FC880000}"/>
    <cellStyle name="常规 2 5 3 4 2 2 3 5" xfId="35069" xr:uid="{00000000-0005-0000-0000-0000FD880000}"/>
    <cellStyle name="常规 2 5 3 4 2 2 4" xfId="35070" xr:uid="{00000000-0005-0000-0000-0000FE880000}"/>
    <cellStyle name="常规 2 5 3 4 2 2 4 2" xfId="35071" xr:uid="{00000000-0005-0000-0000-0000FF880000}"/>
    <cellStyle name="常规 2 5 3 4 2 2 4 3" xfId="35072" xr:uid="{00000000-0005-0000-0000-000000890000}"/>
    <cellStyle name="常规 2 5 3 4 2 2 4 4" xfId="35073" xr:uid="{00000000-0005-0000-0000-000001890000}"/>
    <cellStyle name="常规 2 5 3 4 2 2 5" xfId="35074" xr:uid="{00000000-0005-0000-0000-000002890000}"/>
    <cellStyle name="常规 2 5 3 4 2 2 6" xfId="35075" xr:uid="{00000000-0005-0000-0000-000003890000}"/>
    <cellStyle name="常规 2 5 3 4 2 2 7" xfId="35076" xr:uid="{00000000-0005-0000-0000-000004890000}"/>
    <cellStyle name="常规 2 5 3 4 2 3" xfId="35077" xr:uid="{00000000-0005-0000-0000-000005890000}"/>
    <cellStyle name="常规 2 5 3 4 2 3 2" xfId="35078" xr:uid="{00000000-0005-0000-0000-000006890000}"/>
    <cellStyle name="常规 2 5 3 4 2 3 2 2" xfId="35079" xr:uid="{00000000-0005-0000-0000-000007890000}"/>
    <cellStyle name="常规 2 5 3 4 2 3 2 3" xfId="35080" xr:uid="{00000000-0005-0000-0000-000008890000}"/>
    <cellStyle name="常规 2 5 3 4 2 3 2 4" xfId="35081" xr:uid="{00000000-0005-0000-0000-000009890000}"/>
    <cellStyle name="常规 2 5 3 4 2 3 3" xfId="35082" xr:uid="{00000000-0005-0000-0000-00000A890000}"/>
    <cellStyle name="常规 2 5 3 4 2 3 4" xfId="35083" xr:uid="{00000000-0005-0000-0000-00000B890000}"/>
    <cellStyle name="常规 2 5 3 4 2 3 5" xfId="35084" xr:uid="{00000000-0005-0000-0000-00000C890000}"/>
    <cellStyle name="常规 2 5 3 4 2 4" xfId="35085" xr:uid="{00000000-0005-0000-0000-00000D890000}"/>
    <cellStyle name="常规 2 5 3 4 2 4 2" xfId="35086" xr:uid="{00000000-0005-0000-0000-00000E890000}"/>
    <cellStyle name="常规 2 5 3 4 2 4 2 2" xfId="35087" xr:uid="{00000000-0005-0000-0000-00000F890000}"/>
    <cellStyle name="常规 2 5 3 4 2 4 2 3" xfId="35088" xr:uid="{00000000-0005-0000-0000-000010890000}"/>
    <cellStyle name="常规 2 5 3 4 2 4 2 4" xfId="35089" xr:uid="{00000000-0005-0000-0000-000011890000}"/>
    <cellStyle name="常规 2 5 3 4 2 4 3" xfId="35090" xr:uid="{00000000-0005-0000-0000-000012890000}"/>
    <cellStyle name="常规 2 5 3 4 2 4 4" xfId="35091" xr:uid="{00000000-0005-0000-0000-000013890000}"/>
    <cellStyle name="常规 2 5 3 4 2 4 5" xfId="35092" xr:uid="{00000000-0005-0000-0000-000014890000}"/>
    <cellStyle name="常规 2 5 3 4 2 5" xfId="35093" xr:uid="{00000000-0005-0000-0000-000015890000}"/>
    <cellStyle name="常规 2 5 3 4 2 5 2" xfId="35094" xr:uid="{00000000-0005-0000-0000-000016890000}"/>
    <cellStyle name="常规 2 5 3 4 2 5 3" xfId="35095" xr:uid="{00000000-0005-0000-0000-000017890000}"/>
    <cellStyle name="常规 2 5 3 4 2 5 4" xfId="35096" xr:uid="{00000000-0005-0000-0000-000018890000}"/>
    <cellStyle name="常规 2 5 3 4 2 6" xfId="35097" xr:uid="{00000000-0005-0000-0000-000019890000}"/>
    <cellStyle name="常规 2 5 3 4 2 7" xfId="35098" xr:uid="{00000000-0005-0000-0000-00001A890000}"/>
    <cellStyle name="常规 2 5 3 4 2 8" xfId="35099" xr:uid="{00000000-0005-0000-0000-00001B890000}"/>
    <cellStyle name="常规 2 5 3 4 3" xfId="35100" xr:uid="{00000000-0005-0000-0000-00001C890000}"/>
    <cellStyle name="常规 2 5 3 4 3 2" xfId="35101" xr:uid="{00000000-0005-0000-0000-00001D890000}"/>
    <cellStyle name="常规 2 5 3 4 3 2 2" xfId="35102" xr:uid="{00000000-0005-0000-0000-00001E890000}"/>
    <cellStyle name="常规 2 5 3 4 3 2 3" xfId="35103" xr:uid="{00000000-0005-0000-0000-00001F890000}"/>
    <cellStyle name="常规 2 5 3 4 3 2 4" xfId="35104" xr:uid="{00000000-0005-0000-0000-000020890000}"/>
    <cellStyle name="常规 2 5 3 4 3 3" xfId="35105" xr:uid="{00000000-0005-0000-0000-000021890000}"/>
    <cellStyle name="常规 2 5 3 4 3 4" xfId="35106" xr:uid="{00000000-0005-0000-0000-000022890000}"/>
    <cellStyle name="常规 2 5 3 4 3 5" xfId="35107" xr:uid="{00000000-0005-0000-0000-000023890000}"/>
    <cellStyle name="常规 2 5 3 4 4" xfId="35108" xr:uid="{00000000-0005-0000-0000-000024890000}"/>
    <cellStyle name="常规 2 5 3 4 4 2" xfId="35109" xr:uid="{00000000-0005-0000-0000-000025890000}"/>
    <cellStyle name="常规 2 5 3 4 4 2 2" xfId="35110" xr:uid="{00000000-0005-0000-0000-000026890000}"/>
    <cellStyle name="常规 2 5 3 4 4 2 3" xfId="35111" xr:uid="{00000000-0005-0000-0000-000027890000}"/>
    <cellStyle name="常规 2 5 3 4 4 2 4" xfId="35112" xr:uid="{00000000-0005-0000-0000-000028890000}"/>
    <cellStyle name="常规 2 5 3 4 4 3" xfId="35113" xr:uid="{00000000-0005-0000-0000-000029890000}"/>
    <cellStyle name="常规 2 5 3 4 4 4" xfId="35114" xr:uid="{00000000-0005-0000-0000-00002A890000}"/>
    <cellStyle name="常规 2 5 3 4 4 5" xfId="35115" xr:uid="{00000000-0005-0000-0000-00002B890000}"/>
    <cellStyle name="常规 2 5 3 4 5" xfId="35116" xr:uid="{00000000-0005-0000-0000-00002C890000}"/>
    <cellStyle name="常规 2 5 3 4 5 2" xfId="35117" xr:uid="{00000000-0005-0000-0000-00002D890000}"/>
    <cellStyle name="常规 2 5 3 4 5 3" xfId="35118" xr:uid="{00000000-0005-0000-0000-00002E890000}"/>
    <cellStyle name="常规 2 5 3 4 5 4" xfId="35119" xr:uid="{00000000-0005-0000-0000-00002F890000}"/>
    <cellStyle name="常规 2 5 3 4 6" xfId="35120" xr:uid="{00000000-0005-0000-0000-000030890000}"/>
    <cellStyle name="常规 2 5 3 4 7" xfId="35121" xr:uid="{00000000-0005-0000-0000-000031890000}"/>
    <cellStyle name="常规 2 5 3 4 8" xfId="35122" xr:uid="{00000000-0005-0000-0000-000032890000}"/>
    <cellStyle name="常规 2 5 3 4 9" xfId="35123" xr:uid="{00000000-0005-0000-0000-000033890000}"/>
    <cellStyle name="常规 2 5 3 4 9 2" xfId="35124" xr:uid="{00000000-0005-0000-0000-000034890000}"/>
    <cellStyle name="常规 2 5 3 5" xfId="35125" xr:uid="{00000000-0005-0000-0000-000035890000}"/>
    <cellStyle name="常规 2 5 3 5 2" xfId="35126" xr:uid="{00000000-0005-0000-0000-000036890000}"/>
    <cellStyle name="常规 2 5 3 5 2 2" xfId="35127" xr:uid="{00000000-0005-0000-0000-000037890000}"/>
    <cellStyle name="常规 2 5 3 5 2 2 2" xfId="35128" xr:uid="{00000000-0005-0000-0000-000038890000}"/>
    <cellStyle name="常规 2 5 3 5 2 2 2 2" xfId="35129" xr:uid="{00000000-0005-0000-0000-000039890000}"/>
    <cellStyle name="常规 2 5 3 5 2 2 2 2 2" xfId="35130" xr:uid="{00000000-0005-0000-0000-00003A890000}"/>
    <cellStyle name="常规 2 5 3 5 2 2 2 2 3" xfId="35131" xr:uid="{00000000-0005-0000-0000-00003B890000}"/>
    <cellStyle name="常规 2 5 3 5 2 2 2 2 4" xfId="35132" xr:uid="{00000000-0005-0000-0000-00003C890000}"/>
    <cellStyle name="常规 2 5 3 5 2 2 2 3" xfId="35133" xr:uid="{00000000-0005-0000-0000-00003D890000}"/>
    <cellStyle name="常规 2 5 3 5 2 2 2 4" xfId="35134" xr:uid="{00000000-0005-0000-0000-00003E890000}"/>
    <cellStyle name="常规 2 5 3 5 2 2 2 5" xfId="35135" xr:uid="{00000000-0005-0000-0000-00003F890000}"/>
    <cellStyle name="常规 2 5 3 5 2 2 3" xfId="35136" xr:uid="{00000000-0005-0000-0000-000040890000}"/>
    <cellStyle name="常规 2 5 3 5 2 2 3 2" xfId="35137" xr:uid="{00000000-0005-0000-0000-000041890000}"/>
    <cellStyle name="常规 2 5 3 5 2 2 3 2 2" xfId="35138" xr:uid="{00000000-0005-0000-0000-000042890000}"/>
    <cellStyle name="常规 2 5 3 5 2 2 3 2 3" xfId="35139" xr:uid="{00000000-0005-0000-0000-000043890000}"/>
    <cellStyle name="常规 2 5 3 5 2 2 3 2 4" xfId="35140" xr:uid="{00000000-0005-0000-0000-000044890000}"/>
    <cellStyle name="常规 2 5 3 5 2 2 3 3" xfId="35141" xr:uid="{00000000-0005-0000-0000-000045890000}"/>
    <cellStyle name="常规 2 5 3 5 2 2 3 4" xfId="35142" xr:uid="{00000000-0005-0000-0000-000046890000}"/>
    <cellStyle name="常规 2 5 3 5 2 2 3 5" xfId="35143" xr:uid="{00000000-0005-0000-0000-000047890000}"/>
    <cellStyle name="常规 2 5 3 5 2 2 4" xfId="35144" xr:uid="{00000000-0005-0000-0000-000048890000}"/>
    <cellStyle name="常规 2 5 3 5 2 2 4 2" xfId="35145" xr:uid="{00000000-0005-0000-0000-000049890000}"/>
    <cellStyle name="常规 2 5 3 5 2 2 4 3" xfId="35146" xr:uid="{00000000-0005-0000-0000-00004A890000}"/>
    <cellStyle name="常规 2 5 3 5 2 2 4 4" xfId="35147" xr:uid="{00000000-0005-0000-0000-00004B890000}"/>
    <cellStyle name="常规 2 5 3 5 2 2 5" xfId="35148" xr:uid="{00000000-0005-0000-0000-00004C890000}"/>
    <cellStyle name="常规 2 5 3 5 2 2 6" xfId="35149" xr:uid="{00000000-0005-0000-0000-00004D890000}"/>
    <cellStyle name="常规 2 5 3 5 2 2 7" xfId="35150" xr:uid="{00000000-0005-0000-0000-00004E890000}"/>
    <cellStyle name="常规 2 5 3 5 2 3" xfId="35151" xr:uid="{00000000-0005-0000-0000-00004F890000}"/>
    <cellStyle name="常规 2 5 3 5 2 3 2" xfId="35152" xr:uid="{00000000-0005-0000-0000-000050890000}"/>
    <cellStyle name="常规 2 5 3 5 2 3 2 2" xfId="35153" xr:uid="{00000000-0005-0000-0000-000051890000}"/>
    <cellStyle name="常规 2 5 3 5 2 3 2 3" xfId="35154" xr:uid="{00000000-0005-0000-0000-000052890000}"/>
    <cellStyle name="常规 2 5 3 5 2 3 2 4" xfId="35155" xr:uid="{00000000-0005-0000-0000-000053890000}"/>
    <cellStyle name="常规 2 5 3 5 2 3 3" xfId="35156" xr:uid="{00000000-0005-0000-0000-000054890000}"/>
    <cellStyle name="常规 2 5 3 5 2 3 4" xfId="35157" xr:uid="{00000000-0005-0000-0000-000055890000}"/>
    <cellStyle name="常规 2 5 3 5 2 3 5" xfId="35158" xr:uid="{00000000-0005-0000-0000-000056890000}"/>
    <cellStyle name="常规 2 5 3 5 2 4" xfId="35159" xr:uid="{00000000-0005-0000-0000-000057890000}"/>
    <cellStyle name="常规 2 5 3 5 2 4 2" xfId="35160" xr:uid="{00000000-0005-0000-0000-000058890000}"/>
    <cellStyle name="常规 2 5 3 5 2 4 2 2" xfId="35161" xr:uid="{00000000-0005-0000-0000-000059890000}"/>
    <cellStyle name="常规 2 5 3 5 2 4 2 3" xfId="35162" xr:uid="{00000000-0005-0000-0000-00005A890000}"/>
    <cellStyle name="常规 2 5 3 5 2 4 2 4" xfId="35163" xr:uid="{00000000-0005-0000-0000-00005B890000}"/>
    <cellStyle name="常规 2 5 3 5 2 4 3" xfId="35164" xr:uid="{00000000-0005-0000-0000-00005C890000}"/>
    <cellStyle name="常规 2 5 3 5 2 4 4" xfId="35165" xr:uid="{00000000-0005-0000-0000-00005D890000}"/>
    <cellStyle name="常规 2 5 3 5 2 4 5" xfId="35166" xr:uid="{00000000-0005-0000-0000-00005E890000}"/>
    <cellStyle name="常规 2 5 3 5 2 5" xfId="35167" xr:uid="{00000000-0005-0000-0000-00005F890000}"/>
    <cellStyle name="常规 2 5 3 5 2 5 2" xfId="35168" xr:uid="{00000000-0005-0000-0000-000060890000}"/>
    <cellStyle name="常规 2 5 3 5 2 5 3" xfId="35169" xr:uid="{00000000-0005-0000-0000-000061890000}"/>
    <cellStyle name="常规 2 5 3 5 2 5 4" xfId="35170" xr:uid="{00000000-0005-0000-0000-000062890000}"/>
    <cellStyle name="常规 2 5 3 5 2 6" xfId="35171" xr:uid="{00000000-0005-0000-0000-000063890000}"/>
    <cellStyle name="常规 2 5 3 5 2 7" xfId="35172" xr:uid="{00000000-0005-0000-0000-000064890000}"/>
    <cellStyle name="常规 2 5 3 5 2 8" xfId="35173" xr:uid="{00000000-0005-0000-0000-000065890000}"/>
    <cellStyle name="常规 2 5 3 5 3" xfId="35174" xr:uid="{00000000-0005-0000-0000-000066890000}"/>
    <cellStyle name="常规 2 5 3 5 3 2" xfId="35175" xr:uid="{00000000-0005-0000-0000-000067890000}"/>
    <cellStyle name="常规 2 5 3 5 3 2 2" xfId="35176" xr:uid="{00000000-0005-0000-0000-000068890000}"/>
    <cellStyle name="常规 2 5 3 5 3 2 3" xfId="35177" xr:uid="{00000000-0005-0000-0000-000069890000}"/>
    <cellStyle name="常规 2 5 3 5 3 2 4" xfId="35178" xr:uid="{00000000-0005-0000-0000-00006A890000}"/>
    <cellStyle name="常规 2 5 3 5 3 3" xfId="35179" xr:uid="{00000000-0005-0000-0000-00006B890000}"/>
    <cellStyle name="常规 2 5 3 5 3 4" xfId="35180" xr:uid="{00000000-0005-0000-0000-00006C890000}"/>
    <cellStyle name="常规 2 5 3 5 3 5" xfId="35181" xr:uid="{00000000-0005-0000-0000-00006D890000}"/>
    <cellStyle name="常规 2 5 3 5 4" xfId="35182" xr:uid="{00000000-0005-0000-0000-00006E890000}"/>
    <cellStyle name="常规 2 5 3 5 4 2" xfId="35183" xr:uid="{00000000-0005-0000-0000-00006F890000}"/>
    <cellStyle name="常规 2 5 3 5 4 2 2" xfId="35184" xr:uid="{00000000-0005-0000-0000-000070890000}"/>
    <cellStyle name="常规 2 5 3 5 4 2 3" xfId="35185" xr:uid="{00000000-0005-0000-0000-000071890000}"/>
    <cellStyle name="常规 2 5 3 5 4 2 4" xfId="35186" xr:uid="{00000000-0005-0000-0000-000072890000}"/>
    <cellStyle name="常规 2 5 3 5 4 3" xfId="35187" xr:uid="{00000000-0005-0000-0000-000073890000}"/>
    <cellStyle name="常规 2 5 3 5 4 4" xfId="35188" xr:uid="{00000000-0005-0000-0000-000074890000}"/>
    <cellStyle name="常规 2 5 3 5 4 5" xfId="35189" xr:uid="{00000000-0005-0000-0000-000075890000}"/>
    <cellStyle name="常规 2 5 3 5 5" xfId="35190" xr:uid="{00000000-0005-0000-0000-000076890000}"/>
    <cellStyle name="常规 2 5 3 5 5 2" xfId="35191" xr:uid="{00000000-0005-0000-0000-000077890000}"/>
    <cellStyle name="常规 2 5 3 5 5 3" xfId="35192" xr:uid="{00000000-0005-0000-0000-000078890000}"/>
    <cellStyle name="常规 2 5 3 5 5 4" xfId="35193" xr:uid="{00000000-0005-0000-0000-000079890000}"/>
    <cellStyle name="常规 2 5 3 5 6" xfId="35194" xr:uid="{00000000-0005-0000-0000-00007A890000}"/>
    <cellStyle name="常规 2 5 3 5 7" xfId="35195" xr:uid="{00000000-0005-0000-0000-00007B890000}"/>
    <cellStyle name="常规 2 5 3 5 8" xfId="35196" xr:uid="{00000000-0005-0000-0000-00007C890000}"/>
    <cellStyle name="常规 2 5 3 5 9" xfId="35197" xr:uid="{00000000-0005-0000-0000-00007D890000}"/>
    <cellStyle name="常规 2 5 3 5 9 2" xfId="35198" xr:uid="{00000000-0005-0000-0000-00007E890000}"/>
    <cellStyle name="常规 2 5 3 6" xfId="35199" xr:uid="{00000000-0005-0000-0000-00007F890000}"/>
    <cellStyle name="常规 2 5 3 6 2" xfId="35200" xr:uid="{00000000-0005-0000-0000-000080890000}"/>
    <cellStyle name="常规 2 5 3 6 2 2" xfId="35201" xr:uid="{00000000-0005-0000-0000-000081890000}"/>
    <cellStyle name="常规 2 5 3 6 2 2 2" xfId="35202" xr:uid="{00000000-0005-0000-0000-000082890000}"/>
    <cellStyle name="常规 2 5 3 6 2 2 2 2" xfId="35203" xr:uid="{00000000-0005-0000-0000-000083890000}"/>
    <cellStyle name="常规 2 5 3 6 2 2 2 2 2" xfId="35204" xr:uid="{00000000-0005-0000-0000-000084890000}"/>
    <cellStyle name="常规 2 5 3 6 2 2 2 2 3" xfId="35205" xr:uid="{00000000-0005-0000-0000-000085890000}"/>
    <cellStyle name="常规 2 5 3 6 2 2 2 2 4" xfId="35206" xr:uid="{00000000-0005-0000-0000-000086890000}"/>
    <cellStyle name="常规 2 5 3 6 2 2 2 3" xfId="35207" xr:uid="{00000000-0005-0000-0000-000087890000}"/>
    <cellStyle name="常规 2 5 3 6 2 2 2 4" xfId="35208" xr:uid="{00000000-0005-0000-0000-000088890000}"/>
    <cellStyle name="常规 2 5 3 6 2 2 2 5" xfId="35209" xr:uid="{00000000-0005-0000-0000-000089890000}"/>
    <cellStyle name="常规 2 5 3 6 2 2 3" xfId="35210" xr:uid="{00000000-0005-0000-0000-00008A890000}"/>
    <cellStyle name="常规 2 5 3 6 2 2 3 2" xfId="35211" xr:uid="{00000000-0005-0000-0000-00008B890000}"/>
    <cellStyle name="常规 2 5 3 6 2 2 3 2 2" xfId="35212" xr:uid="{00000000-0005-0000-0000-00008C890000}"/>
    <cellStyle name="常规 2 5 3 6 2 2 3 2 3" xfId="35213" xr:uid="{00000000-0005-0000-0000-00008D890000}"/>
    <cellStyle name="常规 2 5 3 6 2 2 3 2 4" xfId="35214" xr:uid="{00000000-0005-0000-0000-00008E890000}"/>
    <cellStyle name="常规 2 5 3 6 2 2 3 3" xfId="35215" xr:uid="{00000000-0005-0000-0000-00008F890000}"/>
    <cellStyle name="常规 2 5 3 6 2 2 3 4" xfId="35216" xr:uid="{00000000-0005-0000-0000-000090890000}"/>
    <cellStyle name="常规 2 5 3 6 2 2 3 5" xfId="35217" xr:uid="{00000000-0005-0000-0000-000091890000}"/>
    <cellStyle name="常规 2 5 3 6 2 2 4" xfId="35218" xr:uid="{00000000-0005-0000-0000-000092890000}"/>
    <cellStyle name="常规 2 5 3 6 2 2 4 2" xfId="35219" xr:uid="{00000000-0005-0000-0000-000093890000}"/>
    <cellStyle name="常规 2 5 3 6 2 2 4 3" xfId="35220" xr:uid="{00000000-0005-0000-0000-000094890000}"/>
    <cellStyle name="常规 2 5 3 6 2 2 4 4" xfId="35221" xr:uid="{00000000-0005-0000-0000-000095890000}"/>
    <cellStyle name="常规 2 5 3 6 2 2 5" xfId="35222" xr:uid="{00000000-0005-0000-0000-000096890000}"/>
    <cellStyle name="常规 2 5 3 6 2 2 6" xfId="35223" xr:uid="{00000000-0005-0000-0000-000097890000}"/>
    <cellStyle name="常规 2 5 3 6 2 2 7" xfId="35224" xr:uid="{00000000-0005-0000-0000-000098890000}"/>
    <cellStyle name="常规 2 5 3 6 2 3" xfId="35225" xr:uid="{00000000-0005-0000-0000-000099890000}"/>
    <cellStyle name="常规 2 5 3 6 2 3 2" xfId="35226" xr:uid="{00000000-0005-0000-0000-00009A890000}"/>
    <cellStyle name="常规 2 5 3 6 2 3 2 2" xfId="35227" xr:uid="{00000000-0005-0000-0000-00009B890000}"/>
    <cellStyle name="常规 2 5 3 6 2 3 2 3" xfId="35228" xr:uid="{00000000-0005-0000-0000-00009C890000}"/>
    <cellStyle name="常规 2 5 3 6 2 3 2 4" xfId="35229" xr:uid="{00000000-0005-0000-0000-00009D890000}"/>
    <cellStyle name="常规 2 5 3 6 2 3 3" xfId="35230" xr:uid="{00000000-0005-0000-0000-00009E890000}"/>
    <cellStyle name="常规 2 5 3 6 2 3 4" xfId="35231" xr:uid="{00000000-0005-0000-0000-00009F890000}"/>
    <cellStyle name="常规 2 5 3 6 2 3 5" xfId="35232" xr:uid="{00000000-0005-0000-0000-0000A0890000}"/>
    <cellStyle name="常规 2 5 3 6 2 4" xfId="35233" xr:uid="{00000000-0005-0000-0000-0000A1890000}"/>
    <cellStyle name="常规 2 5 3 6 2 4 2" xfId="35234" xr:uid="{00000000-0005-0000-0000-0000A2890000}"/>
    <cellStyle name="常规 2 5 3 6 2 4 2 2" xfId="35235" xr:uid="{00000000-0005-0000-0000-0000A3890000}"/>
    <cellStyle name="常规 2 5 3 6 2 4 2 3" xfId="35236" xr:uid="{00000000-0005-0000-0000-0000A4890000}"/>
    <cellStyle name="常规 2 5 3 6 2 4 2 4" xfId="35237" xr:uid="{00000000-0005-0000-0000-0000A5890000}"/>
    <cellStyle name="常规 2 5 3 6 2 4 3" xfId="35238" xr:uid="{00000000-0005-0000-0000-0000A6890000}"/>
    <cellStyle name="常规 2 5 3 6 2 4 4" xfId="35239" xr:uid="{00000000-0005-0000-0000-0000A7890000}"/>
    <cellStyle name="常规 2 5 3 6 2 4 5" xfId="35240" xr:uid="{00000000-0005-0000-0000-0000A8890000}"/>
    <cellStyle name="常规 2 5 3 6 2 5" xfId="35241" xr:uid="{00000000-0005-0000-0000-0000A9890000}"/>
    <cellStyle name="常规 2 5 3 6 2 5 2" xfId="35242" xr:uid="{00000000-0005-0000-0000-0000AA890000}"/>
    <cellStyle name="常规 2 5 3 6 2 5 3" xfId="35243" xr:uid="{00000000-0005-0000-0000-0000AB890000}"/>
    <cellStyle name="常规 2 5 3 6 2 5 4" xfId="35244" xr:uid="{00000000-0005-0000-0000-0000AC890000}"/>
    <cellStyle name="常规 2 5 3 6 2 6" xfId="35245" xr:uid="{00000000-0005-0000-0000-0000AD890000}"/>
    <cellStyle name="常规 2 5 3 6 2 7" xfId="35246" xr:uid="{00000000-0005-0000-0000-0000AE890000}"/>
    <cellStyle name="常规 2 5 3 6 2 8" xfId="35247" xr:uid="{00000000-0005-0000-0000-0000AF890000}"/>
    <cellStyle name="常规 2 5 3 6 3" xfId="35248" xr:uid="{00000000-0005-0000-0000-0000B0890000}"/>
    <cellStyle name="常规 2 5 3 6 3 2" xfId="35249" xr:uid="{00000000-0005-0000-0000-0000B1890000}"/>
    <cellStyle name="常规 2 5 3 6 3 2 2" xfId="35250" xr:uid="{00000000-0005-0000-0000-0000B2890000}"/>
    <cellStyle name="常规 2 5 3 6 3 2 3" xfId="35251" xr:uid="{00000000-0005-0000-0000-0000B3890000}"/>
    <cellStyle name="常规 2 5 3 6 3 2 4" xfId="35252" xr:uid="{00000000-0005-0000-0000-0000B4890000}"/>
    <cellStyle name="常规 2 5 3 6 3 3" xfId="35253" xr:uid="{00000000-0005-0000-0000-0000B5890000}"/>
    <cellStyle name="常规 2 5 3 6 3 4" xfId="35254" xr:uid="{00000000-0005-0000-0000-0000B6890000}"/>
    <cellStyle name="常规 2 5 3 6 3 5" xfId="35255" xr:uid="{00000000-0005-0000-0000-0000B7890000}"/>
    <cellStyle name="常规 2 5 3 6 4" xfId="35256" xr:uid="{00000000-0005-0000-0000-0000B8890000}"/>
    <cellStyle name="常规 2 5 3 6 4 2" xfId="35257" xr:uid="{00000000-0005-0000-0000-0000B9890000}"/>
    <cellStyle name="常规 2 5 3 6 4 2 2" xfId="35258" xr:uid="{00000000-0005-0000-0000-0000BA890000}"/>
    <cellStyle name="常规 2 5 3 6 4 2 3" xfId="35259" xr:uid="{00000000-0005-0000-0000-0000BB890000}"/>
    <cellStyle name="常规 2 5 3 6 4 2 4" xfId="35260" xr:uid="{00000000-0005-0000-0000-0000BC890000}"/>
    <cellStyle name="常规 2 5 3 6 4 3" xfId="35261" xr:uid="{00000000-0005-0000-0000-0000BD890000}"/>
    <cellStyle name="常规 2 5 3 6 4 4" xfId="35262" xr:uid="{00000000-0005-0000-0000-0000BE890000}"/>
    <cellStyle name="常规 2 5 3 6 4 5" xfId="35263" xr:uid="{00000000-0005-0000-0000-0000BF890000}"/>
    <cellStyle name="常规 2 5 3 6 5" xfId="35264" xr:uid="{00000000-0005-0000-0000-0000C0890000}"/>
    <cellStyle name="常规 2 5 3 6 5 2" xfId="35265" xr:uid="{00000000-0005-0000-0000-0000C1890000}"/>
    <cellStyle name="常规 2 5 3 6 5 3" xfId="35266" xr:uid="{00000000-0005-0000-0000-0000C2890000}"/>
    <cellStyle name="常规 2 5 3 6 5 4" xfId="35267" xr:uid="{00000000-0005-0000-0000-0000C3890000}"/>
    <cellStyle name="常规 2 5 3 6 6" xfId="35268" xr:uid="{00000000-0005-0000-0000-0000C4890000}"/>
    <cellStyle name="常规 2 5 3 6 7" xfId="35269" xr:uid="{00000000-0005-0000-0000-0000C5890000}"/>
    <cellStyle name="常规 2 5 3 6 8" xfId="35270" xr:uid="{00000000-0005-0000-0000-0000C6890000}"/>
    <cellStyle name="常规 2 5 3 6 9" xfId="35271" xr:uid="{00000000-0005-0000-0000-0000C7890000}"/>
    <cellStyle name="常规 2 5 3 6 9 2" xfId="35272" xr:uid="{00000000-0005-0000-0000-0000C8890000}"/>
    <cellStyle name="常规 2 5 3 7" xfId="35273" xr:uid="{00000000-0005-0000-0000-0000C9890000}"/>
    <cellStyle name="常规 2 5 3 7 2" xfId="35274" xr:uid="{00000000-0005-0000-0000-0000CA890000}"/>
    <cellStyle name="常规 2 5 3 7 2 2" xfId="35275" xr:uid="{00000000-0005-0000-0000-0000CB890000}"/>
    <cellStyle name="常规 2 5 3 7 2 2 2" xfId="35276" xr:uid="{00000000-0005-0000-0000-0000CC890000}"/>
    <cellStyle name="常规 2 5 3 7 2 2 2 2" xfId="35277" xr:uid="{00000000-0005-0000-0000-0000CD890000}"/>
    <cellStyle name="常规 2 5 3 7 2 2 2 3" xfId="35278" xr:uid="{00000000-0005-0000-0000-0000CE890000}"/>
    <cellStyle name="常规 2 5 3 7 2 2 2 4" xfId="35279" xr:uid="{00000000-0005-0000-0000-0000CF890000}"/>
    <cellStyle name="常规 2 5 3 7 2 2 3" xfId="35280" xr:uid="{00000000-0005-0000-0000-0000D0890000}"/>
    <cellStyle name="常规 2 5 3 7 2 2 4" xfId="35281" xr:uid="{00000000-0005-0000-0000-0000D1890000}"/>
    <cellStyle name="常规 2 5 3 7 2 2 5" xfId="35282" xr:uid="{00000000-0005-0000-0000-0000D2890000}"/>
    <cellStyle name="常规 2 5 3 7 2 3" xfId="35283" xr:uid="{00000000-0005-0000-0000-0000D3890000}"/>
    <cellStyle name="常规 2 5 3 7 2 3 2" xfId="35284" xr:uid="{00000000-0005-0000-0000-0000D4890000}"/>
    <cellStyle name="常规 2 5 3 7 2 3 2 2" xfId="35285" xr:uid="{00000000-0005-0000-0000-0000D5890000}"/>
    <cellStyle name="常规 2 5 3 7 2 3 2 3" xfId="35286" xr:uid="{00000000-0005-0000-0000-0000D6890000}"/>
    <cellStyle name="常规 2 5 3 7 2 3 2 4" xfId="35287" xr:uid="{00000000-0005-0000-0000-0000D7890000}"/>
    <cellStyle name="常规 2 5 3 7 2 3 3" xfId="35288" xr:uid="{00000000-0005-0000-0000-0000D8890000}"/>
    <cellStyle name="常规 2 5 3 7 2 3 4" xfId="35289" xr:uid="{00000000-0005-0000-0000-0000D9890000}"/>
    <cellStyle name="常规 2 5 3 7 2 3 5" xfId="35290" xr:uid="{00000000-0005-0000-0000-0000DA890000}"/>
    <cellStyle name="常规 2 5 3 7 2 4" xfId="35291" xr:uid="{00000000-0005-0000-0000-0000DB890000}"/>
    <cellStyle name="常规 2 5 3 7 2 4 2" xfId="35292" xr:uid="{00000000-0005-0000-0000-0000DC890000}"/>
    <cellStyle name="常规 2 5 3 7 2 4 3" xfId="35293" xr:uid="{00000000-0005-0000-0000-0000DD890000}"/>
    <cellStyle name="常规 2 5 3 7 2 4 4" xfId="35294" xr:uid="{00000000-0005-0000-0000-0000DE890000}"/>
    <cellStyle name="常规 2 5 3 7 2 5" xfId="35295" xr:uid="{00000000-0005-0000-0000-0000DF890000}"/>
    <cellStyle name="常规 2 5 3 7 2 6" xfId="35296" xr:uid="{00000000-0005-0000-0000-0000E0890000}"/>
    <cellStyle name="常规 2 5 3 7 2 7" xfId="35297" xr:uid="{00000000-0005-0000-0000-0000E1890000}"/>
    <cellStyle name="常规 2 5 3 7 2 8" xfId="35298" xr:uid="{00000000-0005-0000-0000-0000E2890000}"/>
    <cellStyle name="常规 2 5 3 7 3" xfId="35299" xr:uid="{00000000-0005-0000-0000-0000E3890000}"/>
    <cellStyle name="常规 2 5 3 7 3 2" xfId="35300" xr:uid="{00000000-0005-0000-0000-0000E4890000}"/>
    <cellStyle name="常规 2 5 3 7 3 2 2" xfId="35301" xr:uid="{00000000-0005-0000-0000-0000E5890000}"/>
    <cellStyle name="常规 2 5 3 7 3 2 3" xfId="35302" xr:uid="{00000000-0005-0000-0000-0000E6890000}"/>
    <cellStyle name="常规 2 5 3 7 3 2 4" xfId="35303" xr:uid="{00000000-0005-0000-0000-0000E7890000}"/>
    <cellStyle name="常规 2 5 3 7 3 3" xfId="35304" xr:uid="{00000000-0005-0000-0000-0000E8890000}"/>
    <cellStyle name="常规 2 5 3 7 3 4" xfId="35305" xr:uid="{00000000-0005-0000-0000-0000E9890000}"/>
    <cellStyle name="常规 2 5 3 7 3 5" xfId="35306" xr:uid="{00000000-0005-0000-0000-0000EA890000}"/>
    <cellStyle name="常规 2 5 3 7 4" xfId="35307" xr:uid="{00000000-0005-0000-0000-0000EB890000}"/>
    <cellStyle name="常规 2 5 3 7 4 2" xfId="35308" xr:uid="{00000000-0005-0000-0000-0000EC890000}"/>
    <cellStyle name="常规 2 5 3 7 4 2 2" xfId="35309" xr:uid="{00000000-0005-0000-0000-0000ED890000}"/>
    <cellStyle name="常规 2 5 3 7 4 2 3" xfId="35310" xr:uid="{00000000-0005-0000-0000-0000EE890000}"/>
    <cellStyle name="常规 2 5 3 7 4 2 4" xfId="35311" xr:uid="{00000000-0005-0000-0000-0000EF890000}"/>
    <cellStyle name="常规 2 5 3 7 4 3" xfId="35312" xr:uid="{00000000-0005-0000-0000-0000F0890000}"/>
    <cellStyle name="常规 2 5 3 7 4 4" xfId="35313" xr:uid="{00000000-0005-0000-0000-0000F1890000}"/>
    <cellStyle name="常规 2 5 3 7 4 5" xfId="35314" xr:uid="{00000000-0005-0000-0000-0000F2890000}"/>
    <cellStyle name="常规 2 5 3 7 5" xfId="35315" xr:uid="{00000000-0005-0000-0000-0000F3890000}"/>
    <cellStyle name="常规 2 5 3 7 5 2" xfId="35316" xr:uid="{00000000-0005-0000-0000-0000F4890000}"/>
    <cellStyle name="常规 2 5 3 7 5 3" xfId="35317" xr:uid="{00000000-0005-0000-0000-0000F5890000}"/>
    <cellStyle name="常规 2 5 3 7 5 4" xfId="35318" xr:uid="{00000000-0005-0000-0000-0000F6890000}"/>
    <cellStyle name="常规 2 5 3 7 6" xfId="35319" xr:uid="{00000000-0005-0000-0000-0000F7890000}"/>
    <cellStyle name="常规 2 5 3 7 7" xfId="35320" xr:uid="{00000000-0005-0000-0000-0000F8890000}"/>
    <cellStyle name="常规 2 5 3 7 8" xfId="35321" xr:uid="{00000000-0005-0000-0000-0000F9890000}"/>
    <cellStyle name="常规 2 5 3 7 9" xfId="35322" xr:uid="{00000000-0005-0000-0000-0000FA890000}"/>
    <cellStyle name="常规 2 5 3 8" xfId="35323" xr:uid="{00000000-0005-0000-0000-0000FB890000}"/>
    <cellStyle name="常规 2 5 3 8 2" xfId="35324" xr:uid="{00000000-0005-0000-0000-0000FC890000}"/>
    <cellStyle name="常规 2 5 3 8 2 2" xfId="35325" xr:uid="{00000000-0005-0000-0000-0000FD890000}"/>
    <cellStyle name="常规 2 5 3 8 2 2 2" xfId="35326" xr:uid="{00000000-0005-0000-0000-0000FE890000}"/>
    <cellStyle name="常规 2 5 3 8 2 2 2 2" xfId="35327" xr:uid="{00000000-0005-0000-0000-0000FF890000}"/>
    <cellStyle name="常规 2 5 3 8 2 2 2 3" xfId="35328" xr:uid="{00000000-0005-0000-0000-0000008A0000}"/>
    <cellStyle name="常规 2 5 3 8 2 2 2 4" xfId="35329" xr:uid="{00000000-0005-0000-0000-0000018A0000}"/>
    <cellStyle name="常规 2 5 3 8 2 2 3" xfId="35330" xr:uid="{00000000-0005-0000-0000-0000028A0000}"/>
    <cellStyle name="常规 2 5 3 8 2 2 4" xfId="35331" xr:uid="{00000000-0005-0000-0000-0000038A0000}"/>
    <cellStyle name="常规 2 5 3 8 2 2 5" xfId="35332" xr:uid="{00000000-0005-0000-0000-0000048A0000}"/>
    <cellStyle name="常规 2 5 3 8 2 3" xfId="35333" xr:uid="{00000000-0005-0000-0000-0000058A0000}"/>
    <cellStyle name="常规 2 5 3 8 2 3 2" xfId="35334" xr:uid="{00000000-0005-0000-0000-0000068A0000}"/>
    <cellStyle name="常规 2 5 3 8 2 3 2 2" xfId="35335" xr:uid="{00000000-0005-0000-0000-0000078A0000}"/>
    <cellStyle name="常规 2 5 3 8 2 3 2 3" xfId="35336" xr:uid="{00000000-0005-0000-0000-0000088A0000}"/>
    <cellStyle name="常规 2 5 3 8 2 3 2 4" xfId="35337" xr:uid="{00000000-0005-0000-0000-0000098A0000}"/>
    <cellStyle name="常规 2 5 3 8 2 3 3" xfId="35338" xr:uid="{00000000-0005-0000-0000-00000A8A0000}"/>
    <cellStyle name="常规 2 5 3 8 2 3 4" xfId="35339" xr:uid="{00000000-0005-0000-0000-00000B8A0000}"/>
    <cellStyle name="常规 2 5 3 8 2 3 5" xfId="35340" xr:uid="{00000000-0005-0000-0000-00000C8A0000}"/>
    <cellStyle name="常规 2 5 3 8 2 4" xfId="35341" xr:uid="{00000000-0005-0000-0000-00000D8A0000}"/>
    <cellStyle name="常规 2 5 3 8 2 4 2" xfId="35342" xr:uid="{00000000-0005-0000-0000-00000E8A0000}"/>
    <cellStyle name="常规 2 5 3 8 2 4 3" xfId="35343" xr:uid="{00000000-0005-0000-0000-00000F8A0000}"/>
    <cellStyle name="常规 2 5 3 8 2 4 4" xfId="35344" xr:uid="{00000000-0005-0000-0000-0000108A0000}"/>
    <cellStyle name="常规 2 5 3 8 2 5" xfId="35345" xr:uid="{00000000-0005-0000-0000-0000118A0000}"/>
    <cellStyle name="常规 2 5 3 8 2 6" xfId="35346" xr:uid="{00000000-0005-0000-0000-0000128A0000}"/>
    <cellStyle name="常规 2 5 3 8 2 7" xfId="35347" xr:uid="{00000000-0005-0000-0000-0000138A0000}"/>
    <cellStyle name="常规 2 5 3 8 2 8" xfId="35348" xr:uid="{00000000-0005-0000-0000-0000148A0000}"/>
    <cellStyle name="常规 2 5 3 8 3" xfId="35349" xr:uid="{00000000-0005-0000-0000-0000158A0000}"/>
    <cellStyle name="常规 2 5 3 8 3 2" xfId="35350" xr:uid="{00000000-0005-0000-0000-0000168A0000}"/>
    <cellStyle name="常规 2 5 3 8 3 2 2" xfId="35351" xr:uid="{00000000-0005-0000-0000-0000178A0000}"/>
    <cellStyle name="常规 2 5 3 8 3 2 3" xfId="35352" xr:uid="{00000000-0005-0000-0000-0000188A0000}"/>
    <cellStyle name="常规 2 5 3 8 3 2 4" xfId="35353" xr:uid="{00000000-0005-0000-0000-0000198A0000}"/>
    <cellStyle name="常规 2 5 3 8 3 3" xfId="35354" xr:uid="{00000000-0005-0000-0000-00001A8A0000}"/>
    <cellStyle name="常规 2 5 3 8 3 4" xfId="35355" xr:uid="{00000000-0005-0000-0000-00001B8A0000}"/>
    <cellStyle name="常规 2 5 3 8 3 5" xfId="35356" xr:uid="{00000000-0005-0000-0000-00001C8A0000}"/>
    <cellStyle name="常规 2 5 3 8 4" xfId="35357" xr:uid="{00000000-0005-0000-0000-00001D8A0000}"/>
    <cellStyle name="常规 2 5 3 8 4 2" xfId="35358" xr:uid="{00000000-0005-0000-0000-00001E8A0000}"/>
    <cellStyle name="常规 2 5 3 8 4 2 2" xfId="35359" xr:uid="{00000000-0005-0000-0000-00001F8A0000}"/>
    <cellStyle name="常规 2 5 3 8 4 2 3" xfId="35360" xr:uid="{00000000-0005-0000-0000-0000208A0000}"/>
    <cellStyle name="常规 2 5 3 8 4 2 4" xfId="35361" xr:uid="{00000000-0005-0000-0000-0000218A0000}"/>
    <cellStyle name="常规 2 5 3 8 4 3" xfId="35362" xr:uid="{00000000-0005-0000-0000-0000228A0000}"/>
    <cellStyle name="常规 2 5 3 8 4 4" xfId="35363" xr:uid="{00000000-0005-0000-0000-0000238A0000}"/>
    <cellStyle name="常规 2 5 3 8 4 5" xfId="35364" xr:uid="{00000000-0005-0000-0000-0000248A0000}"/>
    <cellStyle name="常规 2 5 3 8 5" xfId="35365" xr:uid="{00000000-0005-0000-0000-0000258A0000}"/>
    <cellStyle name="常规 2 5 3 8 5 2" xfId="35366" xr:uid="{00000000-0005-0000-0000-0000268A0000}"/>
    <cellStyle name="常规 2 5 3 8 5 3" xfId="35367" xr:uid="{00000000-0005-0000-0000-0000278A0000}"/>
    <cellStyle name="常规 2 5 3 8 5 4" xfId="35368" xr:uid="{00000000-0005-0000-0000-0000288A0000}"/>
    <cellStyle name="常规 2 5 3 8 6" xfId="35369" xr:uid="{00000000-0005-0000-0000-0000298A0000}"/>
    <cellStyle name="常规 2 5 3 8 7" xfId="35370" xr:uid="{00000000-0005-0000-0000-00002A8A0000}"/>
    <cellStyle name="常规 2 5 3 8 8" xfId="35371" xr:uid="{00000000-0005-0000-0000-00002B8A0000}"/>
    <cellStyle name="常规 2 5 3 8 9" xfId="35372" xr:uid="{00000000-0005-0000-0000-00002C8A0000}"/>
    <cellStyle name="常规 2 5 3 9" xfId="35373" xr:uid="{00000000-0005-0000-0000-00002D8A0000}"/>
    <cellStyle name="常规 2 5 3 9 2" xfId="35374" xr:uid="{00000000-0005-0000-0000-00002E8A0000}"/>
    <cellStyle name="常规 2 5 3 9 2 2" xfId="35375" xr:uid="{00000000-0005-0000-0000-00002F8A0000}"/>
    <cellStyle name="常规 2 5 3 9 2 2 2" xfId="35376" xr:uid="{00000000-0005-0000-0000-0000308A0000}"/>
    <cellStyle name="常规 2 5 3 9 2 2 2 2" xfId="35377" xr:uid="{00000000-0005-0000-0000-0000318A0000}"/>
    <cellStyle name="常规 2 5 3 9 2 2 2 3" xfId="35378" xr:uid="{00000000-0005-0000-0000-0000328A0000}"/>
    <cellStyle name="常规 2 5 3 9 2 2 2 4" xfId="35379" xr:uid="{00000000-0005-0000-0000-0000338A0000}"/>
    <cellStyle name="常规 2 5 3 9 2 2 3" xfId="35380" xr:uid="{00000000-0005-0000-0000-0000348A0000}"/>
    <cellStyle name="常规 2 5 3 9 2 2 4" xfId="35381" xr:uid="{00000000-0005-0000-0000-0000358A0000}"/>
    <cellStyle name="常规 2 5 3 9 2 2 5" xfId="35382" xr:uid="{00000000-0005-0000-0000-0000368A0000}"/>
    <cellStyle name="常规 2 5 3 9 2 3" xfId="35383" xr:uid="{00000000-0005-0000-0000-0000378A0000}"/>
    <cellStyle name="常规 2 5 3 9 2 3 2" xfId="35384" xr:uid="{00000000-0005-0000-0000-0000388A0000}"/>
    <cellStyle name="常规 2 5 3 9 2 3 2 2" xfId="35385" xr:uid="{00000000-0005-0000-0000-0000398A0000}"/>
    <cellStyle name="常规 2 5 3 9 2 3 2 3" xfId="35386" xr:uid="{00000000-0005-0000-0000-00003A8A0000}"/>
    <cellStyle name="常规 2 5 3 9 2 3 2 4" xfId="35387" xr:uid="{00000000-0005-0000-0000-00003B8A0000}"/>
    <cellStyle name="常规 2 5 3 9 2 3 3" xfId="35388" xr:uid="{00000000-0005-0000-0000-00003C8A0000}"/>
    <cellStyle name="常规 2 5 3 9 2 3 4" xfId="35389" xr:uid="{00000000-0005-0000-0000-00003D8A0000}"/>
    <cellStyle name="常规 2 5 3 9 2 3 5" xfId="35390" xr:uid="{00000000-0005-0000-0000-00003E8A0000}"/>
    <cellStyle name="常规 2 5 3 9 2 4" xfId="35391" xr:uid="{00000000-0005-0000-0000-00003F8A0000}"/>
    <cellStyle name="常规 2 5 3 9 2 4 2" xfId="35392" xr:uid="{00000000-0005-0000-0000-0000408A0000}"/>
    <cellStyle name="常规 2 5 3 9 2 4 3" xfId="35393" xr:uid="{00000000-0005-0000-0000-0000418A0000}"/>
    <cellStyle name="常规 2 5 3 9 2 4 4" xfId="35394" xr:uid="{00000000-0005-0000-0000-0000428A0000}"/>
    <cellStyle name="常规 2 5 3 9 2 5" xfId="35395" xr:uid="{00000000-0005-0000-0000-0000438A0000}"/>
    <cellStyle name="常规 2 5 3 9 2 6" xfId="35396" xr:uid="{00000000-0005-0000-0000-0000448A0000}"/>
    <cellStyle name="常规 2 5 3 9 2 7" xfId="35397" xr:uid="{00000000-0005-0000-0000-0000458A0000}"/>
    <cellStyle name="常规 2 5 3 9 3" xfId="35398" xr:uid="{00000000-0005-0000-0000-0000468A0000}"/>
    <cellStyle name="常规 2 5 3 9 3 2" xfId="35399" xr:uid="{00000000-0005-0000-0000-0000478A0000}"/>
    <cellStyle name="常规 2 5 3 9 3 2 2" xfId="35400" xr:uid="{00000000-0005-0000-0000-0000488A0000}"/>
    <cellStyle name="常规 2 5 3 9 3 2 3" xfId="35401" xr:uid="{00000000-0005-0000-0000-0000498A0000}"/>
    <cellStyle name="常规 2 5 3 9 3 2 4" xfId="35402" xr:uid="{00000000-0005-0000-0000-00004A8A0000}"/>
    <cellStyle name="常规 2 5 3 9 3 3" xfId="35403" xr:uid="{00000000-0005-0000-0000-00004B8A0000}"/>
    <cellStyle name="常规 2 5 3 9 3 4" xfId="35404" xr:uid="{00000000-0005-0000-0000-00004C8A0000}"/>
    <cellStyle name="常规 2 5 3 9 3 5" xfId="35405" xr:uid="{00000000-0005-0000-0000-00004D8A0000}"/>
    <cellStyle name="常规 2 5 3 9 4" xfId="35406" xr:uid="{00000000-0005-0000-0000-00004E8A0000}"/>
    <cellStyle name="常规 2 5 3 9 4 2" xfId="35407" xr:uid="{00000000-0005-0000-0000-00004F8A0000}"/>
    <cellStyle name="常规 2 5 3 9 4 2 2" xfId="35408" xr:uid="{00000000-0005-0000-0000-0000508A0000}"/>
    <cellStyle name="常规 2 5 3 9 4 2 3" xfId="35409" xr:uid="{00000000-0005-0000-0000-0000518A0000}"/>
    <cellStyle name="常规 2 5 3 9 4 2 4" xfId="35410" xr:uid="{00000000-0005-0000-0000-0000528A0000}"/>
    <cellStyle name="常规 2 5 3 9 4 3" xfId="35411" xr:uid="{00000000-0005-0000-0000-0000538A0000}"/>
    <cellStyle name="常规 2 5 3 9 4 4" xfId="35412" xr:uid="{00000000-0005-0000-0000-0000548A0000}"/>
    <cellStyle name="常规 2 5 3 9 4 5" xfId="35413" xr:uid="{00000000-0005-0000-0000-0000558A0000}"/>
    <cellStyle name="常规 2 5 3 9 5" xfId="35414" xr:uid="{00000000-0005-0000-0000-0000568A0000}"/>
    <cellStyle name="常规 2 5 3 9 5 2" xfId="35415" xr:uid="{00000000-0005-0000-0000-0000578A0000}"/>
    <cellStyle name="常规 2 5 3 9 5 3" xfId="35416" xr:uid="{00000000-0005-0000-0000-0000588A0000}"/>
    <cellStyle name="常规 2 5 3 9 5 4" xfId="35417" xr:uid="{00000000-0005-0000-0000-0000598A0000}"/>
    <cellStyle name="常规 2 5 3 9 6" xfId="35418" xr:uid="{00000000-0005-0000-0000-00005A8A0000}"/>
    <cellStyle name="常规 2 5 3 9 7" xfId="35419" xr:uid="{00000000-0005-0000-0000-00005B8A0000}"/>
    <cellStyle name="常规 2 5 3 9 8" xfId="35420" xr:uid="{00000000-0005-0000-0000-00005C8A0000}"/>
    <cellStyle name="常规 2 5 4" xfId="35421" xr:uid="{00000000-0005-0000-0000-00005D8A0000}"/>
    <cellStyle name="常规 2 5 4 10" xfId="35422" xr:uid="{00000000-0005-0000-0000-00005E8A0000}"/>
    <cellStyle name="常规 2 5 4 10 2" xfId="35423" xr:uid="{00000000-0005-0000-0000-00005F8A0000}"/>
    <cellStyle name="常规 2 5 4 10 2 2" xfId="35424" xr:uid="{00000000-0005-0000-0000-0000608A0000}"/>
    <cellStyle name="常规 2 5 4 10 2 2 2" xfId="35425" xr:uid="{00000000-0005-0000-0000-0000618A0000}"/>
    <cellStyle name="常规 2 5 4 10 2 2 2 2" xfId="35426" xr:uid="{00000000-0005-0000-0000-0000628A0000}"/>
    <cellStyle name="常规 2 5 4 10 2 2 2 2 2" xfId="35427" xr:uid="{00000000-0005-0000-0000-0000638A0000}"/>
    <cellStyle name="常规 2 5 4 10 2 2 2 2 3" xfId="35428" xr:uid="{00000000-0005-0000-0000-0000648A0000}"/>
    <cellStyle name="常规 2 5 4 10 2 2 2 2 4" xfId="35429" xr:uid="{00000000-0005-0000-0000-0000658A0000}"/>
    <cellStyle name="常规 2 5 4 10 2 2 2 3" xfId="35430" xr:uid="{00000000-0005-0000-0000-0000668A0000}"/>
    <cellStyle name="常规 2 5 4 10 2 2 2 4" xfId="35431" xr:uid="{00000000-0005-0000-0000-0000678A0000}"/>
    <cellStyle name="常规 2 5 4 10 2 2 2 5" xfId="35432" xr:uid="{00000000-0005-0000-0000-0000688A0000}"/>
    <cellStyle name="常规 2 5 4 10 2 2 3" xfId="35433" xr:uid="{00000000-0005-0000-0000-0000698A0000}"/>
    <cellStyle name="常规 2 5 4 10 2 2 3 2" xfId="35434" xr:uid="{00000000-0005-0000-0000-00006A8A0000}"/>
    <cellStyle name="常规 2 5 4 10 2 2 3 2 2" xfId="35435" xr:uid="{00000000-0005-0000-0000-00006B8A0000}"/>
    <cellStyle name="常规 2 5 4 10 2 2 3 2 3" xfId="35436" xr:uid="{00000000-0005-0000-0000-00006C8A0000}"/>
    <cellStyle name="常规 2 5 4 10 2 2 3 2 4" xfId="35437" xr:uid="{00000000-0005-0000-0000-00006D8A0000}"/>
    <cellStyle name="常规 2 5 4 10 2 2 3 3" xfId="35438" xr:uid="{00000000-0005-0000-0000-00006E8A0000}"/>
    <cellStyle name="常规 2 5 4 10 2 2 3 4" xfId="35439" xr:uid="{00000000-0005-0000-0000-00006F8A0000}"/>
    <cellStyle name="常规 2 5 4 10 2 2 3 5" xfId="35440" xr:uid="{00000000-0005-0000-0000-0000708A0000}"/>
    <cellStyle name="常规 2 5 4 10 2 2 4" xfId="35441" xr:uid="{00000000-0005-0000-0000-0000718A0000}"/>
    <cellStyle name="常规 2 5 4 10 2 2 4 2" xfId="35442" xr:uid="{00000000-0005-0000-0000-0000728A0000}"/>
    <cellStyle name="常规 2 5 4 10 2 2 4 3" xfId="35443" xr:uid="{00000000-0005-0000-0000-0000738A0000}"/>
    <cellStyle name="常规 2 5 4 10 2 2 4 4" xfId="35444" xr:uid="{00000000-0005-0000-0000-0000748A0000}"/>
    <cellStyle name="常规 2 5 4 10 2 2 5" xfId="35445" xr:uid="{00000000-0005-0000-0000-0000758A0000}"/>
    <cellStyle name="常规 2 5 4 10 2 2 6" xfId="35446" xr:uid="{00000000-0005-0000-0000-0000768A0000}"/>
    <cellStyle name="常规 2 5 4 10 2 2 7" xfId="35447" xr:uid="{00000000-0005-0000-0000-0000778A0000}"/>
    <cellStyle name="常规 2 5 4 10 2 3" xfId="35448" xr:uid="{00000000-0005-0000-0000-0000788A0000}"/>
    <cellStyle name="常规 2 5 4 10 2 3 2" xfId="35449" xr:uid="{00000000-0005-0000-0000-0000798A0000}"/>
    <cellStyle name="常规 2 5 4 10 2 3 2 2" xfId="35450" xr:uid="{00000000-0005-0000-0000-00007A8A0000}"/>
    <cellStyle name="常规 2 5 4 10 2 3 2 3" xfId="35451" xr:uid="{00000000-0005-0000-0000-00007B8A0000}"/>
    <cellStyle name="常规 2 5 4 10 2 3 2 4" xfId="35452" xr:uid="{00000000-0005-0000-0000-00007C8A0000}"/>
    <cellStyle name="常规 2 5 4 10 2 3 3" xfId="35453" xr:uid="{00000000-0005-0000-0000-00007D8A0000}"/>
    <cellStyle name="常规 2 5 4 10 2 3 4" xfId="35454" xr:uid="{00000000-0005-0000-0000-00007E8A0000}"/>
    <cellStyle name="常规 2 5 4 10 2 3 5" xfId="35455" xr:uid="{00000000-0005-0000-0000-00007F8A0000}"/>
    <cellStyle name="常规 2 5 4 10 2 4" xfId="35456" xr:uid="{00000000-0005-0000-0000-0000808A0000}"/>
    <cellStyle name="常规 2 5 4 10 2 4 2" xfId="35457" xr:uid="{00000000-0005-0000-0000-0000818A0000}"/>
    <cellStyle name="常规 2 5 4 10 2 4 2 2" xfId="35458" xr:uid="{00000000-0005-0000-0000-0000828A0000}"/>
    <cellStyle name="常规 2 5 4 10 2 4 2 3" xfId="35459" xr:uid="{00000000-0005-0000-0000-0000838A0000}"/>
    <cellStyle name="常规 2 5 4 10 2 4 2 4" xfId="35460" xr:uid="{00000000-0005-0000-0000-0000848A0000}"/>
    <cellStyle name="常规 2 5 4 10 2 4 3" xfId="35461" xr:uid="{00000000-0005-0000-0000-0000858A0000}"/>
    <cellStyle name="常规 2 5 4 10 2 4 4" xfId="35462" xr:uid="{00000000-0005-0000-0000-0000868A0000}"/>
    <cellStyle name="常规 2 5 4 10 2 4 5" xfId="35463" xr:uid="{00000000-0005-0000-0000-0000878A0000}"/>
    <cellStyle name="常规 2 5 4 10 2 5" xfId="35464" xr:uid="{00000000-0005-0000-0000-0000888A0000}"/>
    <cellStyle name="常规 2 5 4 10 2 5 2" xfId="35465" xr:uid="{00000000-0005-0000-0000-0000898A0000}"/>
    <cellStyle name="常规 2 5 4 10 2 5 3" xfId="35466" xr:uid="{00000000-0005-0000-0000-00008A8A0000}"/>
    <cellStyle name="常规 2 5 4 10 2 5 4" xfId="35467" xr:uid="{00000000-0005-0000-0000-00008B8A0000}"/>
    <cellStyle name="常规 2 5 4 10 2 6" xfId="35468" xr:uid="{00000000-0005-0000-0000-00008C8A0000}"/>
    <cellStyle name="常规 2 5 4 10 2 7" xfId="35469" xr:uid="{00000000-0005-0000-0000-00008D8A0000}"/>
    <cellStyle name="常规 2 5 4 10 2 8" xfId="35470" xr:uid="{00000000-0005-0000-0000-00008E8A0000}"/>
    <cellStyle name="常规 2 5 4 10 3" xfId="35471" xr:uid="{00000000-0005-0000-0000-00008F8A0000}"/>
    <cellStyle name="常规 2 5 4 10 3 2" xfId="35472" xr:uid="{00000000-0005-0000-0000-0000908A0000}"/>
    <cellStyle name="常规 2 5 4 10 3 2 2" xfId="35473" xr:uid="{00000000-0005-0000-0000-0000918A0000}"/>
    <cellStyle name="常规 2 5 4 10 3 2 3" xfId="35474" xr:uid="{00000000-0005-0000-0000-0000928A0000}"/>
    <cellStyle name="常规 2 5 4 10 3 2 4" xfId="35475" xr:uid="{00000000-0005-0000-0000-0000938A0000}"/>
    <cellStyle name="常规 2 5 4 10 3 3" xfId="35476" xr:uid="{00000000-0005-0000-0000-0000948A0000}"/>
    <cellStyle name="常规 2 5 4 10 3 4" xfId="35477" xr:uid="{00000000-0005-0000-0000-0000958A0000}"/>
    <cellStyle name="常规 2 5 4 10 3 5" xfId="35478" xr:uid="{00000000-0005-0000-0000-0000968A0000}"/>
    <cellStyle name="常规 2 5 4 10 4" xfId="35479" xr:uid="{00000000-0005-0000-0000-0000978A0000}"/>
    <cellStyle name="常规 2 5 4 10 4 2" xfId="35480" xr:uid="{00000000-0005-0000-0000-0000988A0000}"/>
    <cellStyle name="常规 2 5 4 10 4 2 2" xfId="35481" xr:uid="{00000000-0005-0000-0000-0000998A0000}"/>
    <cellStyle name="常规 2 5 4 10 4 2 3" xfId="35482" xr:uid="{00000000-0005-0000-0000-00009A8A0000}"/>
    <cellStyle name="常规 2 5 4 10 4 2 4" xfId="35483" xr:uid="{00000000-0005-0000-0000-00009B8A0000}"/>
    <cellStyle name="常规 2 5 4 10 4 3" xfId="35484" xr:uid="{00000000-0005-0000-0000-00009C8A0000}"/>
    <cellStyle name="常规 2 5 4 10 4 4" xfId="35485" xr:uid="{00000000-0005-0000-0000-00009D8A0000}"/>
    <cellStyle name="常规 2 5 4 10 4 5" xfId="35486" xr:uid="{00000000-0005-0000-0000-00009E8A0000}"/>
    <cellStyle name="常规 2 5 4 10 5" xfId="35487" xr:uid="{00000000-0005-0000-0000-00009F8A0000}"/>
    <cellStyle name="常规 2 5 4 10 5 2" xfId="35488" xr:uid="{00000000-0005-0000-0000-0000A08A0000}"/>
    <cellStyle name="常规 2 5 4 10 5 3" xfId="35489" xr:uid="{00000000-0005-0000-0000-0000A18A0000}"/>
    <cellStyle name="常规 2 5 4 10 5 4" xfId="35490" xr:uid="{00000000-0005-0000-0000-0000A28A0000}"/>
    <cellStyle name="常规 2 5 4 10 6" xfId="35491" xr:uid="{00000000-0005-0000-0000-0000A38A0000}"/>
    <cellStyle name="常规 2 5 4 10 7" xfId="35492" xr:uid="{00000000-0005-0000-0000-0000A48A0000}"/>
    <cellStyle name="常规 2 5 4 10 8" xfId="35493" xr:uid="{00000000-0005-0000-0000-0000A58A0000}"/>
    <cellStyle name="常规 2 5 4 11" xfId="35494" xr:uid="{00000000-0005-0000-0000-0000A68A0000}"/>
    <cellStyle name="常规 2 5 4 11 2" xfId="35495" xr:uid="{00000000-0005-0000-0000-0000A78A0000}"/>
    <cellStyle name="常规 2 5 4 11 2 2" xfId="35496" xr:uid="{00000000-0005-0000-0000-0000A88A0000}"/>
    <cellStyle name="常规 2 5 4 11 2 2 2" xfId="35497" xr:uid="{00000000-0005-0000-0000-0000A98A0000}"/>
    <cellStyle name="常规 2 5 4 11 2 2 2 2" xfId="35498" xr:uid="{00000000-0005-0000-0000-0000AA8A0000}"/>
    <cellStyle name="常规 2 5 4 11 2 2 2 2 2" xfId="35499" xr:uid="{00000000-0005-0000-0000-0000AB8A0000}"/>
    <cellStyle name="常规 2 5 4 11 2 2 2 2 3" xfId="35500" xr:uid="{00000000-0005-0000-0000-0000AC8A0000}"/>
    <cellStyle name="常规 2 5 4 11 2 2 2 2 4" xfId="35501" xr:uid="{00000000-0005-0000-0000-0000AD8A0000}"/>
    <cellStyle name="常规 2 5 4 11 2 2 2 3" xfId="35502" xr:uid="{00000000-0005-0000-0000-0000AE8A0000}"/>
    <cellStyle name="常规 2 5 4 11 2 2 2 4" xfId="35503" xr:uid="{00000000-0005-0000-0000-0000AF8A0000}"/>
    <cellStyle name="常规 2 5 4 11 2 2 2 5" xfId="35504" xr:uid="{00000000-0005-0000-0000-0000B08A0000}"/>
    <cellStyle name="常规 2 5 4 11 2 2 3" xfId="35505" xr:uid="{00000000-0005-0000-0000-0000B18A0000}"/>
    <cellStyle name="常规 2 5 4 11 2 2 3 2" xfId="35506" xr:uid="{00000000-0005-0000-0000-0000B28A0000}"/>
    <cellStyle name="常规 2 5 4 11 2 2 3 2 2" xfId="35507" xr:uid="{00000000-0005-0000-0000-0000B38A0000}"/>
    <cellStyle name="常规 2 5 4 11 2 2 3 2 3" xfId="35508" xr:uid="{00000000-0005-0000-0000-0000B48A0000}"/>
    <cellStyle name="常规 2 5 4 11 2 2 3 2 4" xfId="35509" xr:uid="{00000000-0005-0000-0000-0000B58A0000}"/>
    <cellStyle name="常规 2 5 4 11 2 2 3 3" xfId="35510" xr:uid="{00000000-0005-0000-0000-0000B68A0000}"/>
    <cellStyle name="常规 2 5 4 11 2 2 3 4" xfId="35511" xr:uid="{00000000-0005-0000-0000-0000B78A0000}"/>
    <cellStyle name="常规 2 5 4 11 2 2 3 5" xfId="35512" xr:uid="{00000000-0005-0000-0000-0000B88A0000}"/>
    <cellStyle name="常规 2 5 4 11 2 2 4" xfId="35513" xr:uid="{00000000-0005-0000-0000-0000B98A0000}"/>
    <cellStyle name="常规 2 5 4 11 2 2 4 2" xfId="35514" xr:uid="{00000000-0005-0000-0000-0000BA8A0000}"/>
    <cellStyle name="常规 2 5 4 11 2 2 4 3" xfId="35515" xr:uid="{00000000-0005-0000-0000-0000BB8A0000}"/>
    <cellStyle name="常规 2 5 4 11 2 2 4 4" xfId="35516" xr:uid="{00000000-0005-0000-0000-0000BC8A0000}"/>
    <cellStyle name="常规 2 5 4 11 2 2 5" xfId="35517" xr:uid="{00000000-0005-0000-0000-0000BD8A0000}"/>
    <cellStyle name="常规 2 5 4 11 2 2 6" xfId="35518" xr:uid="{00000000-0005-0000-0000-0000BE8A0000}"/>
    <cellStyle name="常规 2 5 4 11 2 2 7" xfId="35519" xr:uid="{00000000-0005-0000-0000-0000BF8A0000}"/>
    <cellStyle name="常规 2 5 4 11 2 3" xfId="35520" xr:uid="{00000000-0005-0000-0000-0000C08A0000}"/>
    <cellStyle name="常规 2 5 4 11 2 3 2" xfId="35521" xr:uid="{00000000-0005-0000-0000-0000C18A0000}"/>
    <cellStyle name="常规 2 5 4 11 2 3 2 2" xfId="35522" xr:uid="{00000000-0005-0000-0000-0000C28A0000}"/>
    <cellStyle name="常规 2 5 4 11 2 3 2 3" xfId="35523" xr:uid="{00000000-0005-0000-0000-0000C38A0000}"/>
    <cellStyle name="常规 2 5 4 11 2 3 2 4" xfId="35524" xr:uid="{00000000-0005-0000-0000-0000C48A0000}"/>
    <cellStyle name="常规 2 5 4 11 2 3 3" xfId="35525" xr:uid="{00000000-0005-0000-0000-0000C58A0000}"/>
    <cellStyle name="常规 2 5 4 11 2 3 4" xfId="35526" xr:uid="{00000000-0005-0000-0000-0000C68A0000}"/>
    <cellStyle name="常规 2 5 4 11 2 3 5" xfId="35527" xr:uid="{00000000-0005-0000-0000-0000C78A0000}"/>
    <cellStyle name="常规 2 5 4 11 2 4" xfId="35528" xr:uid="{00000000-0005-0000-0000-0000C88A0000}"/>
    <cellStyle name="常规 2 5 4 11 2 4 2" xfId="35529" xr:uid="{00000000-0005-0000-0000-0000C98A0000}"/>
    <cellStyle name="常规 2 5 4 11 2 4 2 2" xfId="35530" xr:uid="{00000000-0005-0000-0000-0000CA8A0000}"/>
    <cellStyle name="常规 2 5 4 11 2 4 2 3" xfId="35531" xr:uid="{00000000-0005-0000-0000-0000CB8A0000}"/>
    <cellStyle name="常规 2 5 4 11 2 4 2 4" xfId="35532" xr:uid="{00000000-0005-0000-0000-0000CC8A0000}"/>
    <cellStyle name="常规 2 5 4 11 2 4 3" xfId="35533" xr:uid="{00000000-0005-0000-0000-0000CD8A0000}"/>
    <cellStyle name="常规 2 5 4 11 2 4 4" xfId="35534" xr:uid="{00000000-0005-0000-0000-0000CE8A0000}"/>
    <cellStyle name="常规 2 5 4 11 2 4 5" xfId="35535" xr:uid="{00000000-0005-0000-0000-0000CF8A0000}"/>
    <cellStyle name="常规 2 5 4 11 2 5" xfId="35536" xr:uid="{00000000-0005-0000-0000-0000D08A0000}"/>
    <cellStyle name="常规 2 5 4 11 2 5 2" xfId="35537" xr:uid="{00000000-0005-0000-0000-0000D18A0000}"/>
    <cellStyle name="常规 2 5 4 11 2 5 3" xfId="35538" xr:uid="{00000000-0005-0000-0000-0000D28A0000}"/>
    <cellStyle name="常规 2 5 4 11 2 5 4" xfId="35539" xr:uid="{00000000-0005-0000-0000-0000D38A0000}"/>
    <cellStyle name="常规 2 5 4 11 2 6" xfId="35540" xr:uid="{00000000-0005-0000-0000-0000D48A0000}"/>
    <cellStyle name="常规 2 5 4 11 2 7" xfId="35541" xr:uid="{00000000-0005-0000-0000-0000D58A0000}"/>
    <cellStyle name="常规 2 5 4 11 2 8" xfId="35542" xr:uid="{00000000-0005-0000-0000-0000D68A0000}"/>
    <cellStyle name="常规 2 5 4 11 3" xfId="35543" xr:uid="{00000000-0005-0000-0000-0000D78A0000}"/>
    <cellStyle name="常规 2 5 4 11 3 2" xfId="35544" xr:uid="{00000000-0005-0000-0000-0000D88A0000}"/>
    <cellStyle name="常规 2 5 4 11 3 2 2" xfId="35545" xr:uid="{00000000-0005-0000-0000-0000D98A0000}"/>
    <cellStyle name="常规 2 5 4 11 3 2 3" xfId="35546" xr:uid="{00000000-0005-0000-0000-0000DA8A0000}"/>
    <cellStyle name="常规 2 5 4 11 3 2 4" xfId="35547" xr:uid="{00000000-0005-0000-0000-0000DB8A0000}"/>
    <cellStyle name="常规 2 5 4 11 3 3" xfId="35548" xr:uid="{00000000-0005-0000-0000-0000DC8A0000}"/>
    <cellStyle name="常规 2 5 4 11 3 4" xfId="35549" xr:uid="{00000000-0005-0000-0000-0000DD8A0000}"/>
    <cellStyle name="常规 2 5 4 11 3 5" xfId="35550" xr:uid="{00000000-0005-0000-0000-0000DE8A0000}"/>
    <cellStyle name="常规 2 5 4 11 4" xfId="35551" xr:uid="{00000000-0005-0000-0000-0000DF8A0000}"/>
    <cellStyle name="常规 2 5 4 11 4 2" xfId="35552" xr:uid="{00000000-0005-0000-0000-0000E08A0000}"/>
    <cellStyle name="常规 2 5 4 11 4 2 2" xfId="35553" xr:uid="{00000000-0005-0000-0000-0000E18A0000}"/>
    <cellStyle name="常规 2 5 4 11 4 2 3" xfId="35554" xr:uid="{00000000-0005-0000-0000-0000E28A0000}"/>
    <cellStyle name="常规 2 5 4 11 4 2 4" xfId="35555" xr:uid="{00000000-0005-0000-0000-0000E38A0000}"/>
    <cellStyle name="常规 2 5 4 11 4 3" xfId="35556" xr:uid="{00000000-0005-0000-0000-0000E48A0000}"/>
    <cellStyle name="常规 2 5 4 11 4 4" xfId="35557" xr:uid="{00000000-0005-0000-0000-0000E58A0000}"/>
    <cellStyle name="常规 2 5 4 11 4 5" xfId="35558" xr:uid="{00000000-0005-0000-0000-0000E68A0000}"/>
    <cellStyle name="常规 2 5 4 11 5" xfId="35559" xr:uid="{00000000-0005-0000-0000-0000E78A0000}"/>
    <cellStyle name="常规 2 5 4 11 5 2" xfId="35560" xr:uid="{00000000-0005-0000-0000-0000E88A0000}"/>
    <cellStyle name="常规 2 5 4 11 5 3" xfId="35561" xr:uid="{00000000-0005-0000-0000-0000E98A0000}"/>
    <cellStyle name="常规 2 5 4 11 5 4" xfId="35562" xr:uid="{00000000-0005-0000-0000-0000EA8A0000}"/>
    <cellStyle name="常规 2 5 4 11 6" xfId="35563" xr:uid="{00000000-0005-0000-0000-0000EB8A0000}"/>
    <cellStyle name="常规 2 5 4 11 7" xfId="35564" xr:uid="{00000000-0005-0000-0000-0000EC8A0000}"/>
    <cellStyle name="常规 2 5 4 11 8" xfId="35565" xr:uid="{00000000-0005-0000-0000-0000ED8A0000}"/>
    <cellStyle name="常规 2 5 4 12" xfId="35566" xr:uid="{00000000-0005-0000-0000-0000EE8A0000}"/>
    <cellStyle name="常规 2 5 4 12 2" xfId="35567" xr:uid="{00000000-0005-0000-0000-0000EF8A0000}"/>
    <cellStyle name="常规 2 5 4 12 2 2" xfId="35568" xr:uid="{00000000-0005-0000-0000-0000F08A0000}"/>
    <cellStyle name="常规 2 5 4 12 2 2 2" xfId="35569" xr:uid="{00000000-0005-0000-0000-0000F18A0000}"/>
    <cellStyle name="常规 2 5 4 12 2 2 2 2" xfId="35570" xr:uid="{00000000-0005-0000-0000-0000F28A0000}"/>
    <cellStyle name="常规 2 5 4 12 2 2 2 2 2" xfId="35571" xr:uid="{00000000-0005-0000-0000-0000F38A0000}"/>
    <cellStyle name="常规 2 5 4 12 2 2 2 2 3" xfId="35572" xr:uid="{00000000-0005-0000-0000-0000F48A0000}"/>
    <cellStyle name="常规 2 5 4 12 2 2 2 2 4" xfId="35573" xr:uid="{00000000-0005-0000-0000-0000F58A0000}"/>
    <cellStyle name="常规 2 5 4 12 2 2 2 3" xfId="35574" xr:uid="{00000000-0005-0000-0000-0000F68A0000}"/>
    <cellStyle name="常规 2 5 4 12 2 2 2 4" xfId="35575" xr:uid="{00000000-0005-0000-0000-0000F78A0000}"/>
    <cellStyle name="常规 2 5 4 12 2 2 2 5" xfId="35576" xr:uid="{00000000-0005-0000-0000-0000F88A0000}"/>
    <cellStyle name="常规 2 5 4 12 2 2 3" xfId="35577" xr:uid="{00000000-0005-0000-0000-0000F98A0000}"/>
    <cellStyle name="常规 2 5 4 12 2 2 3 2" xfId="35578" xr:uid="{00000000-0005-0000-0000-0000FA8A0000}"/>
    <cellStyle name="常规 2 5 4 12 2 2 3 2 2" xfId="35579" xr:uid="{00000000-0005-0000-0000-0000FB8A0000}"/>
    <cellStyle name="常规 2 5 4 12 2 2 3 2 3" xfId="35580" xr:uid="{00000000-0005-0000-0000-0000FC8A0000}"/>
    <cellStyle name="常规 2 5 4 12 2 2 3 2 4" xfId="35581" xr:uid="{00000000-0005-0000-0000-0000FD8A0000}"/>
    <cellStyle name="常规 2 5 4 12 2 2 3 3" xfId="35582" xr:uid="{00000000-0005-0000-0000-0000FE8A0000}"/>
    <cellStyle name="常规 2 5 4 12 2 2 3 4" xfId="35583" xr:uid="{00000000-0005-0000-0000-0000FF8A0000}"/>
    <cellStyle name="常规 2 5 4 12 2 2 3 5" xfId="35584" xr:uid="{00000000-0005-0000-0000-0000008B0000}"/>
    <cellStyle name="常规 2 5 4 12 2 2 4" xfId="35585" xr:uid="{00000000-0005-0000-0000-0000018B0000}"/>
    <cellStyle name="常规 2 5 4 12 2 2 4 2" xfId="35586" xr:uid="{00000000-0005-0000-0000-0000028B0000}"/>
    <cellStyle name="常规 2 5 4 12 2 2 4 3" xfId="35587" xr:uid="{00000000-0005-0000-0000-0000038B0000}"/>
    <cellStyle name="常规 2 5 4 12 2 2 4 4" xfId="35588" xr:uid="{00000000-0005-0000-0000-0000048B0000}"/>
    <cellStyle name="常规 2 5 4 12 2 2 5" xfId="35589" xr:uid="{00000000-0005-0000-0000-0000058B0000}"/>
    <cellStyle name="常规 2 5 4 12 2 2 6" xfId="35590" xr:uid="{00000000-0005-0000-0000-0000068B0000}"/>
    <cellStyle name="常规 2 5 4 12 2 2 7" xfId="35591" xr:uid="{00000000-0005-0000-0000-0000078B0000}"/>
    <cellStyle name="常规 2 5 4 12 2 3" xfId="35592" xr:uid="{00000000-0005-0000-0000-0000088B0000}"/>
    <cellStyle name="常规 2 5 4 12 2 3 2" xfId="35593" xr:uid="{00000000-0005-0000-0000-0000098B0000}"/>
    <cellStyle name="常规 2 5 4 12 2 3 2 2" xfId="35594" xr:uid="{00000000-0005-0000-0000-00000A8B0000}"/>
    <cellStyle name="常规 2 5 4 12 2 3 2 3" xfId="35595" xr:uid="{00000000-0005-0000-0000-00000B8B0000}"/>
    <cellStyle name="常规 2 5 4 12 2 3 2 4" xfId="35596" xr:uid="{00000000-0005-0000-0000-00000C8B0000}"/>
    <cellStyle name="常规 2 5 4 12 2 3 3" xfId="35597" xr:uid="{00000000-0005-0000-0000-00000D8B0000}"/>
    <cellStyle name="常规 2 5 4 12 2 3 4" xfId="35598" xr:uid="{00000000-0005-0000-0000-00000E8B0000}"/>
    <cellStyle name="常规 2 5 4 12 2 3 5" xfId="35599" xr:uid="{00000000-0005-0000-0000-00000F8B0000}"/>
    <cellStyle name="常规 2 5 4 12 2 4" xfId="35600" xr:uid="{00000000-0005-0000-0000-0000108B0000}"/>
    <cellStyle name="常规 2 5 4 12 2 4 2" xfId="35601" xr:uid="{00000000-0005-0000-0000-0000118B0000}"/>
    <cellStyle name="常规 2 5 4 12 2 4 2 2" xfId="35602" xr:uid="{00000000-0005-0000-0000-0000128B0000}"/>
    <cellStyle name="常规 2 5 4 12 2 4 2 3" xfId="35603" xr:uid="{00000000-0005-0000-0000-0000138B0000}"/>
    <cellStyle name="常规 2 5 4 12 2 4 2 4" xfId="35604" xr:uid="{00000000-0005-0000-0000-0000148B0000}"/>
    <cellStyle name="常规 2 5 4 12 2 4 3" xfId="35605" xr:uid="{00000000-0005-0000-0000-0000158B0000}"/>
    <cellStyle name="常规 2 5 4 12 2 4 4" xfId="35606" xr:uid="{00000000-0005-0000-0000-0000168B0000}"/>
    <cellStyle name="常规 2 5 4 12 2 4 5" xfId="35607" xr:uid="{00000000-0005-0000-0000-0000178B0000}"/>
    <cellStyle name="常规 2 5 4 12 2 5" xfId="35608" xr:uid="{00000000-0005-0000-0000-0000188B0000}"/>
    <cellStyle name="常规 2 5 4 12 2 5 2" xfId="35609" xr:uid="{00000000-0005-0000-0000-0000198B0000}"/>
    <cellStyle name="常规 2 5 4 12 2 5 3" xfId="35610" xr:uid="{00000000-0005-0000-0000-00001A8B0000}"/>
    <cellStyle name="常规 2 5 4 12 2 5 4" xfId="35611" xr:uid="{00000000-0005-0000-0000-00001B8B0000}"/>
    <cellStyle name="常规 2 5 4 12 2 6" xfId="35612" xr:uid="{00000000-0005-0000-0000-00001C8B0000}"/>
    <cellStyle name="常规 2 5 4 12 2 7" xfId="35613" xr:uid="{00000000-0005-0000-0000-00001D8B0000}"/>
    <cellStyle name="常规 2 5 4 12 2 8" xfId="35614" xr:uid="{00000000-0005-0000-0000-00001E8B0000}"/>
    <cellStyle name="常规 2 5 4 12 3" xfId="35615" xr:uid="{00000000-0005-0000-0000-00001F8B0000}"/>
    <cellStyle name="常规 2 5 4 12 3 2" xfId="35616" xr:uid="{00000000-0005-0000-0000-0000208B0000}"/>
    <cellStyle name="常规 2 5 4 12 3 2 2" xfId="35617" xr:uid="{00000000-0005-0000-0000-0000218B0000}"/>
    <cellStyle name="常规 2 5 4 12 3 2 3" xfId="35618" xr:uid="{00000000-0005-0000-0000-0000228B0000}"/>
    <cellStyle name="常规 2 5 4 12 3 2 4" xfId="35619" xr:uid="{00000000-0005-0000-0000-0000238B0000}"/>
    <cellStyle name="常规 2 5 4 12 3 3" xfId="35620" xr:uid="{00000000-0005-0000-0000-0000248B0000}"/>
    <cellStyle name="常规 2 5 4 12 3 4" xfId="35621" xr:uid="{00000000-0005-0000-0000-0000258B0000}"/>
    <cellStyle name="常规 2 5 4 12 3 5" xfId="35622" xr:uid="{00000000-0005-0000-0000-0000268B0000}"/>
    <cellStyle name="常规 2 5 4 12 4" xfId="35623" xr:uid="{00000000-0005-0000-0000-0000278B0000}"/>
    <cellStyle name="常规 2 5 4 12 4 2" xfId="35624" xr:uid="{00000000-0005-0000-0000-0000288B0000}"/>
    <cellStyle name="常规 2 5 4 12 4 2 2" xfId="35625" xr:uid="{00000000-0005-0000-0000-0000298B0000}"/>
    <cellStyle name="常规 2 5 4 12 4 2 3" xfId="35626" xr:uid="{00000000-0005-0000-0000-00002A8B0000}"/>
    <cellStyle name="常规 2 5 4 12 4 2 4" xfId="35627" xr:uid="{00000000-0005-0000-0000-00002B8B0000}"/>
    <cellStyle name="常规 2 5 4 12 4 3" xfId="35628" xr:uid="{00000000-0005-0000-0000-00002C8B0000}"/>
    <cellStyle name="常规 2 5 4 12 4 4" xfId="35629" xr:uid="{00000000-0005-0000-0000-00002D8B0000}"/>
    <cellStyle name="常规 2 5 4 12 4 5" xfId="35630" xr:uid="{00000000-0005-0000-0000-00002E8B0000}"/>
    <cellStyle name="常规 2 5 4 12 5" xfId="35631" xr:uid="{00000000-0005-0000-0000-00002F8B0000}"/>
    <cellStyle name="常规 2 5 4 12 5 2" xfId="35632" xr:uid="{00000000-0005-0000-0000-0000308B0000}"/>
    <cellStyle name="常规 2 5 4 12 5 3" xfId="35633" xr:uid="{00000000-0005-0000-0000-0000318B0000}"/>
    <cellStyle name="常规 2 5 4 12 5 4" xfId="35634" xr:uid="{00000000-0005-0000-0000-0000328B0000}"/>
    <cellStyle name="常规 2 5 4 12 6" xfId="35635" xr:uid="{00000000-0005-0000-0000-0000338B0000}"/>
    <cellStyle name="常规 2 5 4 12 7" xfId="35636" xr:uid="{00000000-0005-0000-0000-0000348B0000}"/>
    <cellStyle name="常规 2 5 4 12 8" xfId="35637" xr:uid="{00000000-0005-0000-0000-0000358B0000}"/>
    <cellStyle name="常规 2 5 4 13" xfId="35638" xr:uid="{00000000-0005-0000-0000-0000368B0000}"/>
    <cellStyle name="常规 2 5 4 13 2" xfId="35639" xr:uid="{00000000-0005-0000-0000-0000378B0000}"/>
    <cellStyle name="常规 2 5 4 13 2 2" xfId="35640" xr:uid="{00000000-0005-0000-0000-0000388B0000}"/>
    <cellStyle name="常规 2 5 4 13 2 2 2" xfId="35641" xr:uid="{00000000-0005-0000-0000-0000398B0000}"/>
    <cellStyle name="常规 2 5 4 13 2 2 2 2" xfId="35642" xr:uid="{00000000-0005-0000-0000-00003A8B0000}"/>
    <cellStyle name="常规 2 5 4 13 2 2 2 2 2" xfId="35643" xr:uid="{00000000-0005-0000-0000-00003B8B0000}"/>
    <cellStyle name="常规 2 5 4 13 2 2 2 2 3" xfId="35644" xr:uid="{00000000-0005-0000-0000-00003C8B0000}"/>
    <cellStyle name="常规 2 5 4 13 2 2 2 2 4" xfId="35645" xr:uid="{00000000-0005-0000-0000-00003D8B0000}"/>
    <cellStyle name="常规 2 5 4 13 2 2 2 3" xfId="35646" xr:uid="{00000000-0005-0000-0000-00003E8B0000}"/>
    <cellStyle name="常规 2 5 4 13 2 2 2 4" xfId="35647" xr:uid="{00000000-0005-0000-0000-00003F8B0000}"/>
    <cellStyle name="常规 2 5 4 13 2 2 2 5" xfId="35648" xr:uid="{00000000-0005-0000-0000-0000408B0000}"/>
    <cellStyle name="常规 2 5 4 13 2 2 3" xfId="35649" xr:uid="{00000000-0005-0000-0000-0000418B0000}"/>
    <cellStyle name="常规 2 5 4 13 2 2 3 2" xfId="35650" xr:uid="{00000000-0005-0000-0000-0000428B0000}"/>
    <cellStyle name="常规 2 5 4 13 2 2 3 2 2" xfId="35651" xr:uid="{00000000-0005-0000-0000-0000438B0000}"/>
    <cellStyle name="常规 2 5 4 13 2 2 3 2 3" xfId="35652" xr:uid="{00000000-0005-0000-0000-0000448B0000}"/>
    <cellStyle name="常规 2 5 4 13 2 2 3 2 4" xfId="35653" xr:uid="{00000000-0005-0000-0000-0000458B0000}"/>
    <cellStyle name="常规 2 5 4 13 2 2 3 3" xfId="35654" xr:uid="{00000000-0005-0000-0000-0000468B0000}"/>
    <cellStyle name="常规 2 5 4 13 2 2 3 4" xfId="35655" xr:uid="{00000000-0005-0000-0000-0000478B0000}"/>
    <cellStyle name="常规 2 5 4 13 2 2 3 5" xfId="35656" xr:uid="{00000000-0005-0000-0000-0000488B0000}"/>
    <cellStyle name="常规 2 5 4 13 2 2 4" xfId="35657" xr:uid="{00000000-0005-0000-0000-0000498B0000}"/>
    <cellStyle name="常规 2 5 4 13 2 2 4 2" xfId="35658" xr:uid="{00000000-0005-0000-0000-00004A8B0000}"/>
    <cellStyle name="常规 2 5 4 13 2 2 4 3" xfId="35659" xr:uid="{00000000-0005-0000-0000-00004B8B0000}"/>
    <cellStyle name="常规 2 5 4 13 2 2 4 4" xfId="35660" xr:uid="{00000000-0005-0000-0000-00004C8B0000}"/>
    <cellStyle name="常规 2 5 4 13 2 2 5" xfId="35661" xr:uid="{00000000-0005-0000-0000-00004D8B0000}"/>
    <cellStyle name="常规 2 5 4 13 2 2 6" xfId="35662" xr:uid="{00000000-0005-0000-0000-00004E8B0000}"/>
    <cellStyle name="常规 2 5 4 13 2 2 7" xfId="35663" xr:uid="{00000000-0005-0000-0000-00004F8B0000}"/>
    <cellStyle name="常规 2 5 4 13 2 3" xfId="35664" xr:uid="{00000000-0005-0000-0000-0000508B0000}"/>
    <cellStyle name="常规 2 5 4 13 2 3 2" xfId="35665" xr:uid="{00000000-0005-0000-0000-0000518B0000}"/>
    <cellStyle name="常规 2 5 4 13 2 3 2 2" xfId="35666" xr:uid="{00000000-0005-0000-0000-0000528B0000}"/>
    <cellStyle name="常规 2 5 4 13 2 3 2 3" xfId="35667" xr:uid="{00000000-0005-0000-0000-0000538B0000}"/>
    <cellStyle name="常规 2 5 4 13 2 3 2 4" xfId="35668" xr:uid="{00000000-0005-0000-0000-0000548B0000}"/>
    <cellStyle name="常规 2 5 4 13 2 3 3" xfId="35669" xr:uid="{00000000-0005-0000-0000-0000558B0000}"/>
    <cellStyle name="常规 2 5 4 13 2 3 4" xfId="35670" xr:uid="{00000000-0005-0000-0000-0000568B0000}"/>
    <cellStyle name="常规 2 5 4 13 2 3 5" xfId="35671" xr:uid="{00000000-0005-0000-0000-0000578B0000}"/>
    <cellStyle name="常规 2 5 4 13 2 4" xfId="35672" xr:uid="{00000000-0005-0000-0000-0000588B0000}"/>
    <cellStyle name="常规 2 5 4 13 2 4 2" xfId="35673" xr:uid="{00000000-0005-0000-0000-0000598B0000}"/>
    <cellStyle name="常规 2 5 4 13 2 4 2 2" xfId="35674" xr:uid="{00000000-0005-0000-0000-00005A8B0000}"/>
    <cellStyle name="常规 2 5 4 13 2 4 2 3" xfId="35675" xr:uid="{00000000-0005-0000-0000-00005B8B0000}"/>
    <cellStyle name="常规 2 5 4 13 2 4 2 4" xfId="35676" xr:uid="{00000000-0005-0000-0000-00005C8B0000}"/>
    <cellStyle name="常规 2 5 4 13 2 4 3" xfId="35677" xr:uid="{00000000-0005-0000-0000-00005D8B0000}"/>
    <cellStyle name="常规 2 5 4 13 2 4 4" xfId="35678" xr:uid="{00000000-0005-0000-0000-00005E8B0000}"/>
    <cellStyle name="常规 2 5 4 13 2 4 5" xfId="35679" xr:uid="{00000000-0005-0000-0000-00005F8B0000}"/>
    <cellStyle name="常规 2 5 4 13 2 5" xfId="35680" xr:uid="{00000000-0005-0000-0000-0000608B0000}"/>
    <cellStyle name="常规 2 5 4 13 2 5 2" xfId="35681" xr:uid="{00000000-0005-0000-0000-0000618B0000}"/>
    <cellStyle name="常规 2 5 4 13 2 5 3" xfId="35682" xr:uid="{00000000-0005-0000-0000-0000628B0000}"/>
    <cellStyle name="常规 2 5 4 13 2 5 4" xfId="35683" xr:uid="{00000000-0005-0000-0000-0000638B0000}"/>
    <cellStyle name="常规 2 5 4 13 2 6" xfId="35684" xr:uid="{00000000-0005-0000-0000-0000648B0000}"/>
    <cellStyle name="常规 2 5 4 13 2 7" xfId="35685" xr:uid="{00000000-0005-0000-0000-0000658B0000}"/>
    <cellStyle name="常规 2 5 4 13 2 8" xfId="35686" xr:uid="{00000000-0005-0000-0000-0000668B0000}"/>
    <cellStyle name="常规 2 5 4 13 3" xfId="35687" xr:uid="{00000000-0005-0000-0000-0000678B0000}"/>
    <cellStyle name="常规 2 5 4 13 3 2" xfId="35688" xr:uid="{00000000-0005-0000-0000-0000688B0000}"/>
    <cellStyle name="常规 2 5 4 13 3 2 2" xfId="35689" xr:uid="{00000000-0005-0000-0000-0000698B0000}"/>
    <cellStyle name="常规 2 5 4 13 3 2 3" xfId="35690" xr:uid="{00000000-0005-0000-0000-00006A8B0000}"/>
    <cellStyle name="常规 2 5 4 13 3 2 4" xfId="35691" xr:uid="{00000000-0005-0000-0000-00006B8B0000}"/>
    <cellStyle name="常规 2 5 4 13 3 3" xfId="35692" xr:uid="{00000000-0005-0000-0000-00006C8B0000}"/>
    <cellStyle name="常规 2 5 4 13 3 4" xfId="35693" xr:uid="{00000000-0005-0000-0000-00006D8B0000}"/>
    <cellStyle name="常规 2 5 4 13 3 5" xfId="35694" xr:uid="{00000000-0005-0000-0000-00006E8B0000}"/>
    <cellStyle name="常规 2 5 4 13 4" xfId="35695" xr:uid="{00000000-0005-0000-0000-00006F8B0000}"/>
    <cellStyle name="常规 2 5 4 13 4 2" xfId="35696" xr:uid="{00000000-0005-0000-0000-0000708B0000}"/>
    <cellStyle name="常规 2 5 4 13 4 2 2" xfId="35697" xr:uid="{00000000-0005-0000-0000-0000718B0000}"/>
    <cellStyle name="常规 2 5 4 13 4 2 3" xfId="35698" xr:uid="{00000000-0005-0000-0000-0000728B0000}"/>
    <cellStyle name="常规 2 5 4 13 4 2 4" xfId="35699" xr:uid="{00000000-0005-0000-0000-0000738B0000}"/>
    <cellStyle name="常规 2 5 4 13 4 3" xfId="35700" xr:uid="{00000000-0005-0000-0000-0000748B0000}"/>
    <cellStyle name="常规 2 5 4 13 4 4" xfId="35701" xr:uid="{00000000-0005-0000-0000-0000758B0000}"/>
    <cellStyle name="常规 2 5 4 13 4 5" xfId="35702" xr:uid="{00000000-0005-0000-0000-0000768B0000}"/>
    <cellStyle name="常规 2 5 4 13 5" xfId="35703" xr:uid="{00000000-0005-0000-0000-0000778B0000}"/>
    <cellStyle name="常规 2 5 4 13 5 2" xfId="35704" xr:uid="{00000000-0005-0000-0000-0000788B0000}"/>
    <cellStyle name="常规 2 5 4 13 5 3" xfId="35705" xr:uid="{00000000-0005-0000-0000-0000798B0000}"/>
    <cellStyle name="常规 2 5 4 13 5 4" xfId="35706" xr:uid="{00000000-0005-0000-0000-00007A8B0000}"/>
    <cellStyle name="常规 2 5 4 13 6" xfId="35707" xr:uid="{00000000-0005-0000-0000-00007B8B0000}"/>
    <cellStyle name="常规 2 5 4 13 7" xfId="35708" xr:uid="{00000000-0005-0000-0000-00007C8B0000}"/>
    <cellStyle name="常规 2 5 4 13 8" xfId="35709" xr:uid="{00000000-0005-0000-0000-00007D8B0000}"/>
    <cellStyle name="常规 2 5 4 14" xfId="35710" xr:uid="{00000000-0005-0000-0000-00007E8B0000}"/>
    <cellStyle name="常规 2 5 4 14 2" xfId="35711" xr:uid="{00000000-0005-0000-0000-00007F8B0000}"/>
    <cellStyle name="常规 2 5 4 14 2 2" xfId="35712" xr:uid="{00000000-0005-0000-0000-0000808B0000}"/>
    <cellStyle name="常规 2 5 4 14 2 2 2" xfId="35713" xr:uid="{00000000-0005-0000-0000-0000818B0000}"/>
    <cellStyle name="常规 2 5 4 14 2 2 2 2" xfId="35714" xr:uid="{00000000-0005-0000-0000-0000828B0000}"/>
    <cellStyle name="常规 2 5 4 14 2 2 2 2 2" xfId="35715" xr:uid="{00000000-0005-0000-0000-0000838B0000}"/>
    <cellStyle name="常规 2 5 4 14 2 2 2 2 3" xfId="35716" xr:uid="{00000000-0005-0000-0000-0000848B0000}"/>
    <cellStyle name="常规 2 5 4 14 2 2 2 2 4" xfId="35717" xr:uid="{00000000-0005-0000-0000-0000858B0000}"/>
    <cellStyle name="常规 2 5 4 14 2 2 2 3" xfId="35718" xr:uid="{00000000-0005-0000-0000-0000868B0000}"/>
    <cellStyle name="常规 2 5 4 14 2 2 2 4" xfId="35719" xr:uid="{00000000-0005-0000-0000-0000878B0000}"/>
    <cellStyle name="常规 2 5 4 14 2 2 2 5" xfId="35720" xr:uid="{00000000-0005-0000-0000-0000888B0000}"/>
    <cellStyle name="常规 2 5 4 14 2 2 3" xfId="35721" xr:uid="{00000000-0005-0000-0000-0000898B0000}"/>
    <cellStyle name="常规 2 5 4 14 2 2 3 2" xfId="35722" xr:uid="{00000000-0005-0000-0000-00008A8B0000}"/>
    <cellStyle name="常规 2 5 4 14 2 2 3 2 2" xfId="35723" xr:uid="{00000000-0005-0000-0000-00008B8B0000}"/>
    <cellStyle name="常规 2 5 4 14 2 2 3 2 3" xfId="35724" xr:uid="{00000000-0005-0000-0000-00008C8B0000}"/>
    <cellStyle name="常规 2 5 4 14 2 2 3 2 4" xfId="35725" xr:uid="{00000000-0005-0000-0000-00008D8B0000}"/>
    <cellStyle name="常规 2 5 4 14 2 2 3 3" xfId="35726" xr:uid="{00000000-0005-0000-0000-00008E8B0000}"/>
    <cellStyle name="常规 2 5 4 14 2 2 3 4" xfId="35727" xr:uid="{00000000-0005-0000-0000-00008F8B0000}"/>
    <cellStyle name="常规 2 5 4 14 2 2 3 5" xfId="35728" xr:uid="{00000000-0005-0000-0000-0000908B0000}"/>
    <cellStyle name="常规 2 5 4 14 2 2 4" xfId="35729" xr:uid="{00000000-0005-0000-0000-0000918B0000}"/>
    <cellStyle name="常规 2 5 4 14 2 2 4 2" xfId="35730" xr:uid="{00000000-0005-0000-0000-0000928B0000}"/>
    <cellStyle name="常规 2 5 4 14 2 2 4 3" xfId="35731" xr:uid="{00000000-0005-0000-0000-0000938B0000}"/>
    <cellStyle name="常规 2 5 4 14 2 2 4 4" xfId="35732" xr:uid="{00000000-0005-0000-0000-0000948B0000}"/>
    <cellStyle name="常规 2 5 4 14 2 2 5" xfId="35733" xr:uid="{00000000-0005-0000-0000-0000958B0000}"/>
    <cellStyle name="常规 2 5 4 14 2 2 6" xfId="35734" xr:uid="{00000000-0005-0000-0000-0000968B0000}"/>
    <cellStyle name="常规 2 5 4 14 2 2 7" xfId="35735" xr:uid="{00000000-0005-0000-0000-0000978B0000}"/>
    <cellStyle name="常规 2 5 4 14 2 3" xfId="35736" xr:uid="{00000000-0005-0000-0000-0000988B0000}"/>
    <cellStyle name="常规 2 5 4 14 2 3 2" xfId="35737" xr:uid="{00000000-0005-0000-0000-0000998B0000}"/>
    <cellStyle name="常规 2 5 4 14 2 3 2 2" xfId="35738" xr:uid="{00000000-0005-0000-0000-00009A8B0000}"/>
    <cellStyle name="常规 2 5 4 14 2 3 2 3" xfId="35739" xr:uid="{00000000-0005-0000-0000-00009B8B0000}"/>
    <cellStyle name="常规 2 5 4 14 2 3 2 4" xfId="35740" xr:uid="{00000000-0005-0000-0000-00009C8B0000}"/>
    <cellStyle name="常规 2 5 4 14 2 3 3" xfId="35741" xr:uid="{00000000-0005-0000-0000-00009D8B0000}"/>
    <cellStyle name="常规 2 5 4 14 2 3 4" xfId="35742" xr:uid="{00000000-0005-0000-0000-00009E8B0000}"/>
    <cellStyle name="常规 2 5 4 14 2 3 5" xfId="35743" xr:uid="{00000000-0005-0000-0000-00009F8B0000}"/>
    <cellStyle name="常规 2 5 4 14 2 4" xfId="35744" xr:uid="{00000000-0005-0000-0000-0000A08B0000}"/>
    <cellStyle name="常规 2 5 4 14 2 4 2" xfId="35745" xr:uid="{00000000-0005-0000-0000-0000A18B0000}"/>
    <cellStyle name="常规 2 5 4 14 2 4 2 2" xfId="35746" xr:uid="{00000000-0005-0000-0000-0000A28B0000}"/>
    <cellStyle name="常规 2 5 4 14 2 4 2 3" xfId="35747" xr:uid="{00000000-0005-0000-0000-0000A38B0000}"/>
    <cellStyle name="常规 2 5 4 14 2 4 2 4" xfId="35748" xr:uid="{00000000-0005-0000-0000-0000A48B0000}"/>
    <cellStyle name="常规 2 5 4 14 2 4 3" xfId="35749" xr:uid="{00000000-0005-0000-0000-0000A58B0000}"/>
    <cellStyle name="常规 2 5 4 14 2 4 4" xfId="35750" xr:uid="{00000000-0005-0000-0000-0000A68B0000}"/>
    <cellStyle name="常规 2 5 4 14 2 4 5" xfId="35751" xr:uid="{00000000-0005-0000-0000-0000A78B0000}"/>
    <cellStyle name="常规 2 5 4 14 2 5" xfId="35752" xr:uid="{00000000-0005-0000-0000-0000A88B0000}"/>
    <cellStyle name="常规 2 5 4 14 2 5 2" xfId="35753" xr:uid="{00000000-0005-0000-0000-0000A98B0000}"/>
    <cellStyle name="常规 2 5 4 14 2 5 3" xfId="35754" xr:uid="{00000000-0005-0000-0000-0000AA8B0000}"/>
    <cellStyle name="常规 2 5 4 14 2 5 4" xfId="35755" xr:uid="{00000000-0005-0000-0000-0000AB8B0000}"/>
    <cellStyle name="常规 2 5 4 14 2 6" xfId="35756" xr:uid="{00000000-0005-0000-0000-0000AC8B0000}"/>
    <cellStyle name="常规 2 5 4 14 2 7" xfId="35757" xr:uid="{00000000-0005-0000-0000-0000AD8B0000}"/>
    <cellStyle name="常规 2 5 4 14 2 8" xfId="35758" xr:uid="{00000000-0005-0000-0000-0000AE8B0000}"/>
    <cellStyle name="常规 2 5 4 14 3" xfId="35759" xr:uid="{00000000-0005-0000-0000-0000AF8B0000}"/>
    <cellStyle name="常规 2 5 4 14 3 2" xfId="35760" xr:uid="{00000000-0005-0000-0000-0000B08B0000}"/>
    <cellStyle name="常规 2 5 4 14 3 2 2" xfId="35761" xr:uid="{00000000-0005-0000-0000-0000B18B0000}"/>
    <cellStyle name="常规 2 5 4 14 3 2 3" xfId="35762" xr:uid="{00000000-0005-0000-0000-0000B28B0000}"/>
    <cellStyle name="常规 2 5 4 14 3 2 4" xfId="35763" xr:uid="{00000000-0005-0000-0000-0000B38B0000}"/>
    <cellStyle name="常规 2 5 4 14 3 3" xfId="35764" xr:uid="{00000000-0005-0000-0000-0000B48B0000}"/>
    <cellStyle name="常规 2 5 4 14 3 4" xfId="35765" xr:uid="{00000000-0005-0000-0000-0000B58B0000}"/>
    <cellStyle name="常规 2 5 4 14 3 5" xfId="35766" xr:uid="{00000000-0005-0000-0000-0000B68B0000}"/>
    <cellStyle name="常规 2 5 4 14 4" xfId="35767" xr:uid="{00000000-0005-0000-0000-0000B78B0000}"/>
    <cellStyle name="常规 2 5 4 14 4 2" xfId="35768" xr:uid="{00000000-0005-0000-0000-0000B88B0000}"/>
    <cellStyle name="常规 2 5 4 14 4 2 2" xfId="35769" xr:uid="{00000000-0005-0000-0000-0000B98B0000}"/>
    <cellStyle name="常规 2 5 4 14 4 2 3" xfId="35770" xr:uid="{00000000-0005-0000-0000-0000BA8B0000}"/>
    <cellStyle name="常规 2 5 4 14 4 2 4" xfId="35771" xr:uid="{00000000-0005-0000-0000-0000BB8B0000}"/>
    <cellStyle name="常规 2 5 4 14 4 3" xfId="35772" xr:uid="{00000000-0005-0000-0000-0000BC8B0000}"/>
    <cellStyle name="常规 2 5 4 14 4 4" xfId="35773" xr:uid="{00000000-0005-0000-0000-0000BD8B0000}"/>
    <cellStyle name="常规 2 5 4 14 4 5" xfId="35774" xr:uid="{00000000-0005-0000-0000-0000BE8B0000}"/>
    <cellStyle name="常规 2 5 4 14 5" xfId="35775" xr:uid="{00000000-0005-0000-0000-0000BF8B0000}"/>
    <cellStyle name="常规 2 5 4 14 5 2" xfId="35776" xr:uid="{00000000-0005-0000-0000-0000C08B0000}"/>
    <cellStyle name="常规 2 5 4 14 5 3" xfId="35777" xr:uid="{00000000-0005-0000-0000-0000C18B0000}"/>
    <cellStyle name="常规 2 5 4 14 5 4" xfId="35778" xr:uid="{00000000-0005-0000-0000-0000C28B0000}"/>
    <cellStyle name="常规 2 5 4 14 6" xfId="35779" xr:uid="{00000000-0005-0000-0000-0000C38B0000}"/>
    <cellStyle name="常规 2 5 4 14 7" xfId="35780" xr:uid="{00000000-0005-0000-0000-0000C48B0000}"/>
    <cellStyle name="常规 2 5 4 14 8" xfId="35781" xr:uid="{00000000-0005-0000-0000-0000C58B0000}"/>
    <cellStyle name="常规 2 5 4 15" xfId="35782" xr:uid="{00000000-0005-0000-0000-0000C68B0000}"/>
    <cellStyle name="常规 2 5 4 15 2" xfId="35783" xr:uid="{00000000-0005-0000-0000-0000C78B0000}"/>
    <cellStyle name="常规 2 5 4 15 2 2" xfId="35784" xr:uid="{00000000-0005-0000-0000-0000C88B0000}"/>
    <cellStyle name="常规 2 5 4 15 2 2 2" xfId="35785" xr:uid="{00000000-0005-0000-0000-0000C98B0000}"/>
    <cellStyle name="常规 2 5 4 15 2 2 2 2" xfId="35786" xr:uid="{00000000-0005-0000-0000-0000CA8B0000}"/>
    <cellStyle name="常规 2 5 4 15 2 2 2 3" xfId="35787" xr:uid="{00000000-0005-0000-0000-0000CB8B0000}"/>
    <cellStyle name="常规 2 5 4 15 2 2 2 4" xfId="35788" xr:uid="{00000000-0005-0000-0000-0000CC8B0000}"/>
    <cellStyle name="常规 2 5 4 15 2 2 3" xfId="35789" xr:uid="{00000000-0005-0000-0000-0000CD8B0000}"/>
    <cellStyle name="常规 2 5 4 15 2 2 4" xfId="35790" xr:uid="{00000000-0005-0000-0000-0000CE8B0000}"/>
    <cellStyle name="常规 2 5 4 15 2 2 5" xfId="35791" xr:uid="{00000000-0005-0000-0000-0000CF8B0000}"/>
    <cellStyle name="常规 2 5 4 15 2 3" xfId="35792" xr:uid="{00000000-0005-0000-0000-0000D08B0000}"/>
    <cellStyle name="常规 2 5 4 15 2 3 2" xfId="35793" xr:uid="{00000000-0005-0000-0000-0000D18B0000}"/>
    <cellStyle name="常规 2 5 4 15 2 3 2 2" xfId="35794" xr:uid="{00000000-0005-0000-0000-0000D28B0000}"/>
    <cellStyle name="常规 2 5 4 15 2 3 2 3" xfId="35795" xr:uid="{00000000-0005-0000-0000-0000D38B0000}"/>
    <cellStyle name="常规 2 5 4 15 2 3 2 4" xfId="35796" xr:uid="{00000000-0005-0000-0000-0000D48B0000}"/>
    <cellStyle name="常规 2 5 4 15 2 3 3" xfId="35797" xr:uid="{00000000-0005-0000-0000-0000D58B0000}"/>
    <cellStyle name="常规 2 5 4 15 2 3 4" xfId="35798" xr:uid="{00000000-0005-0000-0000-0000D68B0000}"/>
    <cellStyle name="常规 2 5 4 15 2 3 5" xfId="35799" xr:uid="{00000000-0005-0000-0000-0000D78B0000}"/>
    <cellStyle name="常规 2 5 4 15 2 4" xfId="35800" xr:uid="{00000000-0005-0000-0000-0000D88B0000}"/>
    <cellStyle name="常规 2 5 4 15 2 4 2" xfId="35801" xr:uid="{00000000-0005-0000-0000-0000D98B0000}"/>
    <cellStyle name="常规 2 5 4 15 2 4 3" xfId="35802" xr:uid="{00000000-0005-0000-0000-0000DA8B0000}"/>
    <cellStyle name="常规 2 5 4 15 2 4 4" xfId="35803" xr:uid="{00000000-0005-0000-0000-0000DB8B0000}"/>
    <cellStyle name="常规 2 5 4 15 2 5" xfId="35804" xr:uid="{00000000-0005-0000-0000-0000DC8B0000}"/>
    <cellStyle name="常规 2 5 4 15 2 6" xfId="35805" xr:uid="{00000000-0005-0000-0000-0000DD8B0000}"/>
    <cellStyle name="常规 2 5 4 15 2 7" xfId="35806" xr:uid="{00000000-0005-0000-0000-0000DE8B0000}"/>
    <cellStyle name="常规 2 5 4 15 3" xfId="35807" xr:uid="{00000000-0005-0000-0000-0000DF8B0000}"/>
    <cellStyle name="常规 2 5 4 15 3 2" xfId="35808" xr:uid="{00000000-0005-0000-0000-0000E08B0000}"/>
    <cellStyle name="常规 2 5 4 15 3 2 2" xfId="35809" xr:uid="{00000000-0005-0000-0000-0000E18B0000}"/>
    <cellStyle name="常规 2 5 4 15 3 2 3" xfId="35810" xr:uid="{00000000-0005-0000-0000-0000E28B0000}"/>
    <cellStyle name="常规 2 5 4 15 3 2 4" xfId="35811" xr:uid="{00000000-0005-0000-0000-0000E38B0000}"/>
    <cellStyle name="常规 2 5 4 15 3 3" xfId="35812" xr:uid="{00000000-0005-0000-0000-0000E48B0000}"/>
    <cellStyle name="常规 2 5 4 15 3 4" xfId="35813" xr:uid="{00000000-0005-0000-0000-0000E58B0000}"/>
    <cellStyle name="常规 2 5 4 15 3 5" xfId="35814" xr:uid="{00000000-0005-0000-0000-0000E68B0000}"/>
    <cellStyle name="常规 2 5 4 15 4" xfId="35815" xr:uid="{00000000-0005-0000-0000-0000E78B0000}"/>
    <cellStyle name="常规 2 5 4 15 4 2" xfId="35816" xr:uid="{00000000-0005-0000-0000-0000E88B0000}"/>
    <cellStyle name="常规 2 5 4 15 4 2 2" xfId="35817" xr:uid="{00000000-0005-0000-0000-0000E98B0000}"/>
    <cellStyle name="常规 2 5 4 15 4 2 3" xfId="35818" xr:uid="{00000000-0005-0000-0000-0000EA8B0000}"/>
    <cellStyle name="常规 2 5 4 15 4 2 4" xfId="35819" xr:uid="{00000000-0005-0000-0000-0000EB8B0000}"/>
    <cellStyle name="常规 2 5 4 15 4 3" xfId="35820" xr:uid="{00000000-0005-0000-0000-0000EC8B0000}"/>
    <cellStyle name="常规 2 5 4 15 4 4" xfId="35821" xr:uid="{00000000-0005-0000-0000-0000ED8B0000}"/>
    <cellStyle name="常规 2 5 4 15 4 5" xfId="35822" xr:uid="{00000000-0005-0000-0000-0000EE8B0000}"/>
    <cellStyle name="常规 2 5 4 15 5" xfId="35823" xr:uid="{00000000-0005-0000-0000-0000EF8B0000}"/>
    <cellStyle name="常规 2 5 4 15 5 2" xfId="35824" xr:uid="{00000000-0005-0000-0000-0000F08B0000}"/>
    <cellStyle name="常规 2 5 4 15 5 3" xfId="35825" xr:uid="{00000000-0005-0000-0000-0000F18B0000}"/>
    <cellStyle name="常规 2 5 4 15 5 4" xfId="35826" xr:uid="{00000000-0005-0000-0000-0000F28B0000}"/>
    <cellStyle name="常规 2 5 4 15 6" xfId="35827" xr:uid="{00000000-0005-0000-0000-0000F38B0000}"/>
    <cellStyle name="常规 2 5 4 15 7" xfId="35828" xr:uid="{00000000-0005-0000-0000-0000F48B0000}"/>
    <cellStyle name="常规 2 5 4 15 8" xfId="35829" xr:uid="{00000000-0005-0000-0000-0000F58B0000}"/>
    <cellStyle name="常规 2 5 4 16" xfId="35830" xr:uid="{00000000-0005-0000-0000-0000F68B0000}"/>
    <cellStyle name="常规 2 5 4 16 2" xfId="35831" xr:uid="{00000000-0005-0000-0000-0000F78B0000}"/>
    <cellStyle name="常规 2 5 4 16 2 2" xfId="35832" xr:uid="{00000000-0005-0000-0000-0000F88B0000}"/>
    <cellStyle name="常规 2 5 4 16 2 3" xfId="35833" xr:uid="{00000000-0005-0000-0000-0000F98B0000}"/>
    <cellStyle name="常规 2 5 4 16 2 4" xfId="35834" xr:uid="{00000000-0005-0000-0000-0000FA8B0000}"/>
    <cellStyle name="常规 2 5 4 16 3" xfId="35835" xr:uid="{00000000-0005-0000-0000-0000FB8B0000}"/>
    <cellStyle name="常规 2 5 4 16 4" xfId="35836" xr:uid="{00000000-0005-0000-0000-0000FC8B0000}"/>
    <cellStyle name="常规 2 5 4 16 5" xfId="35837" xr:uid="{00000000-0005-0000-0000-0000FD8B0000}"/>
    <cellStyle name="常规 2 5 4 17" xfId="35838" xr:uid="{00000000-0005-0000-0000-0000FE8B0000}"/>
    <cellStyle name="常规 2 5 4 17 2" xfId="35839" xr:uid="{00000000-0005-0000-0000-0000FF8B0000}"/>
    <cellStyle name="常规 2 5 4 17 2 2" xfId="35840" xr:uid="{00000000-0005-0000-0000-0000008C0000}"/>
    <cellStyle name="常规 2 5 4 17 2 3" xfId="35841" xr:uid="{00000000-0005-0000-0000-0000018C0000}"/>
    <cellStyle name="常规 2 5 4 17 2 4" xfId="35842" xr:uid="{00000000-0005-0000-0000-0000028C0000}"/>
    <cellStyle name="常规 2 5 4 17 3" xfId="35843" xr:uid="{00000000-0005-0000-0000-0000038C0000}"/>
    <cellStyle name="常规 2 5 4 17 4" xfId="35844" xr:uid="{00000000-0005-0000-0000-0000048C0000}"/>
    <cellStyle name="常规 2 5 4 17 5" xfId="35845" xr:uid="{00000000-0005-0000-0000-0000058C0000}"/>
    <cellStyle name="常规 2 5 4 18" xfId="35846" xr:uid="{00000000-0005-0000-0000-0000068C0000}"/>
    <cellStyle name="常规 2 5 4 18 2" xfId="35847" xr:uid="{00000000-0005-0000-0000-0000078C0000}"/>
    <cellStyle name="常规 2 5 4 18 3" xfId="35848" xr:uid="{00000000-0005-0000-0000-0000088C0000}"/>
    <cellStyle name="常规 2 5 4 18 4" xfId="35849" xr:uid="{00000000-0005-0000-0000-0000098C0000}"/>
    <cellStyle name="常规 2 5 4 19" xfId="35850" xr:uid="{00000000-0005-0000-0000-00000A8C0000}"/>
    <cellStyle name="常规 2 5 4 2" xfId="35851" xr:uid="{00000000-0005-0000-0000-00000B8C0000}"/>
    <cellStyle name="常规 2 5 4 2 10" xfId="35852" xr:uid="{00000000-0005-0000-0000-00000C8C0000}"/>
    <cellStyle name="常规 2 5 4 2 2" xfId="35853" xr:uid="{00000000-0005-0000-0000-00000D8C0000}"/>
    <cellStyle name="常规 2 5 4 2 2 2" xfId="35854" xr:uid="{00000000-0005-0000-0000-00000E8C0000}"/>
    <cellStyle name="常规 2 5 4 2 2 2 2" xfId="35855" xr:uid="{00000000-0005-0000-0000-00000F8C0000}"/>
    <cellStyle name="常规 2 5 4 2 2 2 2 2" xfId="35856" xr:uid="{00000000-0005-0000-0000-0000108C0000}"/>
    <cellStyle name="常规 2 5 4 2 2 2 2 2 2" xfId="35857" xr:uid="{00000000-0005-0000-0000-0000118C0000}"/>
    <cellStyle name="常规 2 5 4 2 2 2 2 2 3" xfId="35858" xr:uid="{00000000-0005-0000-0000-0000128C0000}"/>
    <cellStyle name="常规 2 5 4 2 2 2 2 2 4" xfId="35859" xr:uid="{00000000-0005-0000-0000-0000138C0000}"/>
    <cellStyle name="常规 2 5 4 2 2 2 2 3" xfId="35860" xr:uid="{00000000-0005-0000-0000-0000148C0000}"/>
    <cellStyle name="常规 2 5 4 2 2 2 2 4" xfId="35861" xr:uid="{00000000-0005-0000-0000-0000158C0000}"/>
    <cellStyle name="常规 2 5 4 2 2 2 2 5" xfId="35862" xr:uid="{00000000-0005-0000-0000-0000168C0000}"/>
    <cellStyle name="常规 2 5 4 2 2 2 3" xfId="35863" xr:uid="{00000000-0005-0000-0000-0000178C0000}"/>
    <cellStyle name="常规 2 5 4 2 2 2 3 2" xfId="35864" xr:uid="{00000000-0005-0000-0000-0000188C0000}"/>
    <cellStyle name="常规 2 5 4 2 2 2 3 2 2" xfId="35865" xr:uid="{00000000-0005-0000-0000-0000198C0000}"/>
    <cellStyle name="常规 2 5 4 2 2 2 3 2 3" xfId="35866" xr:uid="{00000000-0005-0000-0000-00001A8C0000}"/>
    <cellStyle name="常规 2 5 4 2 2 2 3 2 4" xfId="35867" xr:uid="{00000000-0005-0000-0000-00001B8C0000}"/>
    <cellStyle name="常规 2 5 4 2 2 2 3 3" xfId="35868" xr:uid="{00000000-0005-0000-0000-00001C8C0000}"/>
    <cellStyle name="常规 2 5 4 2 2 2 3 4" xfId="35869" xr:uid="{00000000-0005-0000-0000-00001D8C0000}"/>
    <cellStyle name="常规 2 5 4 2 2 2 3 5" xfId="35870" xr:uid="{00000000-0005-0000-0000-00001E8C0000}"/>
    <cellStyle name="常规 2 5 4 2 2 2 4" xfId="35871" xr:uid="{00000000-0005-0000-0000-00001F8C0000}"/>
    <cellStyle name="常规 2 5 4 2 2 2 4 2" xfId="35872" xr:uid="{00000000-0005-0000-0000-0000208C0000}"/>
    <cellStyle name="常规 2 5 4 2 2 2 4 3" xfId="35873" xr:uid="{00000000-0005-0000-0000-0000218C0000}"/>
    <cellStyle name="常规 2 5 4 2 2 2 4 4" xfId="35874" xr:uid="{00000000-0005-0000-0000-0000228C0000}"/>
    <cellStyle name="常规 2 5 4 2 2 2 5" xfId="35875" xr:uid="{00000000-0005-0000-0000-0000238C0000}"/>
    <cellStyle name="常规 2 5 4 2 2 2 6" xfId="35876" xr:uid="{00000000-0005-0000-0000-0000248C0000}"/>
    <cellStyle name="常规 2 5 4 2 2 2 7" xfId="35877" xr:uid="{00000000-0005-0000-0000-0000258C0000}"/>
    <cellStyle name="常规 2 5 4 2 2 3" xfId="35878" xr:uid="{00000000-0005-0000-0000-0000268C0000}"/>
    <cellStyle name="常规 2 5 4 2 2 3 2" xfId="35879" xr:uid="{00000000-0005-0000-0000-0000278C0000}"/>
    <cellStyle name="常规 2 5 4 2 2 3 2 2" xfId="35880" xr:uid="{00000000-0005-0000-0000-0000288C0000}"/>
    <cellStyle name="常规 2 5 4 2 2 3 2 3" xfId="35881" xr:uid="{00000000-0005-0000-0000-0000298C0000}"/>
    <cellStyle name="常规 2 5 4 2 2 3 2 4" xfId="35882" xr:uid="{00000000-0005-0000-0000-00002A8C0000}"/>
    <cellStyle name="常规 2 5 4 2 2 3 3" xfId="35883" xr:uid="{00000000-0005-0000-0000-00002B8C0000}"/>
    <cellStyle name="常规 2 5 4 2 2 3 4" xfId="35884" xr:uid="{00000000-0005-0000-0000-00002C8C0000}"/>
    <cellStyle name="常规 2 5 4 2 2 3 5" xfId="35885" xr:uid="{00000000-0005-0000-0000-00002D8C0000}"/>
    <cellStyle name="常规 2 5 4 2 2 4" xfId="35886" xr:uid="{00000000-0005-0000-0000-00002E8C0000}"/>
    <cellStyle name="常规 2 5 4 2 2 4 2" xfId="35887" xr:uid="{00000000-0005-0000-0000-00002F8C0000}"/>
    <cellStyle name="常规 2 5 4 2 2 4 2 2" xfId="35888" xr:uid="{00000000-0005-0000-0000-0000308C0000}"/>
    <cellStyle name="常规 2 5 4 2 2 4 2 3" xfId="35889" xr:uid="{00000000-0005-0000-0000-0000318C0000}"/>
    <cellStyle name="常规 2 5 4 2 2 4 2 4" xfId="35890" xr:uid="{00000000-0005-0000-0000-0000328C0000}"/>
    <cellStyle name="常规 2 5 4 2 2 4 3" xfId="35891" xr:uid="{00000000-0005-0000-0000-0000338C0000}"/>
    <cellStyle name="常规 2 5 4 2 2 4 4" xfId="35892" xr:uid="{00000000-0005-0000-0000-0000348C0000}"/>
    <cellStyle name="常规 2 5 4 2 2 4 5" xfId="35893" xr:uid="{00000000-0005-0000-0000-0000358C0000}"/>
    <cellStyle name="常规 2 5 4 2 2 5" xfId="35894" xr:uid="{00000000-0005-0000-0000-0000368C0000}"/>
    <cellStyle name="常规 2 5 4 2 2 5 2" xfId="35895" xr:uid="{00000000-0005-0000-0000-0000378C0000}"/>
    <cellStyle name="常规 2 5 4 2 2 5 3" xfId="35896" xr:uid="{00000000-0005-0000-0000-0000388C0000}"/>
    <cellStyle name="常规 2 5 4 2 2 5 4" xfId="35897" xr:uid="{00000000-0005-0000-0000-0000398C0000}"/>
    <cellStyle name="常规 2 5 4 2 2 6" xfId="35898" xr:uid="{00000000-0005-0000-0000-00003A8C0000}"/>
    <cellStyle name="常规 2 5 4 2 2 7" xfId="35899" xr:uid="{00000000-0005-0000-0000-00003B8C0000}"/>
    <cellStyle name="常规 2 5 4 2 2 8" xfId="35900" xr:uid="{00000000-0005-0000-0000-00003C8C0000}"/>
    <cellStyle name="常规 2 5 4 2 2 9" xfId="35901" xr:uid="{00000000-0005-0000-0000-00003D8C0000}"/>
    <cellStyle name="常规 2 5 4 2 2 9 2" xfId="35902" xr:uid="{00000000-0005-0000-0000-00003E8C0000}"/>
    <cellStyle name="常规 2 5 4 2 3" xfId="35903" xr:uid="{00000000-0005-0000-0000-00003F8C0000}"/>
    <cellStyle name="常规 2 5 4 2 3 2" xfId="35904" xr:uid="{00000000-0005-0000-0000-0000408C0000}"/>
    <cellStyle name="常规 2 5 4 2 3 2 2" xfId="35905" xr:uid="{00000000-0005-0000-0000-0000418C0000}"/>
    <cellStyle name="常规 2 5 4 2 3 2 3" xfId="35906" xr:uid="{00000000-0005-0000-0000-0000428C0000}"/>
    <cellStyle name="常规 2 5 4 2 3 2 4" xfId="35907" xr:uid="{00000000-0005-0000-0000-0000438C0000}"/>
    <cellStyle name="常规 2 5 4 2 3 3" xfId="35908" xr:uid="{00000000-0005-0000-0000-0000448C0000}"/>
    <cellStyle name="常规 2 5 4 2 3 4" xfId="35909" xr:uid="{00000000-0005-0000-0000-0000458C0000}"/>
    <cellStyle name="常规 2 5 4 2 3 5" xfId="35910" xr:uid="{00000000-0005-0000-0000-0000468C0000}"/>
    <cellStyle name="常规 2 5 4 2 3 6" xfId="35911" xr:uid="{00000000-0005-0000-0000-0000478C0000}"/>
    <cellStyle name="常规 2 5 4 2 3 6 2" xfId="35912" xr:uid="{00000000-0005-0000-0000-0000488C0000}"/>
    <cellStyle name="常规 2 5 4 2 4" xfId="35913" xr:uid="{00000000-0005-0000-0000-0000498C0000}"/>
    <cellStyle name="常规 2 5 4 2 4 2" xfId="35914" xr:uid="{00000000-0005-0000-0000-00004A8C0000}"/>
    <cellStyle name="常规 2 5 4 2 4 2 2" xfId="35915" xr:uid="{00000000-0005-0000-0000-00004B8C0000}"/>
    <cellStyle name="常规 2 5 4 2 4 2 3" xfId="35916" xr:uid="{00000000-0005-0000-0000-00004C8C0000}"/>
    <cellStyle name="常规 2 5 4 2 4 2 4" xfId="35917" xr:uid="{00000000-0005-0000-0000-00004D8C0000}"/>
    <cellStyle name="常规 2 5 4 2 4 2 5" xfId="35918" xr:uid="{00000000-0005-0000-0000-00004E8C0000}"/>
    <cellStyle name="常规 2 5 4 2 4 3" xfId="35919" xr:uid="{00000000-0005-0000-0000-00004F8C0000}"/>
    <cellStyle name="常规 2 5 4 2 4 4" xfId="35920" xr:uid="{00000000-0005-0000-0000-0000508C0000}"/>
    <cellStyle name="常规 2 5 4 2 4 5" xfId="35921" xr:uid="{00000000-0005-0000-0000-0000518C0000}"/>
    <cellStyle name="常规 2 5 4 2 4 6" xfId="35922" xr:uid="{00000000-0005-0000-0000-0000528C0000}"/>
    <cellStyle name="常规 2 5 4 2 5" xfId="35923" xr:uid="{00000000-0005-0000-0000-0000538C0000}"/>
    <cellStyle name="常规 2 5 4 2 5 2" xfId="35924" xr:uid="{00000000-0005-0000-0000-0000548C0000}"/>
    <cellStyle name="常规 2 5 4 2 5 2 2" xfId="35925" xr:uid="{00000000-0005-0000-0000-0000558C0000}"/>
    <cellStyle name="常规 2 5 4 2 5 3" xfId="35926" xr:uid="{00000000-0005-0000-0000-0000568C0000}"/>
    <cellStyle name="常规 2 5 4 2 5 4" xfId="35927" xr:uid="{00000000-0005-0000-0000-0000578C0000}"/>
    <cellStyle name="常规 2 5 4 2 5 5" xfId="35928" xr:uid="{00000000-0005-0000-0000-0000588C0000}"/>
    <cellStyle name="常规 2 5 4 2 6" xfId="35929" xr:uid="{00000000-0005-0000-0000-0000598C0000}"/>
    <cellStyle name="常规 2 5 4 2 7" xfId="35930" xr:uid="{00000000-0005-0000-0000-00005A8C0000}"/>
    <cellStyle name="常规 2 5 4 2 8" xfId="35931" xr:uid="{00000000-0005-0000-0000-00005B8C0000}"/>
    <cellStyle name="常规 2 5 4 2 9" xfId="35932" xr:uid="{00000000-0005-0000-0000-00005C8C0000}"/>
    <cellStyle name="常规 2 5 4 2 9 2" xfId="35933" xr:uid="{00000000-0005-0000-0000-00005D8C0000}"/>
    <cellStyle name="常规 2 5 4 20" xfId="35934" xr:uid="{00000000-0005-0000-0000-00005E8C0000}"/>
    <cellStyle name="常规 2 5 4 21" xfId="35935" xr:uid="{00000000-0005-0000-0000-00005F8C0000}"/>
    <cellStyle name="常规 2 5 4 22" xfId="35936" xr:uid="{00000000-0005-0000-0000-0000608C0000}"/>
    <cellStyle name="常规 2 5 4 22 2" xfId="35937" xr:uid="{00000000-0005-0000-0000-0000618C0000}"/>
    <cellStyle name="常规 2 5 4 23" xfId="35938" xr:uid="{00000000-0005-0000-0000-0000628C0000}"/>
    <cellStyle name="常规 2 5 4 3" xfId="35939" xr:uid="{00000000-0005-0000-0000-0000638C0000}"/>
    <cellStyle name="常规 2 5 4 3 2" xfId="35940" xr:uid="{00000000-0005-0000-0000-0000648C0000}"/>
    <cellStyle name="常规 2 5 4 3 2 2" xfId="35941" xr:uid="{00000000-0005-0000-0000-0000658C0000}"/>
    <cellStyle name="常规 2 5 4 3 2 2 2" xfId="35942" xr:uid="{00000000-0005-0000-0000-0000668C0000}"/>
    <cellStyle name="常规 2 5 4 3 2 2 2 2" xfId="35943" xr:uid="{00000000-0005-0000-0000-0000678C0000}"/>
    <cellStyle name="常规 2 5 4 3 2 2 2 2 2" xfId="35944" xr:uid="{00000000-0005-0000-0000-0000688C0000}"/>
    <cellStyle name="常规 2 5 4 3 2 2 2 2 3" xfId="35945" xr:uid="{00000000-0005-0000-0000-0000698C0000}"/>
    <cellStyle name="常规 2 5 4 3 2 2 2 2 4" xfId="35946" xr:uid="{00000000-0005-0000-0000-00006A8C0000}"/>
    <cellStyle name="常规 2 5 4 3 2 2 2 3" xfId="35947" xr:uid="{00000000-0005-0000-0000-00006B8C0000}"/>
    <cellStyle name="常规 2 5 4 3 2 2 2 4" xfId="35948" xr:uid="{00000000-0005-0000-0000-00006C8C0000}"/>
    <cellStyle name="常规 2 5 4 3 2 2 2 5" xfId="35949" xr:uid="{00000000-0005-0000-0000-00006D8C0000}"/>
    <cellStyle name="常规 2 5 4 3 2 2 3" xfId="35950" xr:uid="{00000000-0005-0000-0000-00006E8C0000}"/>
    <cellStyle name="常规 2 5 4 3 2 2 3 2" xfId="35951" xr:uid="{00000000-0005-0000-0000-00006F8C0000}"/>
    <cellStyle name="常规 2 5 4 3 2 2 3 2 2" xfId="35952" xr:uid="{00000000-0005-0000-0000-0000708C0000}"/>
    <cellStyle name="常规 2 5 4 3 2 2 3 2 3" xfId="35953" xr:uid="{00000000-0005-0000-0000-0000718C0000}"/>
    <cellStyle name="常规 2 5 4 3 2 2 3 2 4" xfId="35954" xr:uid="{00000000-0005-0000-0000-0000728C0000}"/>
    <cellStyle name="常规 2 5 4 3 2 2 3 3" xfId="35955" xr:uid="{00000000-0005-0000-0000-0000738C0000}"/>
    <cellStyle name="常规 2 5 4 3 2 2 3 4" xfId="35956" xr:uid="{00000000-0005-0000-0000-0000748C0000}"/>
    <cellStyle name="常规 2 5 4 3 2 2 3 5" xfId="35957" xr:uid="{00000000-0005-0000-0000-0000758C0000}"/>
    <cellStyle name="常规 2 5 4 3 2 2 4" xfId="35958" xr:uid="{00000000-0005-0000-0000-0000768C0000}"/>
    <cellStyle name="常规 2 5 4 3 2 2 4 2" xfId="35959" xr:uid="{00000000-0005-0000-0000-0000778C0000}"/>
    <cellStyle name="常规 2 5 4 3 2 2 4 3" xfId="35960" xr:uid="{00000000-0005-0000-0000-0000788C0000}"/>
    <cellStyle name="常规 2 5 4 3 2 2 4 4" xfId="35961" xr:uid="{00000000-0005-0000-0000-0000798C0000}"/>
    <cellStyle name="常规 2 5 4 3 2 2 5" xfId="35962" xr:uid="{00000000-0005-0000-0000-00007A8C0000}"/>
    <cellStyle name="常规 2 5 4 3 2 2 6" xfId="35963" xr:uid="{00000000-0005-0000-0000-00007B8C0000}"/>
    <cellStyle name="常规 2 5 4 3 2 2 7" xfId="35964" xr:uid="{00000000-0005-0000-0000-00007C8C0000}"/>
    <cellStyle name="常规 2 5 4 3 2 3" xfId="35965" xr:uid="{00000000-0005-0000-0000-00007D8C0000}"/>
    <cellStyle name="常规 2 5 4 3 2 3 2" xfId="35966" xr:uid="{00000000-0005-0000-0000-00007E8C0000}"/>
    <cellStyle name="常规 2 5 4 3 2 3 2 2" xfId="35967" xr:uid="{00000000-0005-0000-0000-00007F8C0000}"/>
    <cellStyle name="常规 2 5 4 3 2 3 2 3" xfId="35968" xr:uid="{00000000-0005-0000-0000-0000808C0000}"/>
    <cellStyle name="常规 2 5 4 3 2 3 2 4" xfId="35969" xr:uid="{00000000-0005-0000-0000-0000818C0000}"/>
    <cellStyle name="常规 2 5 4 3 2 3 3" xfId="35970" xr:uid="{00000000-0005-0000-0000-0000828C0000}"/>
    <cellStyle name="常规 2 5 4 3 2 3 4" xfId="35971" xr:uid="{00000000-0005-0000-0000-0000838C0000}"/>
    <cellStyle name="常规 2 5 4 3 2 3 5" xfId="35972" xr:uid="{00000000-0005-0000-0000-0000848C0000}"/>
    <cellStyle name="常规 2 5 4 3 2 4" xfId="35973" xr:uid="{00000000-0005-0000-0000-0000858C0000}"/>
    <cellStyle name="常规 2 5 4 3 2 4 2" xfId="35974" xr:uid="{00000000-0005-0000-0000-0000868C0000}"/>
    <cellStyle name="常规 2 5 4 3 2 4 2 2" xfId="35975" xr:uid="{00000000-0005-0000-0000-0000878C0000}"/>
    <cellStyle name="常规 2 5 4 3 2 4 2 3" xfId="35976" xr:uid="{00000000-0005-0000-0000-0000888C0000}"/>
    <cellStyle name="常规 2 5 4 3 2 4 2 4" xfId="35977" xr:uid="{00000000-0005-0000-0000-0000898C0000}"/>
    <cellStyle name="常规 2 5 4 3 2 4 3" xfId="35978" xr:uid="{00000000-0005-0000-0000-00008A8C0000}"/>
    <cellStyle name="常规 2 5 4 3 2 4 4" xfId="35979" xr:uid="{00000000-0005-0000-0000-00008B8C0000}"/>
    <cellStyle name="常规 2 5 4 3 2 4 5" xfId="35980" xr:uid="{00000000-0005-0000-0000-00008C8C0000}"/>
    <cellStyle name="常规 2 5 4 3 2 5" xfId="35981" xr:uid="{00000000-0005-0000-0000-00008D8C0000}"/>
    <cellStyle name="常规 2 5 4 3 2 5 2" xfId="35982" xr:uid="{00000000-0005-0000-0000-00008E8C0000}"/>
    <cellStyle name="常规 2 5 4 3 2 5 3" xfId="35983" xr:uid="{00000000-0005-0000-0000-00008F8C0000}"/>
    <cellStyle name="常规 2 5 4 3 2 5 4" xfId="35984" xr:uid="{00000000-0005-0000-0000-0000908C0000}"/>
    <cellStyle name="常规 2 5 4 3 2 6" xfId="35985" xr:uid="{00000000-0005-0000-0000-0000918C0000}"/>
    <cellStyle name="常规 2 5 4 3 2 7" xfId="35986" xr:uid="{00000000-0005-0000-0000-0000928C0000}"/>
    <cellStyle name="常规 2 5 4 3 2 8" xfId="35987" xr:uid="{00000000-0005-0000-0000-0000938C0000}"/>
    <cellStyle name="常规 2 5 4 3 3" xfId="35988" xr:uid="{00000000-0005-0000-0000-0000948C0000}"/>
    <cellStyle name="常规 2 5 4 3 3 2" xfId="35989" xr:uid="{00000000-0005-0000-0000-0000958C0000}"/>
    <cellStyle name="常规 2 5 4 3 3 2 2" xfId="35990" xr:uid="{00000000-0005-0000-0000-0000968C0000}"/>
    <cellStyle name="常规 2 5 4 3 3 2 3" xfId="35991" xr:uid="{00000000-0005-0000-0000-0000978C0000}"/>
    <cellStyle name="常规 2 5 4 3 3 2 4" xfId="35992" xr:uid="{00000000-0005-0000-0000-0000988C0000}"/>
    <cellStyle name="常规 2 5 4 3 3 3" xfId="35993" xr:uid="{00000000-0005-0000-0000-0000998C0000}"/>
    <cellStyle name="常规 2 5 4 3 3 4" xfId="35994" xr:uid="{00000000-0005-0000-0000-00009A8C0000}"/>
    <cellStyle name="常规 2 5 4 3 3 5" xfId="35995" xr:uid="{00000000-0005-0000-0000-00009B8C0000}"/>
    <cellStyle name="常规 2 5 4 3 4" xfId="35996" xr:uid="{00000000-0005-0000-0000-00009C8C0000}"/>
    <cellStyle name="常规 2 5 4 3 4 2" xfId="35997" xr:uid="{00000000-0005-0000-0000-00009D8C0000}"/>
    <cellStyle name="常规 2 5 4 3 4 2 2" xfId="35998" xr:uid="{00000000-0005-0000-0000-00009E8C0000}"/>
    <cellStyle name="常规 2 5 4 3 4 2 3" xfId="35999" xr:uid="{00000000-0005-0000-0000-00009F8C0000}"/>
    <cellStyle name="常规 2 5 4 3 4 2 4" xfId="36000" xr:uid="{00000000-0005-0000-0000-0000A08C0000}"/>
    <cellStyle name="常规 2 5 4 3 4 3" xfId="36001" xr:uid="{00000000-0005-0000-0000-0000A18C0000}"/>
    <cellStyle name="常规 2 5 4 3 4 4" xfId="36002" xr:uid="{00000000-0005-0000-0000-0000A28C0000}"/>
    <cellStyle name="常规 2 5 4 3 4 5" xfId="36003" xr:uid="{00000000-0005-0000-0000-0000A38C0000}"/>
    <cellStyle name="常规 2 5 4 3 5" xfId="36004" xr:uid="{00000000-0005-0000-0000-0000A48C0000}"/>
    <cellStyle name="常规 2 5 4 3 5 2" xfId="36005" xr:uid="{00000000-0005-0000-0000-0000A58C0000}"/>
    <cellStyle name="常规 2 5 4 3 5 3" xfId="36006" xr:uid="{00000000-0005-0000-0000-0000A68C0000}"/>
    <cellStyle name="常规 2 5 4 3 5 4" xfId="36007" xr:uid="{00000000-0005-0000-0000-0000A78C0000}"/>
    <cellStyle name="常规 2 5 4 3 6" xfId="36008" xr:uid="{00000000-0005-0000-0000-0000A88C0000}"/>
    <cellStyle name="常规 2 5 4 3 7" xfId="36009" xr:uid="{00000000-0005-0000-0000-0000A98C0000}"/>
    <cellStyle name="常规 2 5 4 3 8" xfId="36010" xr:uid="{00000000-0005-0000-0000-0000AA8C0000}"/>
    <cellStyle name="常规 2 5 4 3 9" xfId="36011" xr:uid="{00000000-0005-0000-0000-0000AB8C0000}"/>
    <cellStyle name="常规 2 5 4 3 9 2" xfId="36012" xr:uid="{00000000-0005-0000-0000-0000AC8C0000}"/>
    <cellStyle name="常规 2 5 4 4" xfId="36013" xr:uid="{00000000-0005-0000-0000-0000AD8C0000}"/>
    <cellStyle name="常规 2 5 4 4 2" xfId="36014" xr:uid="{00000000-0005-0000-0000-0000AE8C0000}"/>
    <cellStyle name="常规 2 5 4 4 2 2" xfId="36015" xr:uid="{00000000-0005-0000-0000-0000AF8C0000}"/>
    <cellStyle name="常规 2 5 4 4 2 2 2" xfId="36016" xr:uid="{00000000-0005-0000-0000-0000B08C0000}"/>
    <cellStyle name="常规 2 5 4 4 2 2 2 2" xfId="36017" xr:uid="{00000000-0005-0000-0000-0000B18C0000}"/>
    <cellStyle name="常规 2 5 4 4 2 2 2 2 2" xfId="36018" xr:uid="{00000000-0005-0000-0000-0000B28C0000}"/>
    <cellStyle name="常规 2 5 4 4 2 2 2 2 3" xfId="36019" xr:uid="{00000000-0005-0000-0000-0000B38C0000}"/>
    <cellStyle name="常规 2 5 4 4 2 2 2 2 4" xfId="36020" xr:uid="{00000000-0005-0000-0000-0000B48C0000}"/>
    <cellStyle name="常规 2 5 4 4 2 2 2 3" xfId="36021" xr:uid="{00000000-0005-0000-0000-0000B58C0000}"/>
    <cellStyle name="常规 2 5 4 4 2 2 2 4" xfId="36022" xr:uid="{00000000-0005-0000-0000-0000B68C0000}"/>
    <cellStyle name="常规 2 5 4 4 2 2 2 5" xfId="36023" xr:uid="{00000000-0005-0000-0000-0000B78C0000}"/>
    <cellStyle name="常规 2 5 4 4 2 2 3" xfId="36024" xr:uid="{00000000-0005-0000-0000-0000B88C0000}"/>
    <cellStyle name="常规 2 5 4 4 2 2 3 2" xfId="36025" xr:uid="{00000000-0005-0000-0000-0000B98C0000}"/>
    <cellStyle name="常规 2 5 4 4 2 2 3 2 2" xfId="36026" xr:uid="{00000000-0005-0000-0000-0000BA8C0000}"/>
    <cellStyle name="常规 2 5 4 4 2 2 3 2 3" xfId="36027" xr:uid="{00000000-0005-0000-0000-0000BB8C0000}"/>
    <cellStyle name="常规 2 5 4 4 2 2 3 2 4" xfId="36028" xr:uid="{00000000-0005-0000-0000-0000BC8C0000}"/>
    <cellStyle name="常规 2 5 4 4 2 2 3 3" xfId="36029" xr:uid="{00000000-0005-0000-0000-0000BD8C0000}"/>
    <cellStyle name="常规 2 5 4 4 2 2 3 4" xfId="36030" xr:uid="{00000000-0005-0000-0000-0000BE8C0000}"/>
    <cellStyle name="常规 2 5 4 4 2 2 3 5" xfId="36031" xr:uid="{00000000-0005-0000-0000-0000BF8C0000}"/>
    <cellStyle name="常规 2 5 4 4 2 2 4" xfId="36032" xr:uid="{00000000-0005-0000-0000-0000C08C0000}"/>
    <cellStyle name="常规 2 5 4 4 2 2 4 2" xfId="36033" xr:uid="{00000000-0005-0000-0000-0000C18C0000}"/>
    <cellStyle name="常规 2 5 4 4 2 2 4 3" xfId="36034" xr:uid="{00000000-0005-0000-0000-0000C28C0000}"/>
    <cellStyle name="常规 2 5 4 4 2 2 4 4" xfId="36035" xr:uid="{00000000-0005-0000-0000-0000C38C0000}"/>
    <cellStyle name="常规 2 5 4 4 2 2 5" xfId="36036" xr:uid="{00000000-0005-0000-0000-0000C48C0000}"/>
    <cellStyle name="常规 2 5 4 4 2 2 6" xfId="36037" xr:uid="{00000000-0005-0000-0000-0000C58C0000}"/>
    <cellStyle name="常规 2 5 4 4 2 2 7" xfId="36038" xr:uid="{00000000-0005-0000-0000-0000C68C0000}"/>
    <cellStyle name="常规 2 5 4 4 2 3" xfId="36039" xr:uid="{00000000-0005-0000-0000-0000C78C0000}"/>
    <cellStyle name="常规 2 5 4 4 2 3 2" xfId="36040" xr:uid="{00000000-0005-0000-0000-0000C88C0000}"/>
    <cellStyle name="常规 2 5 4 4 2 3 2 2" xfId="36041" xr:uid="{00000000-0005-0000-0000-0000C98C0000}"/>
    <cellStyle name="常规 2 5 4 4 2 3 2 3" xfId="36042" xr:uid="{00000000-0005-0000-0000-0000CA8C0000}"/>
    <cellStyle name="常规 2 5 4 4 2 3 2 4" xfId="36043" xr:uid="{00000000-0005-0000-0000-0000CB8C0000}"/>
    <cellStyle name="常规 2 5 4 4 2 3 3" xfId="36044" xr:uid="{00000000-0005-0000-0000-0000CC8C0000}"/>
    <cellStyle name="常规 2 5 4 4 2 3 4" xfId="36045" xr:uid="{00000000-0005-0000-0000-0000CD8C0000}"/>
    <cellStyle name="常规 2 5 4 4 2 3 5" xfId="36046" xr:uid="{00000000-0005-0000-0000-0000CE8C0000}"/>
    <cellStyle name="常规 2 5 4 4 2 4" xfId="36047" xr:uid="{00000000-0005-0000-0000-0000CF8C0000}"/>
    <cellStyle name="常规 2 5 4 4 2 4 2" xfId="36048" xr:uid="{00000000-0005-0000-0000-0000D08C0000}"/>
    <cellStyle name="常规 2 5 4 4 2 4 2 2" xfId="36049" xr:uid="{00000000-0005-0000-0000-0000D18C0000}"/>
    <cellStyle name="常规 2 5 4 4 2 4 2 3" xfId="36050" xr:uid="{00000000-0005-0000-0000-0000D28C0000}"/>
    <cellStyle name="常规 2 5 4 4 2 4 2 4" xfId="36051" xr:uid="{00000000-0005-0000-0000-0000D38C0000}"/>
    <cellStyle name="常规 2 5 4 4 2 4 3" xfId="36052" xr:uid="{00000000-0005-0000-0000-0000D48C0000}"/>
    <cellStyle name="常规 2 5 4 4 2 4 4" xfId="36053" xr:uid="{00000000-0005-0000-0000-0000D58C0000}"/>
    <cellStyle name="常规 2 5 4 4 2 4 5" xfId="36054" xr:uid="{00000000-0005-0000-0000-0000D68C0000}"/>
    <cellStyle name="常规 2 5 4 4 2 5" xfId="36055" xr:uid="{00000000-0005-0000-0000-0000D78C0000}"/>
    <cellStyle name="常规 2 5 4 4 2 5 2" xfId="36056" xr:uid="{00000000-0005-0000-0000-0000D88C0000}"/>
    <cellStyle name="常规 2 5 4 4 2 5 3" xfId="36057" xr:uid="{00000000-0005-0000-0000-0000D98C0000}"/>
    <cellStyle name="常规 2 5 4 4 2 5 4" xfId="36058" xr:uid="{00000000-0005-0000-0000-0000DA8C0000}"/>
    <cellStyle name="常规 2 5 4 4 2 6" xfId="36059" xr:uid="{00000000-0005-0000-0000-0000DB8C0000}"/>
    <cellStyle name="常规 2 5 4 4 2 7" xfId="36060" xr:uid="{00000000-0005-0000-0000-0000DC8C0000}"/>
    <cellStyle name="常规 2 5 4 4 2 8" xfId="36061" xr:uid="{00000000-0005-0000-0000-0000DD8C0000}"/>
    <cellStyle name="常规 2 5 4 4 3" xfId="36062" xr:uid="{00000000-0005-0000-0000-0000DE8C0000}"/>
    <cellStyle name="常规 2 5 4 4 3 2" xfId="36063" xr:uid="{00000000-0005-0000-0000-0000DF8C0000}"/>
    <cellStyle name="常规 2 5 4 4 3 2 2" xfId="36064" xr:uid="{00000000-0005-0000-0000-0000E08C0000}"/>
    <cellStyle name="常规 2 5 4 4 3 2 3" xfId="36065" xr:uid="{00000000-0005-0000-0000-0000E18C0000}"/>
    <cellStyle name="常规 2 5 4 4 3 2 4" xfId="36066" xr:uid="{00000000-0005-0000-0000-0000E28C0000}"/>
    <cellStyle name="常规 2 5 4 4 3 3" xfId="36067" xr:uid="{00000000-0005-0000-0000-0000E38C0000}"/>
    <cellStyle name="常规 2 5 4 4 3 4" xfId="36068" xr:uid="{00000000-0005-0000-0000-0000E48C0000}"/>
    <cellStyle name="常规 2 5 4 4 3 5" xfId="36069" xr:uid="{00000000-0005-0000-0000-0000E58C0000}"/>
    <cellStyle name="常规 2 5 4 4 4" xfId="36070" xr:uid="{00000000-0005-0000-0000-0000E68C0000}"/>
    <cellStyle name="常规 2 5 4 4 4 2" xfId="36071" xr:uid="{00000000-0005-0000-0000-0000E78C0000}"/>
    <cellStyle name="常规 2 5 4 4 4 2 2" xfId="36072" xr:uid="{00000000-0005-0000-0000-0000E88C0000}"/>
    <cellStyle name="常规 2 5 4 4 4 2 3" xfId="36073" xr:uid="{00000000-0005-0000-0000-0000E98C0000}"/>
    <cellStyle name="常规 2 5 4 4 4 2 4" xfId="36074" xr:uid="{00000000-0005-0000-0000-0000EA8C0000}"/>
    <cellStyle name="常规 2 5 4 4 4 3" xfId="36075" xr:uid="{00000000-0005-0000-0000-0000EB8C0000}"/>
    <cellStyle name="常规 2 5 4 4 4 4" xfId="36076" xr:uid="{00000000-0005-0000-0000-0000EC8C0000}"/>
    <cellStyle name="常规 2 5 4 4 4 5" xfId="36077" xr:uid="{00000000-0005-0000-0000-0000ED8C0000}"/>
    <cellStyle name="常规 2 5 4 4 5" xfId="36078" xr:uid="{00000000-0005-0000-0000-0000EE8C0000}"/>
    <cellStyle name="常规 2 5 4 4 5 2" xfId="36079" xr:uid="{00000000-0005-0000-0000-0000EF8C0000}"/>
    <cellStyle name="常规 2 5 4 4 5 3" xfId="36080" xr:uid="{00000000-0005-0000-0000-0000F08C0000}"/>
    <cellStyle name="常规 2 5 4 4 5 4" xfId="36081" xr:uid="{00000000-0005-0000-0000-0000F18C0000}"/>
    <cellStyle name="常规 2 5 4 4 6" xfId="36082" xr:uid="{00000000-0005-0000-0000-0000F28C0000}"/>
    <cellStyle name="常规 2 5 4 4 7" xfId="36083" xr:uid="{00000000-0005-0000-0000-0000F38C0000}"/>
    <cellStyle name="常规 2 5 4 4 8" xfId="36084" xr:uid="{00000000-0005-0000-0000-0000F48C0000}"/>
    <cellStyle name="常规 2 5 4 4 9" xfId="36085" xr:uid="{00000000-0005-0000-0000-0000F58C0000}"/>
    <cellStyle name="常规 2 5 4 4 9 2" xfId="36086" xr:uid="{00000000-0005-0000-0000-0000F68C0000}"/>
    <cellStyle name="常规 2 5 4 5" xfId="36087" xr:uid="{00000000-0005-0000-0000-0000F78C0000}"/>
    <cellStyle name="常规 2 5 4 5 2" xfId="36088" xr:uid="{00000000-0005-0000-0000-0000F88C0000}"/>
    <cellStyle name="常规 2 5 4 5 2 2" xfId="36089" xr:uid="{00000000-0005-0000-0000-0000F98C0000}"/>
    <cellStyle name="常规 2 5 4 5 2 2 2" xfId="36090" xr:uid="{00000000-0005-0000-0000-0000FA8C0000}"/>
    <cellStyle name="常规 2 5 4 5 2 2 2 2" xfId="36091" xr:uid="{00000000-0005-0000-0000-0000FB8C0000}"/>
    <cellStyle name="常规 2 5 4 5 2 2 2 2 2" xfId="36092" xr:uid="{00000000-0005-0000-0000-0000FC8C0000}"/>
    <cellStyle name="常规 2 5 4 5 2 2 2 2 3" xfId="36093" xr:uid="{00000000-0005-0000-0000-0000FD8C0000}"/>
    <cellStyle name="常规 2 5 4 5 2 2 2 2 4" xfId="36094" xr:uid="{00000000-0005-0000-0000-0000FE8C0000}"/>
    <cellStyle name="常规 2 5 4 5 2 2 2 3" xfId="36095" xr:uid="{00000000-0005-0000-0000-0000FF8C0000}"/>
    <cellStyle name="常规 2 5 4 5 2 2 2 4" xfId="36096" xr:uid="{00000000-0005-0000-0000-0000008D0000}"/>
    <cellStyle name="常规 2 5 4 5 2 2 2 5" xfId="36097" xr:uid="{00000000-0005-0000-0000-0000018D0000}"/>
    <cellStyle name="常规 2 5 4 5 2 2 3" xfId="36098" xr:uid="{00000000-0005-0000-0000-0000028D0000}"/>
    <cellStyle name="常规 2 5 4 5 2 2 3 2" xfId="36099" xr:uid="{00000000-0005-0000-0000-0000038D0000}"/>
    <cellStyle name="常规 2 5 4 5 2 2 3 2 2" xfId="36100" xr:uid="{00000000-0005-0000-0000-0000048D0000}"/>
    <cellStyle name="常规 2 5 4 5 2 2 3 2 3" xfId="36101" xr:uid="{00000000-0005-0000-0000-0000058D0000}"/>
    <cellStyle name="常规 2 5 4 5 2 2 3 2 4" xfId="36102" xr:uid="{00000000-0005-0000-0000-0000068D0000}"/>
    <cellStyle name="常规 2 5 4 5 2 2 3 3" xfId="36103" xr:uid="{00000000-0005-0000-0000-0000078D0000}"/>
    <cellStyle name="常规 2 5 4 5 2 2 3 4" xfId="36104" xr:uid="{00000000-0005-0000-0000-0000088D0000}"/>
    <cellStyle name="常规 2 5 4 5 2 2 3 5" xfId="36105" xr:uid="{00000000-0005-0000-0000-0000098D0000}"/>
    <cellStyle name="常规 2 5 4 5 2 2 4" xfId="36106" xr:uid="{00000000-0005-0000-0000-00000A8D0000}"/>
    <cellStyle name="常规 2 5 4 5 2 2 4 2" xfId="36107" xr:uid="{00000000-0005-0000-0000-00000B8D0000}"/>
    <cellStyle name="常规 2 5 4 5 2 2 4 3" xfId="36108" xr:uid="{00000000-0005-0000-0000-00000C8D0000}"/>
    <cellStyle name="常规 2 5 4 5 2 2 4 4" xfId="36109" xr:uid="{00000000-0005-0000-0000-00000D8D0000}"/>
    <cellStyle name="常规 2 5 4 5 2 2 5" xfId="36110" xr:uid="{00000000-0005-0000-0000-00000E8D0000}"/>
    <cellStyle name="常规 2 5 4 5 2 2 6" xfId="36111" xr:uid="{00000000-0005-0000-0000-00000F8D0000}"/>
    <cellStyle name="常规 2 5 4 5 2 2 7" xfId="36112" xr:uid="{00000000-0005-0000-0000-0000108D0000}"/>
    <cellStyle name="常规 2 5 4 5 2 3" xfId="36113" xr:uid="{00000000-0005-0000-0000-0000118D0000}"/>
    <cellStyle name="常规 2 5 4 5 2 3 2" xfId="36114" xr:uid="{00000000-0005-0000-0000-0000128D0000}"/>
    <cellStyle name="常规 2 5 4 5 2 3 2 2" xfId="36115" xr:uid="{00000000-0005-0000-0000-0000138D0000}"/>
    <cellStyle name="常规 2 5 4 5 2 3 2 3" xfId="36116" xr:uid="{00000000-0005-0000-0000-0000148D0000}"/>
    <cellStyle name="常规 2 5 4 5 2 3 2 4" xfId="36117" xr:uid="{00000000-0005-0000-0000-0000158D0000}"/>
    <cellStyle name="常规 2 5 4 5 2 3 3" xfId="36118" xr:uid="{00000000-0005-0000-0000-0000168D0000}"/>
    <cellStyle name="常规 2 5 4 5 2 3 4" xfId="36119" xr:uid="{00000000-0005-0000-0000-0000178D0000}"/>
    <cellStyle name="常规 2 5 4 5 2 3 5" xfId="36120" xr:uid="{00000000-0005-0000-0000-0000188D0000}"/>
    <cellStyle name="常规 2 5 4 5 2 4" xfId="36121" xr:uid="{00000000-0005-0000-0000-0000198D0000}"/>
    <cellStyle name="常规 2 5 4 5 2 4 2" xfId="36122" xr:uid="{00000000-0005-0000-0000-00001A8D0000}"/>
    <cellStyle name="常规 2 5 4 5 2 4 2 2" xfId="36123" xr:uid="{00000000-0005-0000-0000-00001B8D0000}"/>
    <cellStyle name="常规 2 5 4 5 2 4 2 3" xfId="36124" xr:uid="{00000000-0005-0000-0000-00001C8D0000}"/>
    <cellStyle name="常规 2 5 4 5 2 4 2 4" xfId="36125" xr:uid="{00000000-0005-0000-0000-00001D8D0000}"/>
    <cellStyle name="常规 2 5 4 5 2 4 3" xfId="36126" xr:uid="{00000000-0005-0000-0000-00001E8D0000}"/>
    <cellStyle name="常规 2 5 4 5 2 4 4" xfId="36127" xr:uid="{00000000-0005-0000-0000-00001F8D0000}"/>
    <cellStyle name="常规 2 5 4 5 2 4 5" xfId="36128" xr:uid="{00000000-0005-0000-0000-0000208D0000}"/>
    <cellStyle name="常规 2 5 4 5 2 5" xfId="36129" xr:uid="{00000000-0005-0000-0000-0000218D0000}"/>
    <cellStyle name="常规 2 5 4 5 2 5 2" xfId="36130" xr:uid="{00000000-0005-0000-0000-0000228D0000}"/>
    <cellStyle name="常规 2 5 4 5 2 5 3" xfId="36131" xr:uid="{00000000-0005-0000-0000-0000238D0000}"/>
    <cellStyle name="常规 2 5 4 5 2 5 4" xfId="36132" xr:uid="{00000000-0005-0000-0000-0000248D0000}"/>
    <cellStyle name="常规 2 5 4 5 2 6" xfId="36133" xr:uid="{00000000-0005-0000-0000-0000258D0000}"/>
    <cellStyle name="常规 2 5 4 5 2 7" xfId="36134" xr:uid="{00000000-0005-0000-0000-0000268D0000}"/>
    <cellStyle name="常规 2 5 4 5 2 8" xfId="36135" xr:uid="{00000000-0005-0000-0000-0000278D0000}"/>
    <cellStyle name="常规 2 5 4 5 3" xfId="36136" xr:uid="{00000000-0005-0000-0000-0000288D0000}"/>
    <cellStyle name="常规 2 5 4 5 3 2" xfId="36137" xr:uid="{00000000-0005-0000-0000-0000298D0000}"/>
    <cellStyle name="常规 2 5 4 5 3 2 2" xfId="36138" xr:uid="{00000000-0005-0000-0000-00002A8D0000}"/>
    <cellStyle name="常规 2 5 4 5 3 2 3" xfId="36139" xr:uid="{00000000-0005-0000-0000-00002B8D0000}"/>
    <cellStyle name="常规 2 5 4 5 3 2 4" xfId="36140" xr:uid="{00000000-0005-0000-0000-00002C8D0000}"/>
    <cellStyle name="常规 2 5 4 5 3 3" xfId="36141" xr:uid="{00000000-0005-0000-0000-00002D8D0000}"/>
    <cellStyle name="常规 2 5 4 5 3 4" xfId="36142" xr:uid="{00000000-0005-0000-0000-00002E8D0000}"/>
    <cellStyle name="常规 2 5 4 5 3 5" xfId="36143" xr:uid="{00000000-0005-0000-0000-00002F8D0000}"/>
    <cellStyle name="常规 2 5 4 5 4" xfId="36144" xr:uid="{00000000-0005-0000-0000-0000308D0000}"/>
    <cellStyle name="常规 2 5 4 5 4 2" xfId="36145" xr:uid="{00000000-0005-0000-0000-0000318D0000}"/>
    <cellStyle name="常规 2 5 4 5 4 2 2" xfId="36146" xr:uid="{00000000-0005-0000-0000-0000328D0000}"/>
    <cellStyle name="常规 2 5 4 5 4 2 3" xfId="36147" xr:uid="{00000000-0005-0000-0000-0000338D0000}"/>
    <cellStyle name="常规 2 5 4 5 4 2 4" xfId="36148" xr:uid="{00000000-0005-0000-0000-0000348D0000}"/>
    <cellStyle name="常规 2 5 4 5 4 3" xfId="36149" xr:uid="{00000000-0005-0000-0000-0000358D0000}"/>
    <cellStyle name="常规 2 5 4 5 4 4" xfId="36150" xr:uid="{00000000-0005-0000-0000-0000368D0000}"/>
    <cellStyle name="常规 2 5 4 5 4 5" xfId="36151" xr:uid="{00000000-0005-0000-0000-0000378D0000}"/>
    <cellStyle name="常规 2 5 4 5 5" xfId="36152" xr:uid="{00000000-0005-0000-0000-0000388D0000}"/>
    <cellStyle name="常规 2 5 4 5 5 2" xfId="36153" xr:uid="{00000000-0005-0000-0000-0000398D0000}"/>
    <cellStyle name="常规 2 5 4 5 5 3" xfId="36154" xr:uid="{00000000-0005-0000-0000-00003A8D0000}"/>
    <cellStyle name="常规 2 5 4 5 5 4" xfId="36155" xr:uid="{00000000-0005-0000-0000-00003B8D0000}"/>
    <cellStyle name="常规 2 5 4 5 6" xfId="36156" xr:uid="{00000000-0005-0000-0000-00003C8D0000}"/>
    <cellStyle name="常规 2 5 4 5 7" xfId="36157" xr:uid="{00000000-0005-0000-0000-00003D8D0000}"/>
    <cellStyle name="常规 2 5 4 5 8" xfId="36158" xr:uid="{00000000-0005-0000-0000-00003E8D0000}"/>
    <cellStyle name="常规 2 5 4 5 9" xfId="36159" xr:uid="{00000000-0005-0000-0000-00003F8D0000}"/>
    <cellStyle name="常规 2 5 4 5 9 2" xfId="36160" xr:uid="{00000000-0005-0000-0000-0000408D0000}"/>
    <cellStyle name="常规 2 5 4 6" xfId="36161" xr:uid="{00000000-0005-0000-0000-0000418D0000}"/>
    <cellStyle name="常规 2 5 4 6 2" xfId="36162" xr:uid="{00000000-0005-0000-0000-0000428D0000}"/>
    <cellStyle name="常规 2 5 4 6 2 2" xfId="36163" xr:uid="{00000000-0005-0000-0000-0000438D0000}"/>
    <cellStyle name="常规 2 5 4 6 2 2 2" xfId="36164" xr:uid="{00000000-0005-0000-0000-0000448D0000}"/>
    <cellStyle name="常规 2 5 4 6 2 2 2 2" xfId="36165" xr:uid="{00000000-0005-0000-0000-0000458D0000}"/>
    <cellStyle name="常规 2 5 4 6 2 2 2 2 2" xfId="36166" xr:uid="{00000000-0005-0000-0000-0000468D0000}"/>
    <cellStyle name="常规 2 5 4 6 2 2 2 2 3" xfId="36167" xr:uid="{00000000-0005-0000-0000-0000478D0000}"/>
    <cellStyle name="常规 2 5 4 6 2 2 2 2 4" xfId="36168" xr:uid="{00000000-0005-0000-0000-0000488D0000}"/>
    <cellStyle name="常规 2 5 4 6 2 2 2 3" xfId="36169" xr:uid="{00000000-0005-0000-0000-0000498D0000}"/>
    <cellStyle name="常规 2 5 4 6 2 2 2 4" xfId="36170" xr:uid="{00000000-0005-0000-0000-00004A8D0000}"/>
    <cellStyle name="常规 2 5 4 6 2 2 2 5" xfId="36171" xr:uid="{00000000-0005-0000-0000-00004B8D0000}"/>
    <cellStyle name="常规 2 5 4 6 2 2 3" xfId="36172" xr:uid="{00000000-0005-0000-0000-00004C8D0000}"/>
    <cellStyle name="常规 2 5 4 6 2 2 3 2" xfId="36173" xr:uid="{00000000-0005-0000-0000-00004D8D0000}"/>
    <cellStyle name="常规 2 5 4 6 2 2 3 2 2" xfId="36174" xr:uid="{00000000-0005-0000-0000-00004E8D0000}"/>
    <cellStyle name="常规 2 5 4 6 2 2 3 2 3" xfId="36175" xr:uid="{00000000-0005-0000-0000-00004F8D0000}"/>
    <cellStyle name="常规 2 5 4 6 2 2 3 2 4" xfId="36176" xr:uid="{00000000-0005-0000-0000-0000508D0000}"/>
    <cellStyle name="常规 2 5 4 6 2 2 3 3" xfId="36177" xr:uid="{00000000-0005-0000-0000-0000518D0000}"/>
    <cellStyle name="常规 2 5 4 6 2 2 3 4" xfId="36178" xr:uid="{00000000-0005-0000-0000-0000528D0000}"/>
    <cellStyle name="常规 2 5 4 6 2 2 3 5" xfId="36179" xr:uid="{00000000-0005-0000-0000-0000538D0000}"/>
    <cellStyle name="常规 2 5 4 6 2 2 4" xfId="36180" xr:uid="{00000000-0005-0000-0000-0000548D0000}"/>
    <cellStyle name="常规 2 5 4 6 2 2 4 2" xfId="36181" xr:uid="{00000000-0005-0000-0000-0000558D0000}"/>
    <cellStyle name="常规 2 5 4 6 2 2 4 3" xfId="36182" xr:uid="{00000000-0005-0000-0000-0000568D0000}"/>
    <cellStyle name="常规 2 5 4 6 2 2 4 4" xfId="36183" xr:uid="{00000000-0005-0000-0000-0000578D0000}"/>
    <cellStyle name="常规 2 5 4 6 2 2 5" xfId="36184" xr:uid="{00000000-0005-0000-0000-0000588D0000}"/>
    <cellStyle name="常规 2 5 4 6 2 2 6" xfId="36185" xr:uid="{00000000-0005-0000-0000-0000598D0000}"/>
    <cellStyle name="常规 2 5 4 6 2 2 7" xfId="36186" xr:uid="{00000000-0005-0000-0000-00005A8D0000}"/>
    <cellStyle name="常规 2 5 4 6 2 3" xfId="36187" xr:uid="{00000000-0005-0000-0000-00005B8D0000}"/>
    <cellStyle name="常规 2 5 4 6 2 3 2" xfId="36188" xr:uid="{00000000-0005-0000-0000-00005C8D0000}"/>
    <cellStyle name="常规 2 5 4 6 2 3 2 2" xfId="36189" xr:uid="{00000000-0005-0000-0000-00005D8D0000}"/>
    <cellStyle name="常规 2 5 4 6 2 3 2 3" xfId="36190" xr:uid="{00000000-0005-0000-0000-00005E8D0000}"/>
    <cellStyle name="常规 2 5 4 6 2 3 2 4" xfId="36191" xr:uid="{00000000-0005-0000-0000-00005F8D0000}"/>
    <cellStyle name="常规 2 5 4 6 2 3 3" xfId="36192" xr:uid="{00000000-0005-0000-0000-0000608D0000}"/>
    <cellStyle name="常规 2 5 4 6 2 3 4" xfId="36193" xr:uid="{00000000-0005-0000-0000-0000618D0000}"/>
    <cellStyle name="常规 2 5 4 6 2 3 5" xfId="36194" xr:uid="{00000000-0005-0000-0000-0000628D0000}"/>
    <cellStyle name="常规 2 5 4 6 2 4" xfId="36195" xr:uid="{00000000-0005-0000-0000-0000638D0000}"/>
    <cellStyle name="常规 2 5 4 6 2 4 2" xfId="36196" xr:uid="{00000000-0005-0000-0000-0000648D0000}"/>
    <cellStyle name="常规 2 5 4 6 2 4 2 2" xfId="36197" xr:uid="{00000000-0005-0000-0000-0000658D0000}"/>
    <cellStyle name="常规 2 5 4 6 2 4 2 3" xfId="36198" xr:uid="{00000000-0005-0000-0000-0000668D0000}"/>
    <cellStyle name="常规 2 5 4 6 2 4 2 4" xfId="36199" xr:uid="{00000000-0005-0000-0000-0000678D0000}"/>
    <cellStyle name="常规 2 5 4 6 2 4 3" xfId="36200" xr:uid="{00000000-0005-0000-0000-0000688D0000}"/>
    <cellStyle name="常规 2 5 4 6 2 4 4" xfId="36201" xr:uid="{00000000-0005-0000-0000-0000698D0000}"/>
    <cellStyle name="常规 2 5 4 6 2 4 5" xfId="36202" xr:uid="{00000000-0005-0000-0000-00006A8D0000}"/>
    <cellStyle name="常规 2 5 4 6 2 5" xfId="36203" xr:uid="{00000000-0005-0000-0000-00006B8D0000}"/>
    <cellStyle name="常规 2 5 4 6 2 5 2" xfId="36204" xr:uid="{00000000-0005-0000-0000-00006C8D0000}"/>
    <cellStyle name="常规 2 5 4 6 2 5 3" xfId="36205" xr:uid="{00000000-0005-0000-0000-00006D8D0000}"/>
    <cellStyle name="常规 2 5 4 6 2 5 4" xfId="36206" xr:uid="{00000000-0005-0000-0000-00006E8D0000}"/>
    <cellStyle name="常规 2 5 4 6 2 6" xfId="36207" xr:uid="{00000000-0005-0000-0000-00006F8D0000}"/>
    <cellStyle name="常规 2 5 4 6 2 7" xfId="36208" xr:uid="{00000000-0005-0000-0000-0000708D0000}"/>
    <cellStyle name="常规 2 5 4 6 2 8" xfId="36209" xr:uid="{00000000-0005-0000-0000-0000718D0000}"/>
    <cellStyle name="常规 2 5 4 6 3" xfId="36210" xr:uid="{00000000-0005-0000-0000-0000728D0000}"/>
    <cellStyle name="常规 2 5 4 6 3 2" xfId="36211" xr:uid="{00000000-0005-0000-0000-0000738D0000}"/>
    <cellStyle name="常规 2 5 4 6 3 2 2" xfId="36212" xr:uid="{00000000-0005-0000-0000-0000748D0000}"/>
    <cellStyle name="常规 2 5 4 6 3 2 3" xfId="36213" xr:uid="{00000000-0005-0000-0000-0000758D0000}"/>
    <cellStyle name="常规 2 5 4 6 3 2 4" xfId="36214" xr:uid="{00000000-0005-0000-0000-0000768D0000}"/>
    <cellStyle name="常规 2 5 4 6 3 3" xfId="36215" xr:uid="{00000000-0005-0000-0000-0000778D0000}"/>
    <cellStyle name="常规 2 5 4 6 3 4" xfId="36216" xr:uid="{00000000-0005-0000-0000-0000788D0000}"/>
    <cellStyle name="常规 2 5 4 6 3 5" xfId="36217" xr:uid="{00000000-0005-0000-0000-0000798D0000}"/>
    <cellStyle name="常规 2 5 4 6 4" xfId="36218" xr:uid="{00000000-0005-0000-0000-00007A8D0000}"/>
    <cellStyle name="常规 2 5 4 6 4 2" xfId="36219" xr:uid="{00000000-0005-0000-0000-00007B8D0000}"/>
    <cellStyle name="常规 2 5 4 6 4 2 2" xfId="36220" xr:uid="{00000000-0005-0000-0000-00007C8D0000}"/>
    <cellStyle name="常规 2 5 4 6 4 2 3" xfId="36221" xr:uid="{00000000-0005-0000-0000-00007D8D0000}"/>
    <cellStyle name="常规 2 5 4 6 4 2 4" xfId="36222" xr:uid="{00000000-0005-0000-0000-00007E8D0000}"/>
    <cellStyle name="常规 2 5 4 6 4 3" xfId="36223" xr:uid="{00000000-0005-0000-0000-00007F8D0000}"/>
    <cellStyle name="常规 2 5 4 6 4 4" xfId="36224" xr:uid="{00000000-0005-0000-0000-0000808D0000}"/>
    <cellStyle name="常规 2 5 4 6 4 5" xfId="36225" xr:uid="{00000000-0005-0000-0000-0000818D0000}"/>
    <cellStyle name="常规 2 5 4 6 5" xfId="36226" xr:uid="{00000000-0005-0000-0000-0000828D0000}"/>
    <cellStyle name="常规 2 5 4 6 5 2" xfId="36227" xr:uid="{00000000-0005-0000-0000-0000838D0000}"/>
    <cellStyle name="常规 2 5 4 6 5 3" xfId="36228" xr:uid="{00000000-0005-0000-0000-0000848D0000}"/>
    <cellStyle name="常规 2 5 4 6 5 4" xfId="36229" xr:uid="{00000000-0005-0000-0000-0000858D0000}"/>
    <cellStyle name="常规 2 5 4 6 6" xfId="36230" xr:uid="{00000000-0005-0000-0000-0000868D0000}"/>
    <cellStyle name="常规 2 5 4 6 7" xfId="36231" xr:uid="{00000000-0005-0000-0000-0000878D0000}"/>
    <cellStyle name="常规 2 5 4 6 8" xfId="36232" xr:uid="{00000000-0005-0000-0000-0000888D0000}"/>
    <cellStyle name="常规 2 5 4 6 9" xfId="36233" xr:uid="{00000000-0005-0000-0000-0000898D0000}"/>
    <cellStyle name="常规 2 5 4 6 9 2" xfId="36234" xr:uid="{00000000-0005-0000-0000-00008A8D0000}"/>
    <cellStyle name="常规 2 5 4 7" xfId="36235" xr:uid="{00000000-0005-0000-0000-00008B8D0000}"/>
    <cellStyle name="常规 2 5 4 7 2" xfId="36236" xr:uid="{00000000-0005-0000-0000-00008C8D0000}"/>
    <cellStyle name="常规 2 5 4 7 2 2" xfId="36237" xr:uid="{00000000-0005-0000-0000-00008D8D0000}"/>
    <cellStyle name="常规 2 5 4 7 2 2 2" xfId="36238" xr:uid="{00000000-0005-0000-0000-00008E8D0000}"/>
    <cellStyle name="常规 2 5 4 7 2 2 2 2" xfId="36239" xr:uid="{00000000-0005-0000-0000-00008F8D0000}"/>
    <cellStyle name="常规 2 5 4 7 2 2 2 2 2" xfId="36240" xr:uid="{00000000-0005-0000-0000-0000908D0000}"/>
    <cellStyle name="常规 2 5 4 7 2 2 2 2 3" xfId="36241" xr:uid="{00000000-0005-0000-0000-0000918D0000}"/>
    <cellStyle name="常规 2 5 4 7 2 2 2 2 4" xfId="36242" xr:uid="{00000000-0005-0000-0000-0000928D0000}"/>
    <cellStyle name="常规 2 5 4 7 2 2 2 3" xfId="36243" xr:uid="{00000000-0005-0000-0000-0000938D0000}"/>
    <cellStyle name="常规 2 5 4 7 2 2 2 4" xfId="36244" xr:uid="{00000000-0005-0000-0000-0000948D0000}"/>
    <cellStyle name="常规 2 5 4 7 2 2 2 5" xfId="36245" xr:uid="{00000000-0005-0000-0000-0000958D0000}"/>
    <cellStyle name="常规 2 5 4 7 2 2 3" xfId="36246" xr:uid="{00000000-0005-0000-0000-0000968D0000}"/>
    <cellStyle name="常规 2 5 4 7 2 2 3 2" xfId="36247" xr:uid="{00000000-0005-0000-0000-0000978D0000}"/>
    <cellStyle name="常规 2 5 4 7 2 2 3 2 2" xfId="36248" xr:uid="{00000000-0005-0000-0000-0000988D0000}"/>
    <cellStyle name="常规 2 5 4 7 2 2 3 2 3" xfId="36249" xr:uid="{00000000-0005-0000-0000-0000998D0000}"/>
    <cellStyle name="常规 2 5 4 7 2 2 3 2 4" xfId="36250" xr:uid="{00000000-0005-0000-0000-00009A8D0000}"/>
    <cellStyle name="常规 2 5 4 7 2 2 3 3" xfId="36251" xr:uid="{00000000-0005-0000-0000-00009B8D0000}"/>
    <cellStyle name="常规 2 5 4 7 2 2 3 4" xfId="36252" xr:uid="{00000000-0005-0000-0000-00009C8D0000}"/>
    <cellStyle name="常规 2 5 4 7 2 2 3 5" xfId="36253" xr:uid="{00000000-0005-0000-0000-00009D8D0000}"/>
    <cellStyle name="常规 2 5 4 7 2 2 4" xfId="36254" xr:uid="{00000000-0005-0000-0000-00009E8D0000}"/>
    <cellStyle name="常规 2 5 4 7 2 2 4 2" xfId="36255" xr:uid="{00000000-0005-0000-0000-00009F8D0000}"/>
    <cellStyle name="常规 2 5 4 7 2 2 4 3" xfId="36256" xr:uid="{00000000-0005-0000-0000-0000A08D0000}"/>
    <cellStyle name="常规 2 5 4 7 2 2 4 4" xfId="36257" xr:uid="{00000000-0005-0000-0000-0000A18D0000}"/>
    <cellStyle name="常规 2 5 4 7 2 2 5" xfId="36258" xr:uid="{00000000-0005-0000-0000-0000A28D0000}"/>
    <cellStyle name="常规 2 5 4 7 2 2 6" xfId="36259" xr:uid="{00000000-0005-0000-0000-0000A38D0000}"/>
    <cellStyle name="常规 2 5 4 7 2 2 7" xfId="36260" xr:uid="{00000000-0005-0000-0000-0000A48D0000}"/>
    <cellStyle name="常规 2 5 4 7 2 3" xfId="36261" xr:uid="{00000000-0005-0000-0000-0000A58D0000}"/>
    <cellStyle name="常规 2 5 4 7 2 3 2" xfId="36262" xr:uid="{00000000-0005-0000-0000-0000A68D0000}"/>
    <cellStyle name="常规 2 5 4 7 2 3 2 2" xfId="36263" xr:uid="{00000000-0005-0000-0000-0000A78D0000}"/>
    <cellStyle name="常规 2 5 4 7 2 3 2 3" xfId="36264" xr:uid="{00000000-0005-0000-0000-0000A88D0000}"/>
    <cellStyle name="常规 2 5 4 7 2 3 2 4" xfId="36265" xr:uid="{00000000-0005-0000-0000-0000A98D0000}"/>
    <cellStyle name="常规 2 5 4 7 2 3 3" xfId="36266" xr:uid="{00000000-0005-0000-0000-0000AA8D0000}"/>
    <cellStyle name="常规 2 5 4 7 2 3 4" xfId="36267" xr:uid="{00000000-0005-0000-0000-0000AB8D0000}"/>
    <cellStyle name="常规 2 5 4 7 2 3 5" xfId="36268" xr:uid="{00000000-0005-0000-0000-0000AC8D0000}"/>
    <cellStyle name="常规 2 5 4 7 2 4" xfId="36269" xr:uid="{00000000-0005-0000-0000-0000AD8D0000}"/>
    <cellStyle name="常规 2 5 4 7 2 4 2" xfId="36270" xr:uid="{00000000-0005-0000-0000-0000AE8D0000}"/>
    <cellStyle name="常规 2 5 4 7 2 4 2 2" xfId="36271" xr:uid="{00000000-0005-0000-0000-0000AF8D0000}"/>
    <cellStyle name="常规 2 5 4 7 2 4 2 3" xfId="36272" xr:uid="{00000000-0005-0000-0000-0000B08D0000}"/>
    <cellStyle name="常规 2 5 4 7 2 4 2 4" xfId="36273" xr:uid="{00000000-0005-0000-0000-0000B18D0000}"/>
    <cellStyle name="常规 2 5 4 7 2 4 3" xfId="36274" xr:uid="{00000000-0005-0000-0000-0000B28D0000}"/>
    <cellStyle name="常规 2 5 4 7 2 4 4" xfId="36275" xr:uid="{00000000-0005-0000-0000-0000B38D0000}"/>
    <cellStyle name="常规 2 5 4 7 2 4 5" xfId="36276" xr:uid="{00000000-0005-0000-0000-0000B48D0000}"/>
    <cellStyle name="常规 2 5 4 7 2 5" xfId="36277" xr:uid="{00000000-0005-0000-0000-0000B58D0000}"/>
    <cellStyle name="常规 2 5 4 7 2 5 2" xfId="36278" xr:uid="{00000000-0005-0000-0000-0000B68D0000}"/>
    <cellStyle name="常规 2 5 4 7 2 5 3" xfId="36279" xr:uid="{00000000-0005-0000-0000-0000B78D0000}"/>
    <cellStyle name="常规 2 5 4 7 2 5 4" xfId="36280" xr:uid="{00000000-0005-0000-0000-0000B88D0000}"/>
    <cellStyle name="常规 2 5 4 7 2 6" xfId="36281" xr:uid="{00000000-0005-0000-0000-0000B98D0000}"/>
    <cellStyle name="常规 2 5 4 7 2 7" xfId="36282" xr:uid="{00000000-0005-0000-0000-0000BA8D0000}"/>
    <cellStyle name="常规 2 5 4 7 2 8" xfId="36283" xr:uid="{00000000-0005-0000-0000-0000BB8D0000}"/>
    <cellStyle name="常规 2 5 4 7 2 9" xfId="36284" xr:uid="{00000000-0005-0000-0000-0000BC8D0000}"/>
    <cellStyle name="常规 2 5 4 7 3" xfId="36285" xr:uid="{00000000-0005-0000-0000-0000BD8D0000}"/>
    <cellStyle name="常规 2 5 4 7 3 2" xfId="36286" xr:uid="{00000000-0005-0000-0000-0000BE8D0000}"/>
    <cellStyle name="常规 2 5 4 7 3 2 2" xfId="36287" xr:uid="{00000000-0005-0000-0000-0000BF8D0000}"/>
    <cellStyle name="常规 2 5 4 7 3 2 3" xfId="36288" xr:uid="{00000000-0005-0000-0000-0000C08D0000}"/>
    <cellStyle name="常规 2 5 4 7 3 2 4" xfId="36289" xr:uid="{00000000-0005-0000-0000-0000C18D0000}"/>
    <cellStyle name="常规 2 5 4 7 3 3" xfId="36290" xr:uid="{00000000-0005-0000-0000-0000C28D0000}"/>
    <cellStyle name="常规 2 5 4 7 3 4" xfId="36291" xr:uid="{00000000-0005-0000-0000-0000C38D0000}"/>
    <cellStyle name="常规 2 5 4 7 3 5" xfId="36292" xr:uid="{00000000-0005-0000-0000-0000C48D0000}"/>
    <cellStyle name="常规 2 5 4 7 4" xfId="36293" xr:uid="{00000000-0005-0000-0000-0000C58D0000}"/>
    <cellStyle name="常规 2 5 4 7 4 2" xfId="36294" xr:uid="{00000000-0005-0000-0000-0000C68D0000}"/>
    <cellStyle name="常规 2 5 4 7 4 2 2" xfId="36295" xr:uid="{00000000-0005-0000-0000-0000C78D0000}"/>
    <cellStyle name="常规 2 5 4 7 4 2 3" xfId="36296" xr:uid="{00000000-0005-0000-0000-0000C88D0000}"/>
    <cellStyle name="常规 2 5 4 7 4 2 4" xfId="36297" xr:uid="{00000000-0005-0000-0000-0000C98D0000}"/>
    <cellStyle name="常规 2 5 4 7 4 3" xfId="36298" xr:uid="{00000000-0005-0000-0000-0000CA8D0000}"/>
    <cellStyle name="常规 2 5 4 7 4 4" xfId="36299" xr:uid="{00000000-0005-0000-0000-0000CB8D0000}"/>
    <cellStyle name="常规 2 5 4 7 4 5" xfId="36300" xr:uid="{00000000-0005-0000-0000-0000CC8D0000}"/>
    <cellStyle name="常规 2 5 4 7 5" xfId="36301" xr:uid="{00000000-0005-0000-0000-0000CD8D0000}"/>
    <cellStyle name="常规 2 5 4 7 5 2" xfId="36302" xr:uid="{00000000-0005-0000-0000-0000CE8D0000}"/>
    <cellStyle name="常规 2 5 4 7 5 3" xfId="36303" xr:uid="{00000000-0005-0000-0000-0000CF8D0000}"/>
    <cellStyle name="常规 2 5 4 7 5 4" xfId="36304" xr:uid="{00000000-0005-0000-0000-0000D08D0000}"/>
    <cellStyle name="常规 2 5 4 7 6" xfId="36305" xr:uid="{00000000-0005-0000-0000-0000D18D0000}"/>
    <cellStyle name="常规 2 5 4 7 7" xfId="36306" xr:uid="{00000000-0005-0000-0000-0000D28D0000}"/>
    <cellStyle name="常规 2 5 4 7 8" xfId="36307" xr:uid="{00000000-0005-0000-0000-0000D38D0000}"/>
    <cellStyle name="常规 2 5 4 7 9" xfId="36308" xr:uid="{00000000-0005-0000-0000-0000D48D0000}"/>
    <cellStyle name="常规 2 5 4 8" xfId="36309" xr:uid="{00000000-0005-0000-0000-0000D58D0000}"/>
    <cellStyle name="常规 2 5 4 8 2" xfId="36310" xr:uid="{00000000-0005-0000-0000-0000D68D0000}"/>
    <cellStyle name="常规 2 5 4 8 2 2" xfId="36311" xr:uid="{00000000-0005-0000-0000-0000D78D0000}"/>
    <cellStyle name="常规 2 5 4 8 2 2 2" xfId="36312" xr:uid="{00000000-0005-0000-0000-0000D88D0000}"/>
    <cellStyle name="常规 2 5 4 8 2 2 2 2" xfId="36313" xr:uid="{00000000-0005-0000-0000-0000D98D0000}"/>
    <cellStyle name="常规 2 5 4 8 2 2 2 2 2" xfId="36314" xr:uid="{00000000-0005-0000-0000-0000DA8D0000}"/>
    <cellStyle name="常规 2 5 4 8 2 2 2 2 3" xfId="36315" xr:uid="{00000000-0005-0000-0000-0000DB8D0000}"/>
    <cellStyle name="常规 2 5 4 8 2 2 2 2 4" xfId="36316" xr:uid="{00000000-0005-0000-0000-0000DC8D0000}"/>
    <cellStyle name="常规 2 5 4 8 2 2 2 3" xfId="36317" xr:uid="{00000000-0005-0000-0000-0000DD8D0000}"/>
    <cellStyle name="常规 2 5 4 8 2 2 2 4" xfId="36318" xr:uid="{00000000-0005-0000-0000-0000DE8D0000}"/>
    <cellStyle name="常规 2 5 4 8 2 2 2 5" xfId="36319" xr:uid="{00000000-0005-0000-0000-0000DF8D0000}"/>
    <cellStyle name="常规 2 5 4 8 2 2 3" xfId="36320" xr:uid="{00000000-0005-0000-0000-0000E08D0000}"/>
    <cellStyle name="常规 2 5 4 8 2 2 3 2" xfId="36321" xr:uid="{00000000-0005-0000-0000-0000E18D0000}"/>
    <cellStyle name="常规 2 5 4 8 2 2 3 2 2" xfId="36322" xr:uid="{00000000-0005-0000-0000-0000E28D0000}"/>
    <cellStyle name="常规 2 5 4 8 2 2 3 2 3" xfId="36323" xr:uid="{00000000-0005-0000-0000-0000E38D0000}"/>
    <cellStyle name="常规 2 5 4 8 2 2 3 2 4" xfId="36324" xr:uid="{00000000-0005-0000-0000-0000E48D0000}"/>
    <cellStyle name="常规 2 5 4 8 2 2 3 3" xfId="36325" xr:uid="{00000000-0005-0000-0000-0000E58D0000}"/>
    <cellStyle name="常规 2 5 4 8 2 2 3 4" xfId="36326" xr:uid="{00000000-0005-0000-0000-0000E68D0000}"/>
    <cellStyle name="常规 2 5 4 8 2 2 3 5" xfId="36327" xr:uid="{00000000-0005-0000-0000-0000E78D0000}"/>
    <cellStyle name="常规 2 5 4 8 2 2 4" xfId="36328" xr:uid="{00000000-0005-0000-0000-0000E88D0000}"/>
    <cellStyle name="常规 2 5 4 8 2 2 4 2" xfId="36329" xr:uid="{00000000-0005-0000-0000-0000E98D0000}"/>
    <cellStyle name="常规 2 5 4 8 2 2 4 3" xfId="36330" xr:uid="{00000000-0005-0000-0000-0000EA8D0000}"/>
    <cellStyle name="常规 2 5 4 8 2 2 4 4" xfId="36331" xr:uid="{00000000-0005-0000-0000-0000EB8D0000}"/>
    <cellStyle name="常规 2 5 4 8 2 2 5" xfId="36332" xr:uid="{00000000-0005-0000-0000-0000EC8D0000}"/>
    <cellStyle name="常规 2 5 4 8 2 2 6" xfId="36333" xr:uid="{00000000-0005-0000-0000-0000ED8D0000}"/>
    <cellStyle name="常规 2 5 4 8 2 2 7" xfId="36334" xr:uid="{00000000-0005-0000-0000-0000EE8D0000}"/>
    <cellStyle name="常规 2 5 4 8 2 3" xfId="36335" xr:uid="{00000000-0005-0000-0000-0000EF8D0000}"/>
    <cellStyle name="常规 2 5 4 8 2 3 2" xfId="36336" xr:uid="{00000000-0005-0000-0000-0000F08D0000}"/>
    <cellStyle name="常规 2 5 4 8 2 3 2 2" xfId="36337" xr:uid="{00000000-0005-0000-0000-0000F18D0000}"/>
    <cellStyle name="常规 2 5 4 8 2 3 2 3" xfId="36338" xr:uid="{00000000-0005-0000-0000-0000F28D0000}"/>
    <cellStyle name="常规 2 5 4 8 2 3 2 4" xfId="36339" xr:uid="{00000000-0005-0000-0000-0000F38D0000}"/>
    <cellStyle name="常规 2 5 4 8 2 3 3" xfId="36340" xr:uid="{00000000-0005-0000-0000-0000F48D0000}"/>
    <cellStyle name="常规 2 5 4 8 2 3 4" xfId="36341" xr:uid="{00000000-0005-0000-0000-0000F58D0000}"/>
    <cellStyle name="常规 2 5 4 8 2 3 5" xfId="36342" xr:uid="{00000000-0005-0000-0000-0000F68D0000}"/>
    <cellStyle name="常规 2 5 4 8 2 4" xfId="36343" xr:uid="{00000000-0005-0000-0000-0000F78D0000}"/>
    <cellStyle name="常规 2 5 4 8 2 4 2" xfId="36344" xr:uid="{00000000-0005-0000-0000-0000F88D0000}"/>
    <cellStyle name="常规 2 5 4 8 2 4 2 2" xfId="36345" xr:uid="{00000000-0005-0000-0000-0000F98D0000}"/>
    <cellStyle name="常规 2 5 4 8 2 4 2 3" xfId="36346" xr:uid="{00000000-0005-0000-0000-0000FA8D0000}"/>
    <cellStyle name="常规 2 5 4 8 2 4 2 4" xfId="36347" xr:uid="{00000000-0005-0000-0000-0000FB8D0000}"/>
    <cellStyle name="常规 2 5 4 8 2 4 3" xfId="36348" xr:uid="{00000000-0005-0000-0000-0000FC8D0000}"/>
    <cellStyle name="常规 2 5 4 8 2 4 4" xfId="36349" xr:uid="{00000000-0005-0000-0000-0000FD8D0000}"/>
    <cellStyle name="常规 2 5 4 8 2 4 5" xfId="36350" xr:uid="{00000000-0005-0000-0000-0000FE8D0000}"/>
    <cellStyle name="常规 2 5 4 8 2 5" xfId="36351" xr:uid="{00000000-0005-0000-0000-0000FF8D0000}"/>
    <cellStyle name="常规 2 5 4 8 2 5 2" xfId="36352" xr:uid="{00000000-0005-0000-0000-0000008E0000}"/>
    <cellStyle name="常规 2 5 4 8 2 5 3" xfId="36353" xr:uid="{00000000-0005-0000-0000-0000018E0000}"/>
    <cellStyle name="常规 2 5 4 8 2 5 4" xfId="36354" xr:uid="{00000000-0005-0000-0000-0000028E0000}"/>
    <cellStyle name="常规 2 5 4 8 2 6" xfId="36355" xr:uid="{00000000-0005-0000-0000-0000038E0000}"/>
    <cellStyle name="常规 2 5 4 8 2 7" xfId="36356" xr:uid="{00000000-0005-0000-0000-0000048E0000}"/>
    <cellStyle name="常规 2 5 4 8 2 8" xfId="36357" xr:uid="{00000000-0005-0000-0000-0000058E0000}"/>
    <cellStyle name="常规 2 5 4 8 2 9" xfId="36358" xr:uid="{00000000-0005-0000-0000-0000068E0000}"/>
    <cellStyle name="常规 2 5 4 8 3" xfId="36359" xr:uid="{00000000-0005-0000-0000-0000078E0000}"/>
    <cellStyle name="常规 2 5 4 8 3 2" xfId="36360" xr:uid="{00000000-0005-0000-0000-0000088E0000}"/>
    <cellStyle name="常规 2 5 4 8 3 2 2" xfId="36361" xr:uid="{00000000-0005-0000-0000-0000098E0000}"/>
    <cellStyle name="常规 2 5 4 8 3 2 3" xfId="36362" xr:uid="{00000000-0005-0000-0000-00000A8E0000}"/>
    <cellStyle name="常规 2 5 4 8 3 2 4" xfId="36363" xr:uid="{00000000-0005-0000-0000-00000B8E0000}"/>
    <cellStyle name="常规 2 5 4 8 3 3" xfId="36364" xr:uid="{00000000-0005-0000-0000-00000C8E0000}"/>
    <cellStyle name="常规 2 5 4 8 3 4" xfId="36365" xr:uid="{00000000-0005-0000-0000-00000D8E0000}"/>
    <cellStyle name="常规 2 5 4 8 3 5" xfId="36366" xr:uid="{00000000-0005-0000-0000-00000E8E0000}"/>
    <cellStyle name="常规 2 5 4 8 4" xfId="36367" xr:uid="{00000000-0005-0000-0000-00000F8E0000}"/>
    <cellStyle name="常规 2 5 4 8 4 2" xfId="36368" xr:uid="{00000000-0005-0000-0000-0000108E0000}"/>
    <cellStyle name="常规 2 5 4 8 4 2 2" xfId="36369" xr:uid="{00000000-0005-0000-0000-0000118E0000}"/>
    <cellStyle name="常规 2 5 4 8 4 2 3" xfId="36370" xr:uid="{00000000-0005-0000-0000-0000128E0000}"/>
    <cellStyle name="常规 2 5 4 8 4 2 4" xfId="36371" xr:uid="{00000000-0005-0000-0000-0000138E0000}"/>
    <cellStyle name="常规 2 5 4 8 4 3" xfId="36372" xr:uid="{00000000-0005-0000-0000-0000148E0000}"/>
    <cellStyle name="常规 2 5 4 8 4 4" xfId="36373" xr:uid="{00000000-0005-0000-0000-0000158E0000}"/>
    <cellStyle name="常规 2 5 4 8 4 5" xfId="36374" xr:uid="{00000000-0005-0000-0000-0000168E0000}"/>
    <cellStyle name="常规 2 5 4 8 5" xfId="36375" xr:uid="{00000000-0005-0000-0000-0000178E0000}"/>
    <cellStyle name="常规 2 5 4 8 5 2" xfId="36376" xr:uid="{00000000-0005-0000-0000-0000188E0000}"/>
    <cellStyle name="常规 2 5 4 8 5 3" xfId="36377" xr:uid="{00000000-0005-0000-0000-0000198E0000}"/>
    <cellStyle name="常规 2 5 4 8 5 4" xfId="36378" xr:uid="{00000000-0005-0000-0000-00001A8E0000}"/>
    <cellStyle name="常规 2 5 4 8 6" xfId="36379" xr:uid="{00000000-0005-0000-0000-00001B8E0000}"/>
    <cellStyle name="常规 2 5 4 8 7" xfId="36380" xr:uid="{00000000-0005-0000-0000-00001C8E0000}"/>
    <cellStyle name="常规 2 5 4 8 8" xfId="36381" xr:uid="{00000000-0005-0000-0000-00001D8E0000}"/>
    <cellStyle name="常规 2 5 4 8 9" xfId="36382" xr:uid="{00000000-0005-0000-0000-00001E8E0000}"/>
    <cellStyle name="常规 2 5 4 9" xfId="36383" xr:uid="{00000000-0005-0000-0000-00001F8E0000}"/>
    <cellStyle name="常规 2 5 4 9 2" xfId="36384" xr:uid="{00000000-0005-0000-0000-0000208E0000}"/>
    <cellStyle name="常规 2 5 4 9 2 2" xfId="36385" xr:uid="{00000000-0005-0000-0000-0000218E0000}"/>
    <cellStyle name="常规 2 5 4 9 2 2 2" xfId="36386" xr:uid="{00000000-0005-0000-0000-0000228E0000}"/>
    <cellStyle name="常规 2 5 4 9 2 2 2 2" xfId="36387" xr:uid="{00000000-0005-0000-0000-0000238E0000}"/>
    <cellStyle name="常规 2 5 4 9 2 2 2 2 2" xfId="36388" xr:uid="{00000000-0005-0000-0000-0000248E0000}"/>
    <cellStyle name="常规 2 5 4 9 2 2 2 2 3" xfId="36389" xr:uid="{00000000-0005-0000-0000-0000258E0000}"/>
    <cellStyle name="常规 2 5 4 9 2 2 2 2 4" xfId="36390" xr:uid="{00000000-0005-0000-0000-0000268E0000}"/>
    <cellStyle name="常规 2 5 4 9 2 2 2 3" xfId="36391" xr:uid="{00000000-0005-0000-0000-0000278E0000}"/>
    <cellStyle name="常规 2 5 4 9 2 2 2 4" xfId="36392" xr:uid="{00000000-0005-0000-0000-0000288E0000}"/>
    <cellStyle name="常规 2 5 4 9 2 2 2 5" xfId="36393" xr:uid="{00000000-0005-0000-0000-0000298E0000}"/>
    <cellStyle name="常规 2 5 4 9 2 2 3" xfId="36394" xr:uid="{00000000-0005-0000-0000-00002A8E0000}"/>
    <cellStyle name="常规 2 5 4 9 2 2 3 2" xfId="36395" xr:uid="{00000000-0005-0000-0000-00002B8E0000}"/>
    <cellStyle name="常规 2 5 4 9 2 2 3 2 2" xfId="36396" xr:uid="{00000000-0005-0000-0000-00002C8E0000}"/>
    <cellStyle name="常规 2 5 4 9 2 2 3 2 3" xfId="36397" xr:uid="{00000000-0005-0000-0000-00002D8E0000}"/>
    <cellStyle name="常规 2 5 4 9 2 2 3 2 4" xfId="36398" xr:uid="{00000000-0005-0000-0000-00002E8E0000}"/>
    <cellStyle name="常规 2 5 4 9 2 2 3 3" xfId="36399" xr:uid="{00000000-0005-0000-0000-00002F8E0000}"/>
    <cellStyle name="常规 2 5 4 9 2 2 3 4" xfId="36400" xr:uid="{00000000-0005-0000-0000-0000308E0000}"/>
    <cellStyle name="常规 2 5 4 9 2 2 3 5" xfId="36401" xr:uid="{00000000-0005-0000-0000-0000318E0000}"/>
    <cellStyle name="常规 2 5 4 9 2 2 4" xfId="36402" xr:uid="{00000000-0005-0000-0000-0000328E0000}"/>
    <cellStyle name="常规 2 5 4 9 2 2 4 2" xfId="36403" xr:uid="{00000000-0005-0000-0000-0000338E0000}"/>
    <cellStyle name="常规 2 5 4 9 2 2 4 3" xfId="36404" xr:uid="{00000000-0005-0000-0000-0000348E0000}"/>
    <cellStyle name="常规 2 5 4 9 2 2 4 4" xfId="36405" xr:uid="{00000000-0005-0000-0000-0000358E0000}"/>
    <cellStyle name="常规 2 5 4 9 2 2 5" xfId="36406" xr:uid="{00000000-0005-0000-0000-0000368E0000}"/>
    <cellStyle name="常规 2 5 4 9 2 2 6" xfId="36407" xr:uid="{00000000-0005-0000-0000-0000378E0000}"/>
    <cellStyle name="常规 2 5 4 9 2 2 7" xfId="36408" xr:uid="{00000000-0005-0000-0000-0000388E0000}"/>
    <cellStyle name="常规 2 5 4 9 2 3" xfId="36409" xr:uid="{00000000-0005-0000-0000-0000398E0000}"/>
    <cellStyle name="常规 2 5 4 9 2 3 2" xfId="36410" xr:uid="{00000000-0005-0000-0000-00003A8E0000}"/>
    <cellStyle name="常规 2 5 4 9 2 3 2 2" xfId="36411" xr:uid="{00000000-0005-0000-0000-00003B8E0000}"/>
    <cellStyle name="常规 2 5 4 9 2 3 2 3" xfId="36412" xr:uid="{00000000-0005-0000-0000-00003C8E0000}"/>
    <cellStyle name="常规 2 5 4 9 2 3 2 4" xfId="36413" xr:uid="{00000000-0005-0000-0000-00003D8E0000}"/>
    <cellStyle name="常规 2 5 4 9 2 3 3" xfId="36414" xr:uid="{00000000-0005-0000-0000-00003E8E0000}"/>
    <cellStyle name="常规 2 5 4 9 2 3 4" xfId="36415" xr:uid="{00000000-0005-0000-0000-00003F8E0000}"/>
    <cellStyle name="常规 2 5 4 9 2 3 5" xfId="36416" xr:uid="{00000000-0005-0000-0000-0000408E0000}"/>
    <cellStyle name="常规 2 5 4 9 2 4" xfId="36417" xr:uid="{00000000-0005-0000-0000-0000418E0000}"/>
    <cellStyle name="常规 2 5 4 9 2 4 2" xfId="36418" xr:uid="{00000000-0005-0000-0000-0000428E0000}"/>
    <cellStyle name="常规 2 5 4 9 2 4 2 2" xfId="36419" xr:uid="{00000000-0005-0000-0000-0000438E0000}"/>
    <cellStyle name="常规 2 5 4 9 2 4 2 3" xfId="36420" xr:uid="{00000000-0005-0000-0000-0000448E0000}"/>
    <cellStyle name="常规 2 5 4 9 2 4 2 4" xfId="36421" xr:uid="{00000000-0005-0000-0000-0000458E0000}"/>
    <cellStyle name="常规 2 5 4 9 2 4 3" xfId="36422" xr:uid="{00000000-0005-0000-0000-0000468E0000}"/>
    <cellStyle name="常规 2 5 4 9 2 4 4" xfId="36423" xr:uid="{00000000-0005-0000-0000-0000478E0000}"/>
    <cellStyle name="常规 2 5 4 9 2 4 5" xfId="36424" xr:uid="{00000000-0005-0000-0000-0000488E0000}"/>
    <cellStyle name="常规 2 5 4 9 2 5" xfId="36425" xr:uid="{00000000-0005-0000-0000-0000498E0000}"/>
    <cellStyle name="常规 2 5 4 9 2 5 2" xfId="36426" xr:uid="{00000000-0005-0000-0000-00004A8E0000}"/>
    <cellStyle name="常规 2 5 4 9 2 5 3" xfId="36427" xr:uid="{00000000-0005-0000-0000-00004B8E0000}"/>
    <cellStyle name="常规 2 5 4 9 2 5 4" xfId="36428" xr:uid="{00000000-0005-0000-0000-00004C8E0000}"/>
    <cellStyle name="常规 2 5 4 9 2 6" xfId="36429" xr:uid="{00000000-0005-0000-0000-00004D8E0000}"/>
    <cellStyle name="常规 2 5 4 9 2 7" xfId="36430" xr:uid="{00000000-0005-0000-0000-00004E8E0000}"/>
    <cellStyle name="常规 2 5 4 9 2 8" xfId="36431" xr:uid="{00000000-0005-0000-0000-00004F8E0000}"/>
    <cellStyle name="常规 2 5 4 9 3" xfId="36432" xr:uid="{00000000-0005-0000-0000-0000508E0000}"/>
    <cellStyle name="常规 2 5 4 9 3 2" xfId="36433" xr:uid="{00000000-0005-0000-0000-0000518E0000}"/>
    <cellStyle name="常规 2 5 4 9 3 2 2" xfId="36434" xr:uid="{00000000-0005-0000-0000-0000528E0000}"/>
    <cellStyle name="常规 2 5 4 9 3 2 3" xfId="36435" xr:uid="{00000000-0005-0000-0000-0000538E0000}"/>
    <cellStyle name="常规 2 5 4 9 3 2 4" xfId="36436" xr:uid="{00000000-0005-0000-0000-0000548E0000}"/>
    <cellStyle name="常规 2 5 4 9 3 3" xfId="36437" xr:uid="{00000000-0005-0000-0000-0000558E0000}"/>
    <cellStyle name="常规 2 5 4 9 3 4" xfId="36438" xr:uid="{00000000-0005-0000-0000-0000568E0000}"/>
    <cellStyle name="常规 2 5 4 9 3 5" xfId="36439" xr:uid="{00000000-0005-0000-0000-0000578E0000}"/>
    <cellStyle name="常规 2 5 4 9 4" xfId="36440" xr:uid="{00000000-0005-0000-0000-0000588E0000}"/>
    <cellStyle name="常规 2 5 4 9 4 2" xfId="36441" xr:uid="{00000000-0005-0000-0000-0000598E0000}"/>
    <cellStyle name="常规 2 5 4 9 4 2 2" xfId="36442" xr:uid="{00000000-0005-0000-0000-00005A8E0000}"/>
    <cellStyle name="常规 2 5 4 9 4 2 3" xfId="36443" xr:uid="{00000000-0005-0000-0000-00005B8E0000}"/>
    <cellStyle name="常规 2 5 4 9 4 2 4" xfId="36444" xr:uid="{00000000-0005-0000-0000-00005C8E0000}"/>
    <cellStyle name="常规 2 5 4 9 4 3" xfId="36445" xr:uid="{00000000-0005-0000-0000-00005D8E0000}"/>
    <cellStyle name="常规 2 5 4 9 4 4" xfId="36446" xr:uid="{00000000-0005-0000-0000-00005E8E0000}"/>
    <cellStyle name="常规 2 5 4 9 4 5" xfId="36447" xr:uid="{00000000-0005-0000-0000-00005F8E0000}"/>
    <cellStyle name="常规 2 5 4 9 5" xfId="36448" xr:uid="{00000000-0005-0000-0000-0000608E0000}"/>
    <cellStyle name="常规 2 5 4 9 5 2" xfId="36449" xr:uid="{00000000-0005-0000-0000-0000618E0000}"/>
    <cellStyle name="常规 2 5 4 9 5 3" xfId="36450" xr:uid="{00000000-0005-0000-0000-0000628E0000}"/>
    <cellStyle name="常规 2 5 4 9 5 4" xfId="36451" xr:uid="{00000000-0005-0000-0000-0000638E0000}"/>
    <cellStyle name="常规 2 5 4 9 6" xfId="36452" xr:uid="{00000000-0005-0000-0000-0000648E0000}"/>
    <cellStyle name="常规 2 5 4 9 7" xfId="36453" xr:uid="{00000000-0005-0000-0000-0000658E0000}"/>
    <cellStyle name="常规 2 5 4 9 8" xfId="36454" xr:uid="{00000000-0005-0000-0000-0000668E0000}"/>
    <cellStyle name="常规 2 5 5" xfId="36455" xr:uid="{00000000-0005-0000-0000-0000678E0000}"/>
    <cellStyle name="常规 2 5 5 10" xfId="36456" xr:uid="{00000000-0005-0000-0000-0000688E0000}"/>
    <cellStyle name="常规 2 5 5 2" xfId="36457" xr:uid="{00000000-0005-0000-0000-0000698E0000}"/>
    <cellStyle name="常规 2 5 5 2 10" xfId="36458" xr:uid="{00000000-0005-0000-0000-00006A8E0000}"/>
    <cellStyle name="常规 2 5 5 2 2" xfId="36459" xr:uid="{00000000-0005-0000-0000-00006B8E0000}"/>
    <cellStyle name="常规 2 5 5 2 2 2" xfId="36460" xr:uid="{00000000-0005-0000-0000-00006C8E0000}"/>
    <cellStyle name="常规 2 5 5 2 2 2 2" xfId="36461" xr:uid="{00000000-0005-0000-0000-00006D8E0000}"/>
    <cellStyle name="常规 2 5 5 2 2 2 2 2" xfId="36462" xr:uid="{00000000-0005-0000-0000-00006E8E0000}"/>
    <cellStyle name="常规 2 5 5 2 2 2 2 3" xfId="36463" xr:uid="{00000000-0005-0000-0000-00006F8E0000}"/>
    <cellStyle name="常规 2 5 5 2 2 2 2 4" xfId="36464" xr:uid="{00000000-0005-0000-0000-0000708E0000}"/>
    <cellStyle name="常规 2 5 5 2 2 2 3" xfId="36465" xr:uid="{00000000-0005-0000-0000-0000718E0000}"/>
    <cellStyle name="常规 2 5 5 2 2 2 4" xfId="36466" xr:uid="{00000000-0005-0000-0000-0000728E0000}"/>
    <cellStyle name="常规 2 5 5 2 2 2 5" xfId="36467" xr:uid="{00000000-0005-0000-0000-0000738E0000}"/>
    <cellStyle name="常规 2 5 5 2 2 2 6" xfId="36468" xr:uid="{00000000-0005-0000-0000-0000748E0000}"/>
    <cellStyle name="常规 2 5 5 2 2 3" xfId="36469" xr:uid="{00000000-0005-0000-0000-0000758E0000}"/>
    <cellStyle name="常规 2 5 5 2 2 3 2" xfId="36470" xr:uid="{00000000-0005-0000-0000-0000768E0000}"/>
    <cellStyle name="常规 2 5 5 2 2 3 2 2" xfId="36471" xr:uid="{00000000-0005-0000-0000-0000778E0000}"/>
    <cellStyle name="常规 2 5 5 2 2 3 2 3" xfId="36472" xr:uid="{00000000-0005-0000-0000-0000788E0000}"/>
    <cellStyle name="常规 2 5 5 2 2 3 2 4" xfId="36473" xr:uid="{00000000-0005-0000-0000-0000798E0000}"/>
    <cellStyle name="常规 2 5 5 2 2 3 3" xfId="36474" xr:uid="{00000000-0005-0000-0000-00007A8E0000}"/>
    <cellStyle name="常规 2 5 5 2 2 3 4" xfId="36475" xr:uid="{00000000-0005-0000-0000-00007B8E0000}"/>
    <cellStyle name="常规 2 5 5 2 2 3 5" xfId="36476" xr:uid="{00000000-0005-0000-0000-00007C8E0000}"/>
    <cellStyle name="常规 2 5 5 2 2 4" xfId="36477" xr:uid="{00000000-0005-0000-0000-00007D8E0000}"/>
    <cellStyle name="常规 2 5 5 2 2 4 2" xfId="36478" xr:uid="{00000000-0005-0000-0000-00007E8E0000}"/>
    <cellStyle name="常规 2 5 5 2 2 4 3" xfId="36479" xr:uid="{00000000-0005-0000-0000-00007F8E0000}"/>
    <cellStyle name="常规 2 5 5 2 2 4 4" xfId="36480" xr:uid="{00000000-0005-0000-0000-0000808E0000}"/>
    <cellStyle name="常规 2 5 5 2 2 5" xfId="36481" xr:uid="{00000000-0005-0000-0000-0000818E0000}"/>
    <cellStyle name="常规 2 5 5 2 2 6" xfId="36482" xr:uid="{00000000-0005-0000-0000-0000828E0000}"/>
    <cellStyle name="常规 2 5 5 2 2 7" xfId="36483" xr:uid="{00000000-0005-0000-0000-0000838E0000}"/>
    <cellStyle name="常规 2 5 5 2 2 8" xfId="36484" xr:uid="{00000000-0005-0000-0000-0000848E0000}"/>
    <cellStyle name="常规 2 5 5 2 2 8 2" xfId="36485" xr:uid="{00000000-0005-0000-0000-0000858E0000}"/>
    <cellStyle name="常规 2 5 5 2 2 9" xfId="36486" xr:uid="{00000000-0005-0000-0000-0000868E0000}"/>
    <cellStyle name="常规 2 5 5 2 3" xfId="36487" xr:uid="{00000000-0005-0000-0000-0000878E0000}"/>
    <cellStyle name="常规 2 5 5 2 3 2" xfId="36488" xr:uid="{00000000-0005-0000-0000-0000888E0000}"/>
    <cellStyle name="常规 2 5 5 2 3 2 2" xfId="36489" xr:uid="{00000000-0005-0000-0000-0000898E0000}"/>
    <cellStyle name="常规 2 5 5 2 3 2 3" xfId="36490" xr:uid="{00000000-0005-0000-0000-00008A8E0000}"/>
    <cellStyle name="常规 2 5 5 2 3 2 4" xfId="36491" xr:uid="{00000000-0005-0000-0000-00008B8E0000}"/>
    <cellStyle name="常规 2 5 5 2 3 2 5" xfId="36492" xr:uid="{00000000-0005-0000-0000-00008C8E0000}"/>
    <cellStyle name="常规 2 5 5 2 3 3" xfId="36493" xr:uid="{00000000-0005-0000-0000-00008D8E0000}"/>
    <cellStyle name="常规 2 5 5 2 3 4" xfId="36494" xr:uid="{00000000-0005-0000-0000-00008E8E0000}"/>
    <cellStyle name="常规 2 5 5 2 3 5" xfId="36495" xr:uid="{00000000-0005-0000-0000-00008F8E0000}"/>
    <cellStyle name="常规 2 5 5 2 3 6" xfId="36496" xr:uid="{00000000-0005-0000-0000-0000908E0000}"/>
    <cellStyle name="常规 2 5 5 2 4" xfId="36497" xr:uid="{00000000-0005-0000-0000-0000918E0000}"/>
    <cellStyle name="常规 2 5 5 2 4 2" xfId="36498" xr:uid="{00000000-0005-0000-0000-0000928E0000}"/>
    <cellStyle name="常规 2 5 5 2 4 2 2" xfId="36499" xr:uid="{00000000-0005-0000-0000-0000938E0000}"/>
    <cellStyle name="常规 2 5 5 2 4 2 3" xfId="36500" xr:uid="{00000000-0005-0000-0000-0000948E0000}"/>
    <cellStyle name="常规 2 5 5 2 4 2 4" xfId="36501" xr:uid="{00000000-0005-0000-0000-0000958E0000}"/>
    <cellStyle name="常规 2 5 5 2 4 2 5" xfId="36502" xr:uid="{00000000-0005-0000-0000-0000968E0000}"/>
    <cellStyle name="常规 2 5 5 2 4 3" xfId="36503" xr:uid="{00000000-0005-0000-0000-0000978E0000}"/>
    <cellStyle name="常规 2 5 5 2 4 4" xfId="36504" xr:uid="{00000000-0005-0000-0000-0000988E0000}"/>
    <cellStyle name="常规 2 5 5 2 4 5" xfId="36505" xr:uid="{00000000-0005-0000-0000-0000998E0000}"/>
    <cellStyle name="常规 2 5 5 2 4 6" xfId="36506" xr:uid="{00000000-0005-0000-0000-00009A8E0000}"/>
    <cellStyle name="常规 2 5 5 2 5" xfId="36507" xr:uid="{00000000-0005-0000-0000-00009B8E0000}"/>
    <cellStyle name="常规 2 5 5 2 5 2" xfId="36508" xr:uid="{00000000-0005-0000-0000-00009C8E0000}"/>
    <cellStyle name="常规 2 5 5 2 5 3" xfId="36509" xr:uid="{00000000-0005-0000-0000-00009D8E0000}"/>
    <cellStyle name="常规 2 5 5 2 5 4" xfId="36510" xr:uid="{00000000-0005-0000-0000-00009E8E0000}"/>
    <cellStyle name="常规 2 5 5 2 5 5" xfId="36511" xr:uid="{00000000-0005-0000-0000-00009F8E0000}"/>
    <cellStyle name="常规 2 5 5 2 6" xfId="36512" xr:uid="{00000000-0005-0000-0000-0000A08E0000}"/>
    <cellStyle name="常规 2 5 5 2 7" xfId="36513" xr:uid="{00000000-0005-0000-0000-0000A18E0000}"/>
    <cellStyle name="常规 2 5 5 2 8" xfId="36514" xr:uid="{00000000-0005-0000-0000-0000A28E0000}"/>
    <cellStyle name="常规 2 5 5 2 9" xfId="36515" xr:uid="{00000000-0005-0000-0000-0000A38E0000}"/>
    <cellStyle name="常规 2 5 5 2 9 2" xfId="36516" xr:uid="{00000000-0005-0000-0000-0000A48E0000}"/>
    <cellStyle name="常规 2 5 5 3" xfId="36517" xr:uid="{00000000-0005-0000-0000-0000A58E0000}"/>
    <cellStyle name="常规 2 5 5 3 2" xfId="36518" xr:uid="{00000000-0005-0000-0000-0000A68E0000}"/>
    <cellStyle name="常规 2 5 5 3 2 2" xfId="36519" xr:uid="{00000000-0005-0000-0000-0000A78E0000}"/>
    <cellStyle name="常规 2 5 5 3 2 3" xfId="36520" xr:uid="{00000000-0005-0000-0000-0000A88E0000}"/>
    <cellStyle name="常规 2 5 5 3 2 4" xfId="36521" xr:uid="{00000000-0005-0000-0000-0000A98E0000}"/>
    <cellStyle name="常规 2 5 5 3 3" xfId="36522" xr:uid="{00000000-0005-0000-0000-0000AA8E0000}"/>
    <cellStyle name="常规 2 5 5 3 4" xfId="36523" xr:uid="{00000000-0005-0000-0000-0000AB8E0000}"/>
    <cellStyle name="常规 2 5 5 3 5" xfId="36524" xr:uid="{00000000-0005-0000-0000-0000AC8E0000}"/>
    <cellStyle name="常规 2 5 5 3 6" xfId="36525" xr:uid="{00000000-0005-0000-0000-0000AD8E0000}"/>
    <cellStyle name="常规 2 5 5 3 6 2" xfId="36526" xr:uid="{00000000-0005-0000-0000-0000AE8E0000}"/>
    <cellStyle name="常规 2 5 5 4" xfId="36527" xr:uid="{00000000-0005-0000-0000-0000AF8E0000}"/>
    <cellStyle name="常规 2 5 5 4 2" xfId="36528" xr:uid="{00000000-0005-0000-0000-0000B08E0000}"/>
    <cellStyle name="常规 2 5 5 4 2 2" xfId="36529" xr:uid="{00000000-0005-0000-0000-0000B18E0000}"/>
    <cellStyle name="常规 2 5 5 4 2 3" xfId="36530" xr:uid="{00000000-0005-0000-0000-0000B28E0000}"/>
    <cellStyle name="常规 2 5 5 4 2 4" xfId="36531" xr:uid="{00000000-0005-0000-0000-0000B38E0000}"/>
    <cellStyle name="常规 2 5 5 4 2 5" xfId="36532" xr:uid="{00000000-0005-0000-0000-0000B48E0000}"/>
    <cellStyle name="常规 2 5 5 4 3" xfId="36533" xr:uid="{00000000-0005-0000-0000-0000B58E0000}"/>
    <cellStyle name="常规 2 5 5 4 4" xfId="36534" xr:uid="{00000000-0005-0000-0000-0000B68E0000}"/>
    <cellStyle name="常规 2 5 5 4 5" xfId="36535" xr:uid="{00000000-0005-0000-0000-0000B78E0000}"/>
    <cellStyle name="常规 2 5 5 4 6" xfId="36536" xr:uid="{00000000-0005-0000-0000-0000B88E0000}"/>
    <cellStyle name="常规 2 5 5 5" xfId="36537" xr:uid="{00000000-0005-0000-0000-0000B98E0000}"/>
    <cellStyle name="常规 2 5 5 5 2" xfId="36538" xr:uid="{00000000-0005-0000-0000-0000BA8E0000}"/>
    <cellStyle name="常规 2 5 5 5 2 2" xfId="36539" xr:uid="{00000000-0005-0000-0000-0000BB8E0000}"/>
    <cellStyle name="常规 2 5 5 5 3" xfId="36540" xr:uid="{00000000-0005-0000-0000-0000BC8E0000}"/>
    <cellStyle name="常规 2 5 5 5 4" xfId="36541" xr:uid="{00000000-0005-0000-0000-0000BD8E0000}"/>
    <cellStyle name="常规 2 5 5 5 5" xfId="36542" xr:uid="{00000000-0005-0000-0000-0000BE8E0000}"/>
    <cellStyle name="常规 2 5 5 6" xfId="36543" xr:uid="{00000000-0005-0000-0000-0000BF8E0000}"/>
    <cellStyle name="常规 2 5 5 7" xfId="36544" xr:uid="{00000000-0005-0000-0000-0000C08E0000}"/>
    <cellStyle name="常规 2 5 5 8" xfId="36545" xr:uid="{00000000-0005-0000-0000-0000C18E0000}"/>
    <cellStyle name="常规 2 5 5 9" xfId="36546" xr:uid="{00000000-0005-0000-0000-0000C28E0000}"/>
    <cellStyle name="常规 2 5 5 9 2" xfId="36547" xr:uid="{00000000-0005-0000-0000-0000C38E0000}"/>
    <cellStyle name="常规 2 5 6" xfId="36548" xr:uid="{00000000-0005-0000-0000-0000C48E0000}"/>
    <cellStyle name="常规 2 5 6 10" xfId="36549" xr:uid="{00000000-0005-0000-0000-0000C58E0000}"/>
    <cellStyle name="常规 2 5 6 2" xfId="36550" xr:uid="{00000000-0005-0000-0000-0000C68E0000}"/>
    <cellStyle name="常规 2 5 6 2 10" xfId="36551" xr:uid="{00000000-0005-0000-0000-0000C78E0000}"/>
    <cellStyle name="常规 2 5 6 2 2" xfId="36552" xr:uid="{00000000-0005-0000-0000-0000C88E0000}"/>
    <cellStyle name="常规 2 5 6 2 2 2" xfId="36553" xr:uid="{00000000-0005-0000-0000-0000C98E0000}"/>
    <cellStyle name="常规 2 5 6 2 2 2 2" xfId="36554" xr:uid="{00000000-0005-0000-0000-0000CA8E0000}"/>
    <cellStyle name="常规 2 5 6 2 2 2 2 2" xfId="36555" xr:uid="{00000000-0005-0000-0000-0000CB8E0000}"/>
    <cellStyle name="常规 2 5 6 2 2 2 2 3" xfId="36556" xr:uid="{00000000-0005-0000-0000-0000CC8E0000}"/>
    <cellStyle name="常规 2 5 6 2 2 2 2 4" xfId="36557" xr:uid="{00000000-0005-0000-0000-0000CD8E0000}"/>
    <cellStyle name="常规 2 5 6 2 2 2 3" xfId="36558" xr:uid="{00000000-0005-0000-0000-0000CE8E0000}"/>
    <cellStyle name="常规 2 5 6 2 2 2 4" xfId="36559" xr:uid="{00000000-0005-0000-0000-0000CF8E0000}"/>
    <cellStyle name="常规 2 5 6 2 2 2 5" xfId="36560" xr:uid="{00000000-0005-0000-0000-0000D08E0000}"/>
    <cellStyle name="常规 2 5 6 2 2 3" xfId="36561" xr:uid="{00000000-0005-0000-0000-0000D18E0000}"/>
    <cellStyle name="常规 2 5 6 2 2 3 2" xfId="36562" xr:uid="{00000000-0005-0000-0000-0000D28E0000}"/>
    <cellStyle name="常规 2 5 6 2 2 3 2 2" xfId="36563" xr:uid="{00000000-0005-0000-0000-0000D38E0000}"/>
    <cellStyle name="常规 2 5 6 2 2 3 2 3" xfId="36564" xr:uid="{00000000-0005-0000-0000-0000D48E0000}"/>
    <cellStyle name="常规 2 5 6 2 2 3 2 4" xfId="36565" xr:uid="{00000000-0005-0000-0000-0000D58E0000}"/>
    <cellStyle name="常规 2 5 6 2 2 3 3" xfId="36566" xr:uid="{00000000-0005-0000-0000-0000D68E0000}"/>
    <cellStyle name="常规 2 5 6 2 2 3 4" xfId="36567" xr:uid="{00000000-0005-0000-0000-0000D78E0000}"/>
    <cellStyle name="常规 2 5 6 2 2 3 5" xfId="36568" xr:uid="{00000000-0005-0000-0000-0000D88E0000}"/>
    <cellStyle name="常规 2 5 6 2 2 4" xfId="36569" xr:uid="{00000000-0005-0000-0000-0000D98E0000}"/>
    <cellStyle name="常规 2 5 6 2 2 4 2" xfId="36570" xr:uid="{00000000-0005-0000-0000-0000DA8E0000}"/>
    <cellStyle name="常规 2 5 6 2 2 4 3" xfId="36571" xr:uid="{00000000-0005-0000-0000-0000DB8E0000}"/>
    <cellStyle name="常规 2 5 6 2 2 4 4" xfId="36572" xr:uid="{00000000-0005-0000-0000-0000DC8E0000}"/>
    <cellStyle name="常规 2 5 6 2 2 5" xfId="36573" xr:uid="{00000000-0005-0000-0000-0000DD8E0000}"/>
    <cellStyle name="常规 2 5 6 2 2 6" xfId="36574" xr:uid="{00000000-0005-0000-0000-0000DE8E0000}"/>
    <cellStyle name="常规 2 5 6 2 2 7" xfId="36575" xr:uid="{00000000-0005-0000-0000-0000DF8E0000}"/>
    <cellStyle name="常规 2 5 6 2 2 8" xfId="36576" xr:uid="{00000000-0005-0000-0000-0000E08E0000}"/>
    <cellStyle name="常规 2 5 6 2 3" xfId="36577" xr:uid="{00000000-0005-0000-0000-0000E18E0000}"/>
    <cellStyle name="常规 2 5 6 2 3 2" xfId="36578" xr:uid="{00000000-0005-0000-0000-0000E28E0000}"/>
    <cellStyle name="常规 2 5 6 2 3 2 2" xfId="36579" xr:uid="{00000000-0005-0000-0000-0000E38E0000}"/>
    <cellStyle name="常规 2 5 6 2 3 2 3" xfId="36580" xr:uid="{00000000-0005-0000-0000-0000E48E0000}"/>
    <cellStyle name="常规 2 5 6 2 3 2 4" xfId="36581" xr:uid="{00000000-0005-0000-0000-0000E58E0000}"/>
    <cellStyle name="常规 2 5 6 2 3 3" xfId="36582" xr:uid="{00000000-0005-0000-0000-0000E68E0000}"/>
    <cellStyle name="常规 2 5 6 2 3 4" xfId="36583" xr:uid="{00000000-0005-0000-0000-0000E78E0000}"/>
    <cellStyle name="常规 2 5 6 2 3 5" xfId="36584" xr:uid="{00000000-0005-0000-0000-0000E88E0000}"/>
    <cellStyle name="常规 2 5 6 2 4" xfId="36585" xr:uid="{00000000-0005-0000-0000-0000E98E0000}"/>
    <cellStyle name="常规 2 5 6 2 4 2" xfId="36586" xr:uid="{00000000-0005-0000-0000-0000EA8E0000}"/>
    <cellStyle name="常规 2 5 6 2 4 2 2" xfId="36587" xr:uid="{00000000-0005-0000-0000-0000EB8E0000}"/>
    <cellStyle name="常规 2 5 6 2 4 2 3" xfId="36588" xr:uid="{00000000-0005-0000-0000-0000EC8E0000}"/>
    <cellStyle name="常规 2 5 6 2 4 2 4" xfId="36589" xr:uid="{00000000-0005-0000-0000-0000ED8E0000}"/>
    <cellStyle name="常规 2 5 6 2 4 3" xfId="36590" xr:uid="{00000000-0005-0000-0000-0000EE8E0000}"/>
    <cellStyle name="常规 2 5 6 2 4 4" xfId="36591" xr:uid="{00000000-0005-0000-0000-0000EF8E0000}"/>
    <cellStyle name="常规 2 5 6 2 4 5" xfId="36592" xr:uid="{00000000-0005-0000-0000-0000F08E0000}"/>
    <cellStyle name="常规 2 5 6 2 5" xfId="36593" xr:uid="{00000000-0005-0000-0000-0000F18E0000}"/>
    <cellStyle name="常规 2 5 6 2 5 2" xfId="36594" xr:uid="{00000000-0005-0000-0000-0000F28E0000}"/>
    <cellStyle name="常规 2 5 6 2 5 3" xfId="36595" xr:uid="{00000000-0005-0000-0000-0000F38E0000}"/>
    <cellStyle name="常规 2 5 6 2 5 4" xfId="36596" xr:uid="{00000000-0005-0000-0000-0000F48E0000}"/>
    <cellStyle name="常规 2 5 6 2 6" xfId="36597" xr:uid="{00000000-0005-0000-0000-0000F58E0000}"/>
    <cellStyle name="常规 2 5 6 2 7" xfId="36598" xr:uid="{00000000-0005-0000-0000-0000F68E0000}"/>
    <cellStyle name="常规 2 5 6 2 8" xfId="36599" xr:uid="{00000000-0005-0000-0000-0000F78E0000}"/>
    <cellStyle name="常规 2 5 6 2 9" xfId="36600" xr:uid="{00000000-0005-0000-0000-0000F88E0000}"/>
    <cellStyle name="常规 2 5 6 2 9 2" xfId="36601" xr:uid="{00000000-0005-0000-0000-0000F98E0000}"/>
    <cellStyle name="常规 2 5 6 3" xfId="36602" xr:uid="{00000000-0005-0000-0000-0000FA8E0000}"/>
    <cellStyle name="常规 2 5 6 3 2" xfId="36603" xr:uid="{00000000-0005-0000-0000-0000FB8E0000}"/>
    <cellStyle name="常规 2 5 6 3 2 2" xfId="36604" xr:uid="{00000000-0005-0000-0000-0000FC8E0000}"/>
    <cellStyle name="常规 2 5 6 3 2 3" xfId="36605" xr:uid="{00000000-0005-0000-0000-0000FD8E0000}"/>
    <cellStyle name="常规 2 5 6 3 2 4" xfId="36606" xr:uid="{00000000-0005-0000-0000-0000FE8E0000}"/>
    <cellStyle name="常规 2 5 6 3 2 5" xfId="36607" xr:uid="{00000000-0005-0000-0000-0000FF8E0000}"/>
    <cellStyle name="常规 2 5 6 3 3" xfId="36608" xr:uid="{00000000-0005-0000-0000-0000008F0000}"/>
    <cellStyle name="常规 2 5 6 3 4" xfId="36609" xr:uid="{00000000-0005-0000-0000-0000018F0000}"/>
    <cellStyle name="常规 2 5 6 3 5" xfId="36610" xr:uid="{00000000-0005-0000-0000-0000028F0000}"/>
    <cellStyle name="常规 2 5 6 3 6" xfId="36611" xr:uid="{00000000-0005-0000-0000-0000038F0000}"/>
    <cellStyle name="常规 2 5 6 4" xfId="36612" xr:uid="{00000000-0005-0000-0000-0000048F0000}"/>
    <cellStyle name="常规 2 5 6 4 2" xfId="36613" xr:uid="{00000000-0005-0000-0000-0000058F0000}"/>
    <cellStyle name="常规 2 5 6 4 2 2" xfId="36614" xr:uid="{00000000-0005-0000-0000-0000068F0000}"/>
    <cellStyle name="常规 2 5 6 4 2 3" xfId="36615" xr:uid="{00000000-0005-0000-0000-0000078F0000}"/>
    <cellStyle name="常规 2 5 6 4 2 4" xfId="36616" xr:uid="{00000000-0005-0000-0000-0000088F0000}"/>
    <cellStyle name="常规 2 5 6 4 2 5" xfId="36617" xr:uid="{00000000-0005-0000-0000-0000098F0000}"/>
    <cellStyle name="常规 2 5 6 4 3" xfId="36618" xr:uid="{00000000-0005-0000-0000-00000A8F0000}"/>
    <cellStyle name="常规 2 5 6 4 4" xfId="36619" xr:uid="{00000000-0005-0000-0000-00000B8F0000}"/>
    <cellStyle name="常规 2 5 6 4 5" xfId="36620" xr:uid="{00000000-0005-0000-0000-00000C8F0000}"/>
    <cellStyle name="常规 2 5 6 4 6" xfId="36621" xr:uid="{00000000-0005-0000-0000-00000D8F0000}"/>
    <cellStyle name="常规 2 5 6 5" xfId="36622" xr:uid="{00000000-0005-0000-0000-00000E8F0000}"/>
    <cellStyle name="常规 2 5 6 5 2" xfId="36623" xr:uid="{00000000-0005-0000-0000-00000F8F0000}"/>
    <cellStyle name="常规 2 5 6 5 3" xfId="36624" xr:uid="{00000000-0005-0000-0000-0000108F0000}"/>
    <cellStyle name="常规 2 5 6 5 4" xfId="36625" xr:uid="{00000000-0005-0000-0000-0000118F0000}"/>
    <cellStyle name="常规 2 5 6 5 5" xfId="36626" xr:uid="{00000000-0005-0000-0000-0000128F0000}"/>
    <cellStyle name="常规 2 5 6 6" xfId="36627" xr:uid="{00000000-0005-0000-0000-0000138F0000}"/>
    <cellStyle name="常规 2 5 6 7" xfId="36628" xr:uid="{00000000-0005-0000-0000-0000148F0000}"/>
    <cellStyle name="常规 2 5 6 8" xfId="36629" xr:uid="{00000000-0005-0000-0000-0000158F0000}"/>
    <cellStyle name="常规 2 5 6 9" xfId="36630" xr:uid="{00000000-0005-0000-0000-0000168F0000}"/>
    <cellStyle name="常规 2 5 6 9 2" xfId="36631" xr:uid="{00000000-0005-0000-0000-0000178F0000}"/>
    <cellStyle name="常规 2 5 7" xfId="36632" xr:uid="{00000000-0005-0000-0000-0000188F0000}"/>
    <cellStyle name="常规 2 5 7 2" xfId="36633" xr:uid="{00000000-0005-0000-0000-0000198F0000}"/>
    <cellStyle name="常规 2 5 7 2 2" xfId="36634" xr:uid="{00000000-0005-0000-0000-00001A8F0000}"/>
    <cellStyle name="常规 2 5 7 2 2 2" xfId="36635" xr:uid="{00000000-0005-0000-0000-00001B8F0000}"/>
    <cellStyle name="常规 2 5 7 2 2 2 2" xfId="36636" xr:uid="{00000000-0005-0000-0000-00001C8F0000}"/>
    <cellStyle name="常规 2 5 7 2 2 2 2 2" xfId="36637" xr:uid="{00000000-0005-0000-0000-00001D8F0000}"/>
    <cellStyle name="常规 2 5 7 2 2 2 2 3" xfId="36638" xr:uid="{00000000-0005-0000-0000-00001E8F0000}"/>
    <cellStyle name="常规 2 5 7 2 2 2 2 4" xfId="36639" xr:uid="{00000000-0005-0000-0000-00001F8F0000}"/>
    <cellStyle name="常规 2 5 7 2 2 2 3" xfId="36640" xr:uid="{00000000-0005-0000-0000-0000208F0000}"/>
    <cellStyle name="常规 2 5 7 2 2 2 4" xfId="36641" xr:uid="{00000000-0005-0000-0000-0000218F0000}"/>
    <cellStyle name="常规 2 5 7 2 2 2 5" xfId="36642" xr:uid="{00000000-0005-0000-0000-0000228F0000}"/>
    <cellStyle name="常规 2 5 7 2 2 3" xfId="36643" xr:uid="{00000000-0005-0000-0000-0000238F0000}"/>
    <cellStyle name="常规 2 5 7 2 2 3 2" xfId="36644" xr:uid="{00000000-0005-0000-0000-0000248F0000}"/>
    <cellStyle name="常规 2 5 7 2 2 3 2 2" xfId="36645" xr:uid="{00000000-0005-0000-0000-0000258F0000}"/>
    <cellStyle name="常规 2 5 7 2 2 3 2 3" xfId="36646" xr:uid="{00000000-0005-0000-0000-0000268F0000}"/>
    <cellStyle name="常规 2 5 7 2 2 3 2 4" xfId="36647" xr:uid="{00000000-0005-0000-0000-0000278F0000}"/>
    <cellStyle name="常规 2 5 7 2 2 3 3" xfId="36648" xr:uid="{00000000-0005-0000-0000-0000288F0000}"/>
    <cellStyle name="常规 2 5 7 2 2 3 4" xfId="36649" xr:uid="{00000000-0005-0000-0000-0000298F0000}"/>
    <cellStyle name="常规 2 5 7 2 2 3 5" xfId="36650" xr:uid="{00000000-0005-0000-0000-00002A8F0000}"/>
    <cellStyle name="常规 2 5 7 2 2 4" xfId="36651" xr:uid="{00000000-0005-0000-0000-00002B8F0000}"/>
    <cellStyle name="常规 2 5 7 2 2 4 2" xfId="36652" xr:uid="{00000000-0005-0000-0000-00002C8F0000}"/>
    <cellStyle name="常规 2 5 7 2 2 4 3" xfId="36653" xr:uid="{00000000-0005-0000-0000-00002D8F0000}"/>
    <cellStyle name="常规 2 5 7 2 2 4 4" xfId="36654" xr:uid="{00000000-0005-0000-0000-00002E8F0000}"/>
    <cellStyle name="常规 2 5 7 2 2 5" xfId="36655" xr:uid="{00000000-0005-0000-0000-00002F8F0000}"/>
    <cellStyle name="常规 2 5 7 2 2 6" xfId="36656" xr:uid="{00000000-0005-0000-0000-0000308F0000}"/>
    <cellStyle name="常规 2 5 7 2 2 7" xfId="36657" xr:uid="{00000000-0005-0000-0000-0000318F0000}"/>
    <cellStyle name="常规 2 5 7 2 3" xfId="36658" xr:uid="{00000000-0005-0000-0000-0000328F0000}"/>
    <cellStyle name="常规 2 5 7 2 3 2" xfId="36659" xr:uid="{00000000-0005-0000-0000-0000338F0000}"/>
    <cellStyle name="常规 2 5 7 2 3 2 2" xfId="36660" xr:uid="{00000000-0005-0000-0000-0000348F0000}"/>
    <cellStyle name="常规 2 5 7 2 3 2 3" xfId="36661" xr:uid="{00000000-0005-0000-0000-0000358F0000}"/>
    <cellStyle name="常规 2 5 7 2 3 2 4" xfId="36662" xr:uid="{00000000-0005-0000-0000-0000368F0000}"/>
    <cellStyle name="常规 2 5 7 2 3 3" xfId="36663" xr:uid="{00000000-0005-0000-0000-0000378F0000}"/>
    <cellStyle name="常规 2 5 7 2 3 4" xfId="36664" xr:uid="{00000000-0005-0000-0000-0000388F0000}"/>
    <cellStyle name="常规 2 5 7 2 3 5" xfId="36665" xr:uid="{00000000-0005-0000-0000-0000398F0000}"/>
    <cellStyle name="常规 2 5 7 2 4" xfId="36666" xr:uid="{00000000-0005-0000-0000-00003A8F0000}"/>
    <cellStyle name="常规 2 5 7 2 4 2" xfId="36667" xr:uid="{00000000-0005-0000-0000-00003B8F0000}"/>
    <cellStyle name="常规 2 5 7 2 4 2 2" xfId="36668" xr:uid="{00000000-0005-0000-0000-00003C8F0000}"/>
    <cellStyle name="常规 2 5 7 2 4 2 3" xfId="36669" xr:uid="{00000000-0005-0000-0000-00003D8F0000}"/>
    <cellStyle name="常规 2 5 7 2 4 2 4" xfId="36670" xr:uid="{00000000-0005-0000-0000-00003E8F0000}"/>
    <cellStyle name="常规 2 5 7 2 4 3" xfId="36671" xr:uid="{00000000-0005-0000-0000-00003F8F0000}"/>
    <cellStyle name="常规 2 5 7 2 4 4" xfId="36672" xr:uid="{00000000-0005-0000-0000-0000408F0000}"/>
    <cellStyle name="常规 2 5 7 2 4 5" xfId="36673" xr:uid="{00000000-0005-0000-0000-0000418F0000}"/>
    <cellStyle name="常规 2 5 7 2 5" xfId="36674" xr:uid="{00000000-0005-0000-0000-0000428F0000}"/>
    <cellStyle name="常规 2 5 7 2 5 2" xfId="36675" xr:uid="{00000000-0005-0000-0000-0000438F0000}"/>
    <cellStyle name="常规 2 5 7 2 5 3" xfId="36676" xr:uid="{00000000-0005-0000-0000-0000448F0000}"/>
    <cellStyle name="常规 2 5 7 2 5 4" xfId="36677" xr:uid="{00000000-0005-0000-0000-0000458F0000}"/>
    <cellStyle name="常规 2 5 7 2 6" xfId="36678" xr:uid="{00000000-0005-0000-0000-0000468F0000}"/>
    <cellStyle name="常规 2 5 7 2 7" xfId="36679" xr:uid="{00000000-0005-0000-0000-0000478F0000}"/>
    <cellStyle name="常规 2 5 7 2 8" xfId="36680" xr:uid="{00000000-0005-0000-0000-0000488F0000}"/>
    <cellStyle name="常规 2 5 7 3" xfId="36681" xr:uid="{00000000-0005-0000-0000-0000498F0000}"/>
    <cellStyle name="常规 2 5 7 3 2" xfId="36682" xr:uid="{00000000-0005-0000-0000-00004A8F0000}"/>
    <cellStyle name="常规 2 5 7 3 2 2" xfId="36683" xr:uid="{00000000-0005-0000-0000-00004B8F0000}"/>
    <cellStyle name="常规 2 5 7 3 2 3" xfId="36684" xr:uid="{00000000-0005-0000-0000-00004C8F0000}"/>
    <cellStyle name="常规 2 5 7 3 2 4" xfId="36685" xr:uid="{00000000-0005-0000-0000-00004D8F0000}"/>
    <cellStyle name="常规 2 5 7 3 3" xfId="36686" xr:uid="{00000000-0005-0000-0000-00004E8F0000}"/>
    <cellStyle name="常规 2 5 7 3 4" xfId="36687" xr:uid="{00000000-0005-0000-0000-00004F8F0000}"/>
    <cellStyle name="常规 2 5 7 3 5" xfId="36688" xr:uid="{00000000-0005-0000-0000-0000508F0000}"/>
    <cellStyle name="常规 2 5 7 4" xfId="36689" xr:uid="{00000000-0005-0000-0000-0000518F0000}"/>
    <cellStyle name="常规 2 5 7 4 2" xfId="36690" xr:uid="{00000000-0005-0000-0000-0000528F0000}"/>
    <cellStyle name="常规 2 5 7 4 2 2" xfId="36691" xr:uid="{00000000-0005-0000-0000-0000538F0000}"/>
    <cellStyle name="常规 2 5 7 4 2 3" xfId="36692" xr:uid="{00000000-0005-0000-0000-0000548F0000}"/>
    <cellStyle name="常规 2 5 7 4 2 4" xfId="36693" xr:uid="{00000000-0005-0000-0000-0000558F0000}"/>
    <cellStyle name="常规 2 5 7 4 3" xfId="36694" xr:uid="{00000000-0005-0000-0000-0000568F0000}"/>
    <cellStyle name="常规 2 5 7 4 4" xfId="36695" xr:uid="{00000000-0005-0000-0000-0000578F0000}"/>
    <cellStyle name="常规 2 5 7 4 5" xfId="36696" xr:uid="{00000000-0005-0000-0000-0000588F0000}"/>
    <cellStyle name="常规 2 5 7 5" xfId="36697" xr:uid="{00000000-0005-0000-0000-0000598F0000}"/>
    <cellStyle name="常规 2 5 7 5 2" xfId="36698" xr:uid="{00000000-0005-0000-0000-00005A8F0000}"/>
    <cellStyle name="常规 2 5 7 5 3" xfId="36699" xr:uid="{00000000-0005-0000-0000-00005B8F0000}"/>
    <cellStyle name="常规 2 5 7 5 4" xfId="36700" xr:uid="{00000000-0005-0000-0000-00005C8F0000}"/>
    <cellStyle name="常规 2 5 7 6" xfId="36701" xr:uid="{00000000-0005-0000-0000-00005D8F0000}"/>
    <cellStyle name="常规 2 5 7 7" xfId="36702" xr:uid="{00000000-0005-0000-0000-00005E8F0000}"/>
    <cellStyle name="常规 2 5 7 8" xfId="36703" xr:uid="{00000000-0005-0000-0000-00005F8F0000}"/>
    <cellStyle name="常规 2 5 7 9" xfId="36704" xr:uid="{00000000-0005-0000-0000-0000608F0000}"/>
    <cellStyle name="常规 2 5 7 9 2" xfId="36705" xr:uid="{00000000-0005-0000-0000-0000618F0000}"/>
    <cellStyle name="常规 2 5 8" xfId="36706" xr:uid="{00000000-0005-0000-0000-0000628F0000}"/>
    <cellStyle name="常规 2 5 8 2" xfId="36707" xr:uid="{00000000-0005-0000-0000-0000638F0000}"/>
    <cellStyle name="常规 2 5 8 2 2" xfId="36708" xr:uid="{00000000-0005-0000-0000-0000648F0000}"/>
    <cellStyle name="常规 2 5 8 2 2 2" xfId="36709" xr:uid="{00000000-0005-0000-0000-0000658F0000}"/>
    <cellStyle name="常规 2 5 8 2 2 2 2" xfId="36710" xr:uid="{00000000-0005-0000-0000-0000668F0000}"/>
    <cellStyle name="常规 2 5 8 2 2 2 2 2" xfId="36711" xr:uid="{00000000-0005-0000-0000-0000678F0000}"/>
    <cellStyle name="常规 2 5 8 2 2 2 2 3" xfId="36712" xr:uid="{00000000-0005-0000-0000-0000688F0000}"/>
    <cellStyle name="常规 2 5 8 2 2 2 2 4" xfId="36713" xr:uid="{00000000-0005-0000-0000-0000698F0000}"/>
    <cellStyle name="常规 2 5 8 2 2 2 3" xfId="36714" xr:uid="{00000000-0005-0000-0000-00006A8F0000}"/>
    <cellStyle name="常规 2 5 8 2 2 2 4" xfId="36715" xr:uid="{00000000-0005-0000-0000-00006B8F0000}"/>
    <cellStyle name="常规 2 5 8 2 2 2 5" xfId="36716" xr:uid="{00000000-0005-0000-0000-00006C8F0000}"/>
    <cellStyle name="常规 2 5 8 2 2 3" xfId="36717" xr:uid="{00000000-0005-0000-0000-00006D8F0000}"/>
    <cellStyle name="常规 2 5 8 2 2 3 2" xfId="36718" xr:uid="{00000000-0005-0000-0000-00006E8F0000}"/>
    <cellStyle name="常规 2 5 8 2 2 3 2 2" xfId="36719" xr:uid="{00000000-0005-0000-0000-00006F8F0000}"/>
    <cellStyle name="常规 2 5 8 2 2 3 2 3" xfId="36720" xr:uid="{00000000-0005-0000-0000-0000708F0000}"/>
    <cellStyle name="常规 2 5 8 2 2 3 2 4" xfId="36721" xr:uid="{00000000-0005-0000-0000-0000718F0000}"/>
    <cellStyle name="常规 2 5 8 2 2 3 3" xfId="36722" xr:uid="{00000000-0005-0000-0000-0000728F0000}"/>
    <cellStyle name="常规 2 5 8 2 2 3 4" xfId="36723" xr:uid="{00000000-0005-0000-0000-0000738F0000}"/>
    <cellStyle name="常规 2 5 8 2 2 3 5" xfId="36724" xr:uid="{00000000-0005-0000-0000-0000748F0000}"/>
    <cellStyle name="常规 2 5 8 2 2 4" xfId="36725" xr:uid="{00000000-0005-0000-0000-0000758F0000}"/>
    <cellStyle name="常规 2 5 8 2 2 4 2" xfId="36726" xr:uid="{00000000-0005-0000-0000-0000768F0000}"/>
    <cellStyle name="常规 2 5 8 2 2 4 3" xfId="36727" xr:uid="{00000000-0005-0000-0000-0000778F0000}"/>
    <cellStyle name="常规 2 5 8 2 2 4 4" xfId="36728" xr:uid="{00000000-0005-0000-0000-0000788F0000}"/>
    <cellStyle name="常规 2 5 8 2 2 5" xfId="36729" xr:uid="{00000000-0005-0000-0000-0000798F0000}"/>
    <cellStyle name="常规 2 5 8 2 2 6" xfId="36730" xr:uid="{00000000-0005-0000-0000-00007A8F0000}"/>
    <cellStyle name="常规 2 5 8 2 2 7" xfId="36731" xr:uid="{00000000-0005-0000-0000-00007B8F0000}"/>
    <cellStyle name="常规 2 5 8 2 3" xfId="36732" xr:uid="{00000000-0005-0000-0000-00007C8F0000}"/>
    <cellStyle name="常规 2 5 8 2 3 2" xfId="36733" xr:uid="{00000000-0005-0000-0000-00007D8F0000}"/>
    <cellStyle name="常规 2 5 8 2 3 2 2" xfId="36734" xr:uid="{00000000-0005-0000-0000-00007E8F0000}"/>
    <cellStyle name="常规 2 5 8 2 3 2 3" xfId="36735" xr:uid="{00000000-0005-0000-0000-00007F8F0000}"/>
    <cellStyle name="常规 2 5 8 2 3 2 4" xfId="36736" xr:uid="{00000000-0005-0000-0000-0000808F0000}"/>
    <cellStyle name="常规 2 5 8 2 3 3" xfId="36737" xr:uid="{00000000-0005-0000-0000-0000818F0000}"/>
    <cellStyle name="常规 2 5 8 2 3 4" xfId="36738" xr:uid="{00000000-0005-0000-0000-0000828F0000}"/>
    <cellStyle name="常规 2 5 8 2 3 5" xfId="36739" xr:uid="{00000000-0005-0000-0000-0000838F0000}"/>
    <cellStyle name="常规 2 5 8 2 4" xfId="36740" xr:uid="{00000000-0005-0000-0000-0000848F0000}"/>
    <cellStyle name="常规 2 5 8 2 4 2" xfId="36741" xr:uid="{00000000-0005-0000-0000-0000858F0000}"/>
    <cellStyle name="常规 2 5 8 2 4 2 2" xfId="36742" xr:uid="{00000000-0005-0000-0000-0000868F0000}"/>
    <cellStyle name="常规 2 5 8 2 4 2 3" xfId="36743" xr:uid="{00000000-0005-0000-0000-0000878F0000}"/>
    <cellStyle name="常规 2 5 8 2 4 2 4" xfId="36744" xr:uid="{00000000-0005-0000-0000-0000888F0000}"/>
    <cellStyle name="常规 2 5 8 2 4 3" xfId="36745" xr:uid="{00000000-0005-0000-0000-0000898F0000}"/>
    <cellStyle name="常规 2 5 8 2 4 4" xfId="36746" xr:uid="{00000000-0005-0000-0000-00008A8F0000}"/>
    <cellStyle name="常规 2 5 8 2 4 5" xfId="36747" xr:uid="{00000000-0005-0000-0000-00008B8F0000}"/>
    <cellStyle name="常规 2 5 8 2 5" xfId="36748" xr:uid="{00000000-0005-0000-0000-00008C8F0000}"/>
    <cellStyle name="常规 2 5 8 2 5 2" xfId="36749" xr:uid="{00000000-0005-0000-0000-00008D8F0000}"/>
    <cellStyle name="常规 2 5 8 2 5 3" xfId="36750" xr:uid="{00000000-0005-0000-0000-00008E8F0000}"/>
    <cellStyle name="常规 2 5 8 2 5 4" xfId="36751" xr:uid="{00000000-0005-0000-0000-00008F8F0000}"/>
    <cellStyle name="常规 2 5 8 2 6" xfId="36752" xr:uid="{00000000-0005-0000-0000-0000908F0000}"/>
    <cellStyle name="常规 2 5 8 2 7" xfId="36753" xr:uid="{00000000-0005-0000-0000-0000918F0000}"/>
    <cellStyle name="常规 2 5 8 2 8" xfId="36754" xr:uid="{00000000-0005-0000-0000-0000928F0000}"/>
    <cellStyle name="常规 2 5 8 3" xfId="36755" xr:uid="{00000000-0005-0000-0000-0000938F0000}"/>
    <cellStyle name="常规 2 5 8 3 2" xfId="36756" xr:uid="{00000000-0005-0000-0000-0000948F0000}"/>
    <cellStyle name="常规 2 5 8 3 2 2" xfId="36757" xr:uid="{00000000-0005-0000-0000-0000958F0000}"/>
    <cellStyle name="常规 2 5 8 3 2 3" xfId="36758" xr:uid="{00000000-0005-0000-0000-0000968F0000}"/>
    <cellStyle name="常规 2 5 8 3 2 4" xfId="36759" xr:uid="{00000000-0005-0000-0000-0000978F0000}"/>
    <cellStyle name="常规 2 5 8 3 3" xfId="36760" xr:uid="{00000000-0005-0000-0000-0000988F0000}"/>
    <cellStyle name="常规 2 5 8 3 4" xfId="36761" xr:uid="{00000000-0005-0000-0000-0000998F0000}"/>
    <cellStyle name="常规 2 5 8 3 5" xfId="36762" xr:uid="{00000000-0005-0000-0000-00009A8F0000}"/>
    <cellStyle name="常规 2 5 8 4" xfId="36763" xr:uid="{00000000-0005-0000-0000-00009B8F0000}"/>
    <cellStyle name="常规 2 5 8 4 2" xfId="36764" xr:uid="{00000000-0005-0000-0000-00009C8F0000}"/>
    <cellStyle name="常规 2 5 8 4 2 2" xfId="36765" xr:uid="{00000000-0005-0000-0000-00009D8F0000}"/>
    <cellStyle name="常规 2 5 8 4 2 3" xfId="36766" xr:uid="{00000000-0005-0000-0000-00009E8F0000}"/>
    <cellStyle name="常规 2 5 8 4 2 4" xfId="36767" xr:uid="{00000000-0005-0000-0000-00009F8F0000}"/>
    <cellStyle name="常规 2 5 8 4 3" xfId="36768" xr:uid="{00000000-0005-0000-0000-0000A08F0000}"/>
    <cellStyle name="常规 2 5 8 4 4" xfId="36769" xr:uid="{00000000-0005-0000-0000-0000A18F0000}"/>
    <cellStyle name="常规 2 5 8 4 5" xfId="36770" xr:uid="{00000000-0005-0000-0000-0000A28F0000}"/>
    <cellStyle name="常规 2 5 8 5" xfId="36771" xr:uid="{00000000-0005-0000-0000-0000A38F0000}"/>
    <cellStyle name="常规 2 5 8 5 2" xfId="36772" xr:uid="{00000000-0005-0000-0000-0000A48F0000}"/>
    <cellStyle name="常规 2 5 8 5 3" xfId="36773" xr:uid="{00000000-0005-0000-0000-0000A58F0000}"/>
    <cellStyle name="常规 2 5 8 5 4" xfId="36774" xr:uid="{00000000-0005-0000-0000-0000A68F0000}"/>
    <cellStyle name="常规 2 5 8 6" xfId="36775" xr:uid="{00000000-0005-0000-0000-0000A78F0000}"/>
    <cellStyle name="常规 2 5 8 7" xfId="36776" xr:uid="{00000000-0005-0000-0000-0000A88F0000}"/>
    <cellStyle name="常规 2 5 8 8" xfId="36777" xr:uid="{00000000-0005-0000-0000-0000A98F0000}"/>
    <cellStyle name="常规 2 5 8 9" xfId="36778" xr:uid="{00000000-0005-0000-0000-0000AA8F0000}"/>
    <cellStyle name="常规 2 5 8 9 2" xfId="36779" xr:uid="{00000000-0005-0000-0000-0000AB8F0000}"/>
    <cellStyle name="常规 2 5 9" xfId="36780" xr:uid="{00000000-0005-0000-0000-0000AC8F0000}"/>
    <cellStyle name="常规 2 5 9 2" xfId="36781" xr:uid="{00000000-0005-0000-0000-0000AD8F0000}"/>
    <cellStyle name="常规 2 5 9 2 2" xfId="36782" xr:uid="{00000000-0005-0000-0000-0000AE8F0000}"/>
    <cellStyle name="常规 2 5 9 2 2 2" xfId="36783" xr:uid="{00000000-0005-0000-0000-0000AF8F0000}"/>
    <cellStyle name="常规 2 5 9 2 2 2 2" xfId="36784" xr:uid="{00000000-0005-0000-0000-0000B08F0000}"/>
    <cellStyle name="常规 2 5 9 2 2 2 3" xfId="36785" xr:uid="{00000000-0005-0000-0000-0000B18F0000}"/>
    <cellStyle name="常规 2 5 9 2 2 2 4" xfId="36786" xr:uid="{00000000-0005-0000-0000-0000B28F0000}"/>
    <cellStyle name="常规 2 5 9 2 2 3" xfId="36787" xr:uid="{00000000-0005-0000-0000-0000B38F0000}"/>
    <cellStyle name="常规 2 5 9 2 2 4" xfId="36788" xr:uid="{00000000-0005-0000-0000-0000B48F0000}"/>
    <cellStyle name="常规 2 5 9 2 2 5" xfId="36789" xr:uid="{00000000-0005-0000-0000-0000B58F0000}"/>
    <cellStyle name="常规 2 5 9 2 3" xfId="36790" xr:uid="{00000000-0005-0000-0000-0000B68F0000}"/>
    <cellStyle name="常规 2 5 9 2 3 2" xfId="36791" xr:uid="{00000000-0005-0000-0000-0000B78F0000}"/>
    <cellStyle name="常规 2 5 9 2 3 2 2" xfId="36792" xr:uid="{00000000-0005-0000-0000-0000B88F0000}"/>
    <cellStyle name="常规 2 5 9 2 3 2 3" xfId="36793" xr:uid="{00000000-0005-0000-0000-0000B98F0000}"/>
    <cellStyle name="常规 2 5 9 2 3 2 4" xfId="36794" xr:uid="{00000000-0005-0000-0000-0000BA8F0000}"/>
    <cellStyle name="常规 2 5 9 2 3 3" xfId="36795" xr:uid="{00000000-0005-0000-0000-0000BB8F0000}"/>
    <cellStyle name="常规 2 5 9 2 3 4" xfId="36796" xr:uid="{00000000-0005-0000-0000-0000BC8F0000}"/>
    <cellStyle name="常规 2 5 9 2 3 5" xfId="36797" xr:uid="{00000000-0005-0000-0000-0000BD8F0000}"/>
    <cellStyle name="常规 2 5 9 2 4" xfId="36798" xr:uid="{00000000-0005-0000-0000-0000BE8F0000}"/>
    <cellStyle name="常规 2 5 9 2 4 2" xfId="36799" xr:uid="{00000000-0005-0000-0000-0000BF8F0000}"/>
    <cellStyle name="常规 2 5 9 2 4 3" xfId="36800" xr:uid="{00000000-0005-0000-0000-0000C08F0000}"/>
    <cellStyle name="常规 2 5 9 2 4 4" xfId="36801" xr:uid="{00000000-0005-0000-0000-0000C18F0000}"/>
    <cellStyle name="常规 2 5 9 2 5" xfId="36802" xr:uid="{00000000-0005-0000-0000-0000C28F0000}"/>
    <cellStyle name="常规 2 5 9 2 6" xfId="36803" xr:uid="{00000000-0005-0000-0000-0000C38F0000}"/>
    <cellStyle name="常规 2 5 9 2 7" xfId="36804" xr:uid="{00000000-0005-0000-0000-0000C48F0000}"/>
    <cellStyle name="常规 2 5 9 3" xfId="36805" xr:uid="{00000000-0005-0000-0000-0000C58F0000}"/>
    <cellStyle name="常规 2 5 9 3 2" xfId="36806" xr:uid="{00000000-0005-0000-0000-0000C68F0000}"/>
    <cellStyle name="常规 2 5 9 3 2 2" xfId="36807" xr:uid="{00000000-0005-0000-0000-0000C78F0000}"/>
    <cellStyle name="常规 2 5 9 3 2 3" xfId="36808" xr:uid="{00000000-0005-0000-0000-0000C88F0000}"/>
    <cellStyle name="常规 2 5 9 3 2 4" xfId="36809" xr:uid="{00000000-0005-0000-0000-0000C98F0000}"/>
    <cellStyle name="常规 2 5 9 3 3" xfId="36810" xr:uid="{00000000-0005-0000-0000-0000CA8F0000}"/>
    <cellStyle name="常规 2 5 9 3 4" xfId="36811" xr:uid="{00000000-0005-0000-0000-0000CB8F0000}"/>
    <cellStyle name="常规 2 5 9 3 5" xfId="36812" xr:uid="{00000000-0005-0000-0000-0000CC8F0000}"/>
    <cellStyle name="常规 2 5 9 4" xfId="36813" xr:uid="{00000000-0005-0000-0000-0000CD8F0000}"/>
    <cellStyle name="常规 2 5 9 4 2" xfId="36814" xr:uid="{00000000-0005-0000-0000-0000CE8F0000}"/>
    <cellStyle name="常规 2 5 9 4 2 2" xfId="36815" xr:uid="{00000000-0005-0000-0000-0000CF8F0000}"/>
    <cellStyle name="常规 2 5 9 4 2 3" xfId="36816" xr:uid="{00000000-0005-0000-0000-0000D08F0000}"/>
    <cellStyle name="常规 2 5 9 4 2 4" xfId="36817" xr:uid="{00000000-0005-0000-0000-0000D18F0000}"/>
    <cellStyle name="常规 2 5 9 4 3" xfId="36818" xr:uid="{00000000-0005-0000-0000-0000D28F0000}"/>
    <cellStyle name="常规 2 5 9 4 4" xfId="36819" xr:uid="{00000000-0005-0000-0000-0000D38F0000}"/>
    <cellStyle name="常规 2 5 9 4 5" xfId="36820" xr:uid="{00000000-0005-0000-0000-0000D48F0000}"/>
    <cellStyle name="常规 2 5 9 5" xfId="36821" xr:uid="{00000000-0005-0000-0000-0000D58F0000}"/>
    <cellStyle name="常规 2 5 9 5 2" xfId="36822" xr:uid="{00000000-0005-0000-0000-0000D68F0000}"/>
    <cellStyle name="常规 2 5 9 5 3" xfId="36823" xr:uid="{00000000-0005-0000-0000-0000D78F0000}"/>
    <cellStyle name="常规 2 5 9 5 4" xfId="36824" xr:uid="{00000000-0005-0000-0000-0000D88F0000}"/>
    <cellStyle name="常规 2 5 9 6" xfId="36825" xr:uid="{00000000-0005-0000-0000-0000D98F0000}"/>
    <cellStyle name="常规 2 5 9 7" xfId="36826" xr:uid="{00000000-0005-0000-0000-0000DA8F0000}"/>
    <cellStyle name="常规 2 5 9 8" xfId="36827" xr:uid="{00000000-0005-0000-0000-0000DB8F0000}"/>
    <cellStyle name="常规 2 5 9 9" xfId="36828" xr:uid="{00000000-0005-0000-0000-0000DC8F0000}"/>
    <cellStyle name="常规 2 5 9 9 2" xfId="36829" xr:uid="{00000000-0005-0000-0000-0000DD8F0000}"/>
    <cellStyle name="常规 2 6" xfId="36830" xr:uid="{00000000-0005-0000-0000-0000DE8F0000}"/>
    <cellStyle name="常规 2 6 10" xfId="36831" xr:uid="{00000000-0005-0000-0000-0000DF8F0000}"/>
    <cellStyle name="常规 2 6 10 2" xfId="36832" xr:uid="{00000000-0005-0000-0000-0000E08F0000}"/>
    <cellStyle name="常规 2 6 10 2 2" xfId="36833" xr:uid="{00000000-0005-0000-0000-0000E18F0000}"/>
    <cellStyle name="常规 2 6 10 3" xfId="36834" xr:uid="{00000000-0005-0000-0000-0000E28F0000}"/>
    <cellStyle name="常规 2 6 10 4" xfId="36835" xr:uid="{00000000-0005-0000-0000-0000E38F0000}"/>
    <cellStyle name="常规 2 6 10 5" xfId="36836" xr:uid="{00000000-0005-0000-0000-0000E48F0000}"/>
    <cellStyle name="常规 2 6 11" xfId="36837" xr:uid="{00000000-0005-0000-0000-0000E58F0000}"/>
    <cellStyle name="常规 2 6 12" xfId="36838" xr:uid="{00000000-0005-0000-0000-0000E68F0000}"/>
    <cellStyle name="常规 2 6 13" xfId="36839" xr:uid="{00000000-0005-0000-0000-0000E78F0000}"/>
    <cellStyle name="常规 2 6 14" xfId="36840" xr:uid="{00000000-0005-0000-0000-0000E88F0000}"/>
    <cellStyle name="常规 2 6 14 2" xfId="36841" xr:uid="{00000000-0005-0000-0000-0000E98F0000}"/>
    <cellStyle name="常规 2 6 15" xfId="36842" xr:uid="{00000000-0005-0000-0000-0000EA8F0000}"/>
    <cellStyle name="常规 2 6 2" xfId="36843" xr:uid="{00000000-0005-0000-0000-0000EB8F0000}"/>
    <cellStyle name="常规 2 6 2 10" xfId="36844" xr:uid="{00000000-0005-0000-0000-0000EC8F0000}"/>
    <cellStyle name="常规 2 6 2 10 2" xfId="36845" xr:uid="{00000000-0005-0000-0000-0000ED8F0000}"/>
    <cellStyle name="常规 2 6 2 2" xfId="36846" xr:uid="{00000000-0005-0000-0000-0000EE8F0000}"/>
    <cellStyle name="常规 2 6 2 2 10" xfId="36847" xr:uid="{00000000-0005-0000-0000-0000EF8F0000}"/>
    <cellStyle name="常规 2 6 2 2 2" xfId="36848" xr:uid="{00000000-0005-0000-0000-0000F08F0000}"/>
    <cellStyle name="常规 2 6 2 2 2 2" xfId="36849" xr:uid="{00000000-0005-0000-0000-0000F18F0000}"/>
    <cellStyle name="常规 2 6 2 2 2 2 2" xfId="36850" xr:uid="{00000000-0005-0000-0000-0000F28F0000}"/>
    <cellStyle name="常规 2 6 2 2 2 2 2 2" xfId="36851" xr:uid="{00000000-0005-0000-0000-0000F38F0000}"/>
    <cellStyle name="常规 2 6 2 2 2 2 2 3" xfId="36852" xr:uid="{00000000-0005-0000-0000-0000F48F0000}"/>
    <cellStyle name="常规 2 6 2 2 2 2 2 4" xfId="36853" xr:uid="{00000000-0005-0000-0000-0000F58F0000}"/>
    <cellStyle name="常规 2 6 2 2 2 2 2 5" xfId="36854" xr:uid="{00000000-0005-0000-0000-0000F68F0000}"/>
    <cellStyle name="常规 2 6 2 2 2 2 2 5 2" xfId="36855" xr:uid="{00000000-0005-0000-0000-0000F78F0000}"/>
    <cellStyle name="常规 2 6 2 2 2 2 3" xfId="36856" xr:uid="{00000000-0005-0000-0000-0000F88F0000}"/>
    <cellStyle name="常规 2 6 2 2 2 2 3 2" xfId="36857" xr:uid="{00000000-0005-0000-0000-0000F98F0000}"/>
    <cellStyle name="常规 2 6 2 2 2 2 3 2 2" xfId="36858" xr:uid="{00000000-0005-0000-0000-0000FA8F0000}"/>
    <cellStyle name="常规 2 6 2 2 2 2 4" xfId="36859" xr:uid="{00000000-0005-0000-0000-0000FB8F0000}"/>
    <cellStyle name="常规 2 6 2 2 2 2 4 2" xfId="36860" xr:uid="{00000000-0005-0000-0000-0000FC8F0000}"/>
    <cellStyle name="常规 2 6 2 2 2 2 4 2 2" xfId="36861" xr:uid="{00000000-0005-0000-0000-0000FD8F0000}"/>
    <cellStyle name="常规 2 6 2 2 2 2 5" xfId="36862" xr:uid="{00000000-0005-0000-0000-0000FE8F0000}"/>
    <cellStyle name="常规 2 6 2 2 2 2 5 2" xfId="36863" xr:uid="{00000000-0005-0000-0000-0000FF8F0000}"/>
    <cellStyle name="常规 2 6 2 2 2 2 5 3" xfId="36864" xr:uid="{00000000-0005-0000-0000-000000900000}"/>
    <cellStyle name="常规 2 6 2 2 2 2 6" xfId="36865" xr:uid="{00000000-0005-0000-0000-000001900000}"/>
    <cellStyle name="常规 2 6 2 2 2 2 6 2" xfId="36866" xr:uid="{00000000-0005-0000-0000-000002900000}"/>
    <cellStyle name="常规 2 6 2 2 2 2 7" xfId="36867" xr:uid="{00000000-0005-0000-0000-000003900000}"/>
    <cellStyle name="常规 2 6 2 2 2 3" xfId="36868" xr:uid="{00000000-0005-0000-0000-000004900000}"/>
    <cellStyle name="常规 2 6 2 2 2 3 2" xfId="36869" xr:uid="{00000000-0005-0000-0000-000005900000}"/>
    <cellStyle name="常规 2 6 2 2 2 3 2 2" xfId="36870" xr:uid="{00000000-0005-0000-0000-000006900000}"/>
    <cellStyle name="常规 2 6 2 2 2 3 2 2 2" xfId="36871" xr:uid="{00000000-0005-0000-0000-000007900000}"/>
    <cellStyle name="常规 2 6 2 2 2 3 2 3" xfId="36872" xr:uid="{00000000-0005-0000-0000-000008900000}"/>
    <cellStyle name="常规 2 6 2 2 2 3 2 4" xfId="36873" xr:uid="{00000000-0005-0000-0000-000009900000}"/>
    <cellStyle name="常规 2 6 2 2 2 3 2 5" xfId="36874" xr:uid="{00000000-0005-0000-0000-00000A900000}"/>
    <cellStyle name="常规 2 6 2 2 2 3 2 5 2" xfId="36875" xr:uid="{00000000-0005-0000-0000-00000B900000}"/>
    <cellStyle name="常规 2 6 2 2 2 3 2 6" xfId="36876" xr:uid="{00000000-0005-0000-0000-00000C900000}"/>
    <cellStyle name="常规 2 6 2 2 2 3 3" xfId="36877" xr:uid="{00000000-0005-0000-0000-00000D900000}"/>
    <cellStyle name="常规 2 6 2 2 2 3 3 2" xfId="36878" xr:uid="{00000000-0005-0000-0000-00000E900000}"/>
    <cellStyle name="常规 2 6 2 2 2 3 3 2 2" xfId="36879" xr:uid="{00000000-0005-0000-0000-00000F900000}"/>
    <cellStyle name="常规 2 6 2 2 2 3 4" xfId="36880" xr:uid="{00000000-0005-0000-0000-000010900000}"/>
    <cellStyle name="常规 2 6 2 2 2 3 4 2" xfId="36881" xr:uid="{00000000-0005-0000-0000-000011900000}"/>
    <cellStyle name="常规 2 6 2 2 2 3 4 3" xfId="36882" xr:uid="{00000000-0005-0000-0000-000012900000}"/>
    <cellStyle name="常规 2 6 2 2 2 3 5" xfId="36883" xr:uid="{00000000-0005-0000-0000-000013900000}"/>
    <cellStyle name="常规 2 6 2 2 2 3 5 2" xfId="36884" xr:uid="{00000000-0005-0000-0000-000014900000}"/>
    <cellStyle name="常规 2 6 2 2 2 3 6" xfId="36885" xr:uid="{00000000-0005-0000-0000-000015900000}"/>
    <cellStyle name="常规 2 6 2 2 2 3 6 2" xfId="36886" xr:uid="{00000000-0005-0000-0000-000016900000}"/>
    <cellStyle name="常规 2 6 2 2 2 3 7" xfId="36887" xr:uid="{00000000-0005-0000-0000-000017900000}"/>
    <cellStyle name="常规 2 6 2 2 2 4" xfId="36888" xr:uid="{00000000-0005-0000-0000-000018900000}"/>
    <cellStyle name="常规 2 6 2 2 2 4 2" xfId="36889" xr:uid="{00000000-0005-0000-0000-000019900000}"/>
    <cellStyle name="常规 2 6 2 2 2 4 3" xfId="36890" xr:uid="{00000000-0005-0000-0000-00001A900000}"/>
    <cellStyle name="常规 2 6 2 2 2 4 4" xfId="36891" xr:uid="{00000000-0005-0000-0000-00001B900000}"/>
    <cellStyle name="常规 2 6 2 2 2 4 5" xfId="36892" xr:uid="{00000000-0005-0000-0000-00001C900000}"/>
    <cellStyle name="常规 2 6 2 2 2 4 5 2" xfId="36893" xr:uid="{00000000-0005-0000-0000-00001D900000}"/>
    <cellStyle name="常规 2 6 2 2 2 5" xfId="36894" xr:uid="{00000000-0005-0000-0000-00001E900000}"/>
    <cellStyle name="常规 2 6 2 2 2 5 2" xfId="36895" xr:uid="{00000000-0005-0000-0000-00001F900000}"/>
    <cellStyle name="常规 2 6 2 2 2 5 2 2" xfId="36896" xr:uid="{00000000-0005-0000-0000-000020900000}"/>
    <cellStyle name="常规 2 6 2 2 2 6" xfId="36897" xr:uid="{00000000-0005-0000-0000-000021900000}"/>
    <cellStyle name="常规 2 6 2 2 2 6 2" xfId="36898" xr:uid="{00000000-0005-0000-0000-000022900000}"/>
    <cellStyle name="常规 2 6 2 2 2 6 2 2" xfId="36899" xr:uid="{00000000-0005-0000-0000-000023900000}"/>
    <cellStyle name="常规 2 6 2 2 2 7" xfId="36900" xr:uid="{00000000-0005-0000-0000-000024900000}"/>
    <cellStyle name="常规 2 6 2 2 2 7 2" xfId="36901" xr:uid="{00000000-0005-0000-0000-000025900000}"/>
    <cellStyle name="常规 2 6 2 2 2 7 2 2" xfId="36902" xr:uid="{00000000-0005-0000-0000-000026900000}"/>
    <cellStyle name="常规 2 6 2 2 2 8" xfId="36903" xr:uid="{00000000-0005-0000-0000-000027900000}"/>
    <cellStyle name="常规 2 6 2 2 2 8 2" xfId="36904" xr:uid="{00000000-0005-0000-0000-000028900000}"/>
    <cellStyle name="常规 2 6 2 2 2 8 3" xfId="36905" xr:uid="{00000000-0005-0000-0000-000029900000}"/>
    <cellStyle name="常规 2 6 2 2 2 9" xfId="36906" xr:uid="{00000000-0005-0000-0000-00002A900000}"/>
    <cellStyle name="常规 2 6 2 2 3" xfId="36907" xr:uid="{00000000-0005-0000-0000-00002B900000}"/>
    <cellStyle name="常规 2 6 2 2 3 2" xfId="36908" xr:uid="{00000000-0005-0000-0000-00002C900000}"/>
    <cellStyle name="常规 2 6 2 2 3 2 2" xfId="36909" xr:uid="{00000000-0005-0000-0000-00002D900000}"/>
    <cellStyle name="常规 2 6 2 2 3 2 3" xfId="36910" xr:uid="{00000000-0005-0000-0000-00002E900000}"/>
    <cellStyle name="常规 2 6 2 2 3 2 4" xfId="36911" xr:uid="{00000000-0005-0000-0000-00002F900000}"/>
    <cellStyle name="常规 2 6 2 2 3 2 5" xfId="36912" xr:uid="{00000000-0005-0000-0000-000030900000}"/>
    <cellStyle name="常规 2 6 2 2 3 2 5 2" xfId="36913" xr:uid="{00000000-0005-0000-0000-000031900000}"/>
    <cellStyle name="常规 2 6 2 2 3 3" xfId="36914" xr:uid="{00000000-0005-0000-0000-000032900000}"/>
    <cellStyle name="常规 2 6 2 2 3 3 2" xfId="36915" xr:uid="{00000000-0005-0000-0000-000033900000}"/>
    <cellStyle name="常规 2 6 2 2 3 3 2 2" xfId="36916" xr:uid="{00000000-0005-0000-0000-000034900000}"/>
    <cellStyle name="常规 2 6 2 2 3 4" xfId="36917" xr:uid="{00000000-0005-0000-0000-000035900000}"/>
    <cellStyle name="常规 2 6 2 2 3 4 2" xfId="36918" xr:uid="{00000000-0005-0000-0000-000036900000}"/>
    <cellStyle name="常规 2 6 2 2 3 4 2 2" xfId="36919" xr:uid="{00000000-0005-0000-0000-000037900000}"/>
    <cellStyle name="常规 2 6 2 2 3 5" xfId="36920" xr:uid="{00000000-0005-0000-0000-000038900000}"/>
    <cellStyle name="常规 2 6 2 2 3 5 2" xfId="36921" xr:uid="{00000000-0005-0000-0000-000039900000}"/>
    <cellStyle name="常规 2 6 2 2 3 5 3" xfId="36922" xr:uid="{00000000-0005-0000-0000-00003A900000}"/>
    <cellStyle name="常规 2 6 2 2 3 6" xfId="36923" xr:uid="{00000000-0005-0000-0000-00003B900000}"/>
    <cellStyle name="常规 2 6 2 2 3 6 2" xfId="36924" xr:uid="{00000000-0005-0000-0000-00003C900000}"/>
    <cellStyle name="常规 2 6 2 2 3 7" xfId="36925" xr:uid="{00000000-0005-0000-0000-00003D900000}"/>
    <cellStyle name="常规 2 6 2 2 4" xfId="36926" xr:uid="{00000000-0005-0000-0000-00003E900000}"/>
    <cellStyle name="常规 2 6 2 2 4 2" xfId="36927" xr:uid="{00000000-0005-0000-0000-00003F900000}"/>
    <cellStyle name="常规 2 6 2 2 4 2 2" xfId="36928" xr:uid="{00000000-0005-0000-0000-000040900000}"/>
    <cellStyle name="常规 2 6 2 2 4 2 3" xfId="36929" xr:uid="{00000000-0005-0000-0000-000041900000}"/>
    <cellStyle name="常规 2 6 2 2 4 2 4" xfId="36930" xr:uid="{00000000-0005-0000-0000-000042900000}"/>
    <cellStyle name="常规 2 6 2 2 4 3" xfId="36931" xr:uid="{00000000-0005-0000-0000-000043900000}"/>
    <cellStyle name="常规 2 6 2 2 4 4" xfId="36932" xr:uid="{00000000-0005-0000-0000-000044900000}"/>
    <cellStyle name="常规 2 6 2 2 4 5" xfId="36933" xr:uid="{00000000-0005-0000-0000-000045900000}"/>
    <cellStyle name="常规 2 6 2 2 4 6" xfId="36934" xr:uid="{00000000-0005-0000-0000-000046900000}"/>
    <cellStyle name="常规 2 6 2 2 4 6 2" xfId="36935" xr:uid="{00000000-0005-0000-0000-000047900000}"/>
    <cellStyle name="常规 2 6 2 2 5" xfId="36936" xr:uid="{00000000-0005-0000-0000-000048900000}"/>
    <cellStyle name="常规 2 6 2 2 5 2" xfId="36937" xr:uid="{00000000-0005-0000-0000-000049900000}"/>
    <cellStyle name="常规 2 6 2 2 5 3" xfId="36938" xr:uid="{00000000-0005-0000-0000-00004A900000}"/>
    <cellStyle name="常规 2 6 2 2 5 4" xfId="36939" xr:uid="{00000000-0005-0000-0000-00004B900000}"/>
    <cellStyle name="常规 2 6 2 2 5 5" xfId="36940" xr:uid="{00000000-0005-0000-0000-00004C900000}"/>
    <cellStyle name="常规 2 6 2 2 5 5 2" xfId="36941" xr:uid="{00000000-0005-0000-0000-00004D900000}"/>
    <cellStyle name="常规 2 6 2 2 6" xfId="36942" xr:uid="{00000000-0005-0000-0000-00004E900000}"/>
    <cellStyle name="常规 2 6 2 2 6 2" xfId="36943" xr:uid="{00000000-0005-0000-0000-00004F900000}"/>
    <cellStyle name="常规 2 6 2 2 6 2 2" xfId="36944" xr:uid="{00000000-0005-0000-0000-000050900000}"/>
    <cellStyle name="常规 2 6 2 2 7" xfId="36945" xr:uid="{00000000-0005-0000-0000-000051900000}"/>
    <cellStyle name="常规 2 6 2 2 7 2" xfId="36946" xr:uid="{00000000-0005-0000-0000-000052900000}"/>
    <cellStyle name="常规 2 6 2 2 7 2 2" xfId="36947" xr:uid="{00000000-0005-0000-0000-000053900000}"/>
    <cellStyle name="常规 2 6 2 2 8" xfId="36948" xr:uid="{00000000-0005-0000-0000-000054900000}"/>
    <cellStyle name="常规 2 6 2 2 8 2" xfId="36949" xr:uid="{00000000-0005-0000-0000-000055900000}"/>
    <cellStyle name="常规 2 6 2 2 8 2 2" xfId="36950" xr:uid="{00000000-0005-0000-0000-000056900000}"/>
    <cellStyle name="常规 2 6 2 2 9" xfId="36951" xr:uid="{00000000-0005-0000-0000-000057900000}"/>
    <cellStyle name="常规 2 6 2 2 9 2" xfId="36952" xr:uid="{00000000-0005-0000-0000-000058900000}"/>
    <cellStyle name="常规 2 6 2 2 9 3" xfId="36953" xr:uid="{00000000-0005-0000-0000-000059900000}"/>
    <cellStyle name="常规 2 6 2 3" xfId="36954" xr:uid="{00000000-0005-0000-0000-00005A900000}"/>
    <cellStyle name="常规 2 6 2 3 2" xfId="36955" xr:uid="{00000000-0005-0000-0000-00005B900000}"/>
    <cellStyle name="常规 2 6 2 3 2 2" xfId="36956" xr:uid="{00000000-0005-0000-0000-00005C900000}"/>
    <cellStyle name="常规 2 6 2 3 2 2 2" xfId="36957" xr:uid="{00000000-0005-0000-0000-00005D900000}"/>
    <cellStyle name="常规 2 6 2 3 2 2 2 2" xfId="36958" xr:uid="{00000000-0005-0000-0000-00005E900000}"/>
    <cellStyle name="常规 2 6 2 3 2 3" xfId="36959" xr:uid="{00000000-0005-0000-0000-00005F900000}"/>
    <cellStyle name="常规 2 6 2 3 2 3 2" xfId="36960" xr:uid="{00000000-0005-0000-0000-000060900000}"/>
    <cellStyle name="常规 2 6 2 3 2 3 2 2" xfId="36961" xr:uid="{00000000-0005-0000-0000-000061900000}"/>
    <cellStyle name="常规 2 6 2 3 2 4" xfId="36962" xr:uid="{00000000-0005-0000-0000-000062900000}"/>
    <cellStyle name="常规 2 6 2 3 2 4 2" xfId="36963" xr:uid="{00000000-0005-0000-0000-000063900000}"/>
    <cellStyle name="常规 2 6 2 3 2 4 2 2" xfId="36964" xr:uid="{00000000-0005-0000-0000-000064900000}"/>
    <cellStyle name="常规 2 6 2 3 2 5" xfId="36965" xr:uid="{00000000-0005-0000-0000-000065900000}"/>
    <cellStyle name="常规 2 6 2 3 2 5 2" xfId="36966" xr:uid="{00000000-0005-0000-0000-000066900000}"/>
    <cellStyle name="常规 2 6 2 3 2 5 3" xfId="36967" xr:uid="{00000000-0005-0000-0000-000067900000}"/>
    <cellStyle name="常规 2 6 2 3 2 6" xfId="36968" xr:uid="{00000000-0005-0000-0000-000068900000}"/>
    <cellStyle name="常规 2 6 2 3 3" xfId="36969" xr:uid="{00000000-0005-0000-0000-000069900000}"/>
    <cellStyle name="常规 2 6 2 3 3 2" xfId="36970" xr:uid="{00000000-0005-0000-0000-00006A900000}"/>
    <cellStyle name="常规 2 6 2 3 3 2 2" xfId="36971" xr:uid="{00000000-0005-0000-0000-00006B900000}"/>
    <cellStyle name="常规 2 6 2 3 3 2 2 2" xfId="36972" xr:uid="{00000000-0005-0000-0000-00006C900000}"/>
    <cellStyle name="常规 2 6 2 3 3 3" xfId="36973" xr:uid="{00000000-0005-0000-0000-00006D900000}"/>
    <cellStyle name="常规 2 6 2 3 3 3 2" xfId="36974" xr:uid="{00000000-0005-0000-0000-00006E900000}"/>
    <cellStyle name="常规 2 6 2 3 3 3 2 2" xfId="36975" xr:uid="{00000000-0005-0000-0000-00006F900000}"/>
    <cellStyle name="常规 2 6 2 3 3 4" xfId="36976" xr:uid="{00000000-0005-0000-0000-000070900000}"/>
    <cellStyle name="常规 2 6 2 3 3 4 2" xfId="36977" xr:uid="{00000000-0005-0000-0000-000071900000}"/>
    <cellStyle name="常规 2 6 2 3 3 5" xfId="36978" xr:uid="{00000000-0005-0000-0000-000072900000}"/>
    <cellStyle name="常规 2 6 2 3 4" xfId="36979" xr:uid="{00000000-0005-0000-0000-000073900000}"/>
    <cellStyle name="常规 2 6 2 3 4 2" xfId="36980" xr:uid="{00000000-0005-0000-0000-000074900000}"/>
    <cellStyle name="常规 2 6 2 3 4 2 2" xfId="36981" xr:uid="{00000000-0005-0000-0000-000075900000}"/>
    <cellStyle name="常规 2 6 2 3 5" xfId="36982" xr:uid="{00000000-0005-0000-0000-000076900000}"/>
    <cellStyle name="常规 2 6 2 3 5 2" xfId="36983" xr:uid="{00000000-0005-0000-0000-000077900000}"/>
    <cellStyle name="常规 2 6 2 3 5 2 2" xfId="36984" xr:uid="{00000000-0005-0000-0000-000078900000}"/>
    <cellStyle name="常规 2 6 2 3 6" xfId="36985" xr:uid="{00000000-0005-0000-0000-000079900000}"/>
    <cellStyle name="常规 2 6 2 3 7" xfId="36986" xr:uid="{00000000-0005-0000-0000-00007A900000}"/>
    <cellStyle name="常规 2 6 2 3 7 2" xfId="36987" xr:uid="{00000000-0005-0000-0000-00007B900000}"/>
    <cellStyle name="常规 2 6 2 3 7 3" xfId="36988" xr:uid="{00000000-0005-0000-0000-00007C900000}"/>
    <cellStyle name="常规 2 6 2 3 8" xfId="36989" xr:uid="{00000000-0005-0000-0000-00007D900000}"/>
    <cellStyle name="常规 2 6 2 3 8 2" xfId="36990" xr:uid="{00000000-0005-0000-0000-00007E900000}"/>
    <cellStyle name="常规 2 6 2 4" xfId="36991" xr:uid="{00000000-0005-0000-0000-00007F900000}"/>
    <cellStyle name="常规 2 6 2 4 2" xfId="36992" xr:uid="{00000000-0005-0000-0000-000080900000}"/>
    <cellStyle name="常规 2 6 2 4 2 2" xfId="36993" xr:uid="{00000000-0005-0000-0000-000081900000}"/>
    <cellStyle name="常规 2 6 2 4 2 3" xfId="36994" xr:uid="{00000000-0005-0000-0000-000082900000}"/>
    <cellStyle name="常规 2 6 2 4 2 4" xfId="36995" xr:uid="{00000000-0005-0000-0000-000083900000}"/>
    <cellStyle name="常规 2 6 2 4 2 5" xfId="36996" xr:uid="{00000000-0005-0000-0000-000084900000}"/>
    <cellStyle name="常规 2 6 2 4 2 5 2" xfId="36997" xr:uid="{00000000-0005-0000-0000-000085900000}"/>
    <cellStyle name="常规 2 6 2 4 3" xfId="36998" xr:uid="{00000000-0005-0000-0000-000086900000}"/>
    <cellStyle name="常规 2 6 2 4 3 2" xfId="36999" xr:uid="{00000000-0005-0000-0000-000087900000}"/>
    <cellStyle name="常规 2 6 2 4 3 2 2" xfId="37000" xr:uid="{00000000-0005-0000-0000-000088900000}"/>
    <cellStyle name="常规 2 6 2 4 4" xfId="37001" xr:uid="{00000000-0005-0000-0000-000089900000}"/>
    <cellStyle name="常规 2 6 2 4 4 2" xfId="37002" xr:uid="{00000000-0005-0000-0000-00008A900000}"/>
    <cellStyle name="常规 2 6 2 4 4 2 2" xfId="37003" xr:uid="{00000000-0005-0000-0000-00008B900000}"/>
    <cellStyle name="常规 2 6 2 4 5" xfId="37004" xr:uid="{00000000-0005-0000-0000-00008C900000}"/>
    <cellStyle name="常规 2 6 2 4 5 2" xfId="37005" xr:uid="{00000000-0005-0000-0000-00008D900000}"/>
    <cellStyle name="常规 2 6 2 4 5 3" xfId="37006" xr:uid="{00000000-0005-0000-0000-00008E900000}"/>
    <cellStyle name="常规 2 6 2 4 6" xfId="37007" xr:uid="{00000000-0005-0000-0000-00008F900000}"/>
    <cellStyle name="常规 2 6 2 4 6 2" xfId="37008" xr:uid="{00000000-0005-0000-0000-000090900000}"/>
    <cellStyle name="常规 2 6 2 4 7" xfId="37009" xr:uid="{00000000-0005-0000-0000-000091900000}"/>
    <cellStyle name="常规 2 6 2 5" xfId="37010" xr:uid="{00000000-0005-0000-0000-000092900000}"/>
    <cellStyle name="常规 2 6 2 5 2" xfId="37011" xr:uid="{00000000-0005-0000-0000-000093900000}"/>
    <cellStyle name="常规 2 6 2 5 3" xfId="37012" xr:uid="{00000000-0005-0000-0000-000094900000}"/>
    <cellStyle name="常规 2 6 2 5 4" xfId="37013" xr:uid="{00000000-0005-0000-0000-000095900000}"/>
    <cellStyle name="常规 2 6 2 5 5" xfId="37014" xr:uid="{00000000-0005-0000-0000-000096900000}"/>
    <cellStyle name="常规 2 6 2 5 5 2" xfId="37015" xr:uid="{00000000-0005-0000-0000-000097900000}"/>
    <cellStyle name="常规 2 6 2 6" xfId="37016" xr:uid="{00000000-0005-0000-0000-000098900000}"/>
    <cellStyle name="常规 2 6 2 6 2" xfId="37017" xr:uid="{00000000-0005-0000-0000-000099900000}"/>
    <cellStyle name="常规 2 6 2 6 2 2" xfId="37018" xr:uid="{00000000-0005-0000-0000-00009A900000}"/>
    <cellStyle name="常规 2 6 2 7" xfId="37019" xr:uid="{00000000-0005-0000-0000-00009B900000}"/>
    <cellStyle name="常规 2 6 2 7 2" xfId="37020" xr:uid="{00000000-0005-0000-0000-00009C900000}"/>
    <cellStyle name="常规 2 6 2 7 2 2" xfId="37021" xr:uid="{00000000-0005-0000-0000-00009D900000}"/>
    <cellStyle name="常规 2 6 2 8" xfId="37022" xr:uid="{00000000-0005-0000-0000-00009E900000}"/>
    <cellStyle name="常规 2 6 2 8 2" xfId="37023" xr:uid="{00000000-0005-0000-0000-00009F900000}"/>
    <cellStyle name="常规 2 6 2 8 2 2" xfId="37024" xr:uid="{00000000-0005-0000-0000-0000A0900000}"/>
    <cellStyle name="常规 2 6 2 9" xfId="37025" xr:uid="{00000000-0005-0000-0000-0000A1900000}"/>
    <cellStyle name="常规 2 6 2 9 2" xfId="37026" xr:uid="{00000000-0005-0000-0000-0000A2900000}"/>
    <cellStyle name="常规 2 6 2 9 3" xfId="37027" xr:uid="{00000000-0005-0000-0000-0000A3900000}"/>
    <cellStyle name="常规 2 6 3" xfId="37028" xr:uid="{00000000-0005-0000-0000-0000A4900000}"/>
    <cellStyle name="常规 2 6 3 10" xfId="37029" xr:uid="{00000000-0005-0000-0000-0000A5900000}"/>
    <cellStyle name="常规 2 6 3 2" xfId="37030" xr:uid="{00000000-0005-0000-0000-0000A6900000}"/>
    <cellStyle name="常规 2 6 3 2 10" xfId="37031" xr:uid="{00000000-0005-0000-0000-0000A7900000}"/>
    <cellStyle name="常规 2 6 3 2 2" xfId="37032" xr:uid="{00000000-0005-0000-0000-0000A8900000}"/>
    <cellStyle name="常规 2 6 3 2 2 2" xfId="37033" xr:uid="{00000000-0005-0000-0000-0000A9900000}"/>
    <cellStyle name="常规 2 6 3 2 2 2 2" xfId="37034" xr:uid="{00000000-0005-0000-0000-0000AA900000}"/>
    <cellStyle name="常规 2 6 3 2 2 2 2 2" xfId="37035" xr:uid="{00000000-0005-0000-0000-0000AB900000}"/>
    <cellStyle name="常规 2 6 3 2 2 2 2 3" xfId="37036" xr:uid="{00000000-0005-0000-0000-0000AC900000}"/>
    <cellStyle name="常规 2 6 3 2 2 2 2 4" xfId="37037" xr:uid="{00000000-0005-0000-0000-0000AD900000}"/>
    <cellStyle name="常规 2 6 3 2 2 2 3" xfId="37038" xr:uid="{00000000-0005-0000-0000-0000AE900000}"/>
    <cellStyle name="常规 2 6 3 2 2 2 4" xfId="37039" xr:uid="{00000000-0005-0000-0000-0000AF900000}"/>
    <cellStyle name="常规 2 6 3 2 2 2 5" xfId="37040" xr:uid="{00000000-0005-0000-0000-0000B0900000}"/>
    <cellStyle name="常规 2 6 3 2 2 3" xfId="37041" xr:uid="{00000000-0005-0000-0000-0000B1900000}"/>
    <cellStyle name="常规 2 6 3 2 2 3 2" xfId="37042" xr:uid="{00000000-0005-0000-0000-0000B2900000}"/>
    <cellStyle name="常规 2 6 3 2 2 3 2 2" xfId="37043" xr:uid="{00000000-0005-0000-0000-0000B3900000}"/>
    <cellStyle name="常规 2 6 3 2 2 3 2 3" xfId="37044" xr:uid="{00000000-0005-0000-0000-0000B4900000}"/>
    <cellStyle name="常规 2 6 3 2 2 3 2 4" xfId="37045" xr:uid="{00000000-0005-0000-0000-0000B5900000}"/>
    <cellStyle name="常规 2 6 3 2 2 3 3" xfId="37046" xr:uid="{00000000-0005-0000-0000-0000B6900000}"/>
    <cellStyle name="常规 2 6 3 2 2 3 4" xfId="37047" xr:uid="{00000000-0005-0000-0000-0000B7900000}"/>
    <cellStyle name="常规 2 6 3 2 2 3 5" xfId="37048" xr:uid="{00000000-0005-0000-0000-0000B8900000}"/>
    <cellStyle name="常规 2 6 3 2 2 4" xfId="37049" xr:uid="{00000000-0005-0000-0000-0000B9900000}"/>
    <cellStyle name="常规 2 6 3 2 2 4 2" xfId="37050" xr:uid="{00000000-0005-0000-0000-0000BA900000}"/>
    <cellStyle name="常规 2 6 3 2 2 4 3" xfId="37051" xr:uid="{00000000-0005-0000-0000-0000BB900000}"/>
    <cellStyle name="常规 2 6 3 2 2 4 4" xfId="37052" xr:uid="{00000000-0005-0000-0000-0000BC900000}"/>
    <cellStyle name="常规 2 6 3 2 2 5" xfId="37053" xr:uid="{00000000-0005-0000-0000-0000BD900000}"/>
    <cellStyle name="常规 2 6 3 2 2 6" xfId="37054" xr:uid="{00000000-0005-0000-0000-0000BE900000}"/>
    <cellStyle name="常规 2 6 3 2 2 7" xfId="37055" xr:uid="{00000000-0005-0000-0000-0000BF900000}"/>
    <cellStyle name="常规 2 6 3 2 2 8" xfId="37056" xr:uid="{00000000-0005-0000-0000-0000C0900000}"/>
    <cellStyle name="常规 2 6 3 2 2 8 2" xfId="37057" xr:uid="{00000000-0005-0000-0000-0000C1900000}"/>
    <cellStyle name="常规 2 6 3 2 3" xfId="37058" xr:uid="{00000000-0005-0000-0000-0000C2900000}"/>
    <cellStyle name="常规 2 6 3 2 3 2" xfId="37059" xr:uid="{00000000-0005-0000-0000-0000C3900000}"/>
    <cellStyle name="常规 2 6 3 2 3 2 2" xfId="37060" xr:uid="{00000000-0005-0000-0000-0000C4900000}"/>
    <cellStyle name="常规 2 6 3 2 3 2 3" xfId="37061" xr:uid="{00000000-0005-0000-0000-0000C5900000}"/>
    <cellStyle name="常规 2 6 3 2 3 2 4" xfId="37062" xr:uid="{00000000-0005-0000-0000-0000C6900000}"/>
    <cellStyle name="常规 2 6 3 2 3 3" xfId="37063" xr:uid="{00000000-0005-0000-0000-0000C7900000}"/>
    <cellStyle name="常规 2 6 3 2 3 4" xfId="37064" xr:uid="{00000000-0005-0000-0000-0000C8900000}"/>
    <cellStyle name="常规 2 6 3 2 3 5" xfId="37065" xr:uid="{00000000-0005-0000-0000-0000C9900000}"/>
    <cellStyle name="常规 2 6 3 2 3 6" xfId="37066" xr:uid="{00000000-0005-0000-0000-0000CA900000}"/>
    <cellStyle name="常规 2 6 3 2 3 6 2" xfId="37067" xr:uid="{00000000-0005-0000-0000-0000CB900000}"/>
    <cellStyle name="常规 2 6 3 2 4" xfId="37068" xr:uid="{00000000-0005-0000-0000-0000CC900000}"/>
    <cellStyle name="常规 2 6 3 2 4 2" xfId="37069" xr:uid="{00000000-0005-0000-0000-0000CD900000}"/>
    <cellStyle name="常规 2 6 3 2 4 2 2" xfId="37070" xr:uid="{00000000-0005-0000-0000-0000CE900000}"/>
    <cellStyle name="常规 2 6 3 2 4 2 3" xfId="37071" xr:uid="{00000000-0005-0000-0000-0000CF900000}"/>
    <cellStyle name="常规 2 6 3 2 4 2 4" xfId="37072" xr:uid="{00000000-0005-0000-0000-0000D0900000}"/>
    <cellStyle name="常规 2 6 3 2 4 2 5" xfId="37073" xr:uid="{00000000-0005-0000-0000-0000D1900000}"/>
    <cellStyle name="常规 2 6 3 2 4 3" xfId="37074" xr:uid="{00000000-0005-0000-0000-0000D2900000}"/>
    <cellStyle name="常规 2 6 3 2 4 4" xfId="37075" xr:uid="{00000000-0005-0000-0000-0000D3900000}"/>
    <cellStyle name="常规 2 6 3 2 4 5" xfId="37076" xr:uid="{00000000-0005-0000-0000-0000D4900000}"/>
    <cellStyle name="常规 2 6 3 2 4 6" xfId="37077" xr:uid="{00000000-0005-0000-0000-0000D5900000}"/>
    <cellStyle name="常规 2 6 3 2 5" xfId="37078" xr:uid="{00000000-0005-0000-0000-0000D6900000}"/>
    <cellStyle name="常规 2 6 3 2 5 2" xfId="37079" xr:uid="{00000000-0005-0000-0000-0000D7900000}"/>
    <cellStyle name="常规 2 6 3 2 5 2 2" xfId="37080" xr:uid="{00000000-0005-0000-0000-0000D8900000}"/>
    <cellStyle name="常规 2 6 3 2 5 3" xfId="37081" xr:uid="{00000000-0005-0000-0000-0000D9900000}"/>
    <cellStyle name="常规 2 6 3 2 5 4" xfId="37082" xr:uid="{00000000-0005-0000-0000-0000DA900000}"/>
    <cellStyle name="常规 2 6 3 2 5 5" xfId="37083" xr:uid="{00000000-0005-0000-0000-0000DB900000}"/>
    <cellStyle name="常规 2 6 3 2 6" xfId="37084" xr:uid="{00000000-0005-0000-0000-0000DC900000}"/>
    <cellStyle name="常规 2 6 3 2 7" xfId="37085" xr:uid="{00000000-0005-0000-0000-0000DD900000}"/>
    <cellStyle name="常规 2 6 3 2 8" xfId="37086" xr:uid="{00000000-0005-0000-0000-0000DE900000}"/>
    <cellStyle name="常规 2 6 3 2 9" xfId="37087" xr:uid="{00000000-0005-0000-0000-0000DF900000}"/>
    <cellStyle name="常规 2 6 3 2 9 2" xfId="37088" xr:uid="{00000000-0005-0000-0000-0000E0900000}"/>
    <cellStyle name="常规 2 6 3 3" xfId="37089" xr:uid="{00000000-0005-0000-0000-0000E1900000}"/>
    <cellStyle name="常规 2 6 3 3 2" xfId="37090" xr:uid="{00000000-0005-0000-0000-0000E2900000}"/>
    <cellStyle name="常规 2 6 3 3 2 2" xfId="37091" xr:uid="{00000000-0005-0000-0000-0000E3900000}"/>
    <cellStyle name="常规 2 6 3 3 2 2 2" xfId="37092" xr:uid="{00000000-0005-0000-0000-0000E4900000}"/>
    <cellStyle name="常规 2 6 3 3 2 3" xfId="37093" xr:uid="{00000000-0005-0000-0000-0000E5900000}"/>
    <cellStyle name="常规 2 6 3 3 2 4" xfId="37094" xr:uid="{00000000-0005-0000-0000-0000E6900000}"/>
    <cellStyle name="常规 2 6 3 3 2 5" xfId="37095" xr:uid="{00000000-0005-0000-0000-0000E7900000}"/>
    <cellStyle name="常规 2 6 3 3 2 5 2" xfId="37096" xr:uid="{00000000-0005-0000-0000-0000E8900000}"/>
    <cellStyle name="常规 2 6 3 3 2 6" xfId="37097" xr:uid="{00000000-0005-0000-0000-0000E9900000}"/>
    <cellStyle name="常规 2 6 3 3 3" xfId="37098" xr:uid="{00000000-0005-0000-0000-0000EA900000}"/>
    <cellStyle name="常规 2 6 3 3 3 2" xfId="37099" xr:uid="{00000000-0005-0000-0000-0000EB900000}"/>
    <cellStyle name="常规 2 6 3 3 3 2 2" xfId="37100" xr:uid="{00000000-0005-0000-0000-0000EC900000}"/>
    <cellStyle name="常规 2 6 3 3 4" xfId="37101" xr:uid="{00000000-0005-0000-0000-0000ED900000}"/>
    <cellStyle name="常规 2 6 3 3 4 2" xfId="37102" xr:uid="{00000000-0005-0000-0000-0000EE900000}"/>
    <cellStyle name="常规 2 6 3 3 4 3" xfId="37103" xr:uid="{00000000-0005-0000-0000-0000EF900000}"/>
    <cellStyle name="常规 2 6 3 3 5" xfId="37104" xr:uid="{00000000-0005-0000-0000-0000F0900000}"/>
    <cellStyle name="常规 2 6 3 3 5 2" xfId="37105" xr:uid="{00000000-0005-0000-0000-0000F1900000}"/>
    <cellStyle name="常规 2 6 3 3 6" xfId="37106" xr:uid="{00000000-0005-0000-0000-0000F2900000}"/>
    <cellStyle name="常规 2 6 3 3 6 2" xfId="37107" xr:uid="{00000000-0005-0000-0000-0000F3900000}"/>
    <cellStyle name="常规 2 6 3 3 7" xfId="37108" xr:uid="{00000000-0005-0000-0000-0000F4900000}"/>
    <cellStyle name="常规 2 6 3 4" xfId="37109" xr:uid="{00000000-0005-0000-0000-0000F5900000}"/>
    <cellStyle name="常规 2 6 3 4 2" xfId="37110" xr:uid="{00000000-0005-0000-0000-0000F6900000}"/>
    <cellStyle name="常规 2 6 3 4 2 2" xfId="37111" xr:uid="{00000000-0005-0000-0000-0000F7900000}"/>
    <cellStyle name="常规 2 6 3 4 2 3" xfId="37112" xr:uid="{00000000-0005-0000-0000-0000F8900000}"/>
    <cellStyle name="常规 2 6 3 4 2 4" xfId="37113" xr:uid="{00000000-0005-0000-0000-0000F9900000}"/>
    <cellStyle name="常规 2 6 3 4 3" xfId="37114" xr:uid="{00000000-0005-0000-0000-0000FA900000}"/>
    <cellStyle name="常规 2 6 3 4 4" xfId="37115" xr:uid="{00000000-0005-0000-0000-0000FB900000}"/>
    <cellStyle name="常规 2 6 3 4 5" xfId="37116" xr:uid="{00000000-0005-0000-0000-0000FC900000}"/>
    <cellStyle name="常规 2 6 3 4 6" xfId="37117" xr:uid="{00000000-0005-0000-0000-0000FD900000}"/>
    <cellStyle name="常规 2 6 3 4 6 2" xfId="37118" xr:uid="{00000000-0005-0000-0000-0000FE900000}"/>
    <cellStyle name="常规 2 6 3 5" xfId="37119" xr:uid="{00000000-0005-0000-0000-0000FF900000}"/>
    <cellStyle name="常规 2 6 3 5 2" xfId="37120" xr:uid="{00000000-0005-0000-0000-000000910000}"/>
    <cellStyle name="常规 2 6 3 5 3" xfId="37121" xr:uid="{00000000-0005-0000-0000-000001910000}"/>
    <cellStyle name="常规 2 6 3 5 4" xfId="37122" xr:uid="{00000000-0005-0000-0000-000002910000}"/>
    <cellStyle name="常规 2 6 3 5 5" xfId="37123" xr:uid="{00000000-0005-0000-0000-000003910000}"/>
    <cellStyle name="常规 2 6 3 5 5 2" xfId="37124" xr:uid="{00000000-0005-0000-0000-000004910000}"/>
    <cellStyle name="常规 2 6 3 6" xfId="37125" xr:uid="{00000000-0005-0000-0000-000005910000}"/>
    <cellStyle name="常规 2 6 3 6 2" xfId="37126" xr:uid="{00000000-0005-0000-0000-000006910000}"/>
    <cellStyle name="常规 2 6 3 6 2 2" xfId="37127" xr:uid="{00000000-0005-0000-0000-000007910000}"/>
    <cellStyle name="常规 2 6 3 7" xfId="37128" xr:uid="{00000000-0005-0000-0000-000008910000}"/>
    <cellStyle name="常规 2 6 3 7 2" xfId="37129" xr:uid="{00000000-0005-0000-0000-000009910000}"/>
    <cellStyle name="常规 2 6 3 7 2 2" xfId="37130" xr:uid="{00000000-0005-0000-0000-00000A910000}"/>
    <cellStyle name="常规 2 6 3 8" xfId="37131" xr:uid="{00000000-0005-0000-0000-00000B910000}"/>
    <cellStyle name="常规 2 6 3 8 2" xfId="37132" xr:uid="{00000000-0005-0000-0000-00000C910000}"/>
    <cellStyle name="常规 2 6 3 8 3" xfId="37133" xr:uid="{00000000-0005-0000-0000-00000D910000}"/>
    <cellStyle name="常规 2 6 3 9" xfId="37134" xr:uid="{00000000-0005-0000-0000-00000E910000}"/>
    <cellStyle name="常规 2 6 3 9 2" xfId="37135" xr:uid="{00000000-0005-0000-0000-00000F910000}"/>
    <cellStyle name="常规 2 6 4" xfId="37136" xr:uid="{00000000-0005-0000-0000-000010910000}"/>
    <cellStyle name="常规 2 6 4 10" xfId="37137" xr:uid="{00000000-0005-0000-0000-000011910000}"/>
    <cellStyle name="常规 2 6 4 2" xfId="37138" xr:uid="{00000000-0005-0000-0000-000012910000}"/>
    <cellStyle name="常规 2 6 4 2 10" xfId="37139" xr:uid="{00000000-0005-0000-0000-000013910000}"/>
    <cellStyle name="常规 2 6 4 2 2" xfId="37140" xr:uid="{00000000-0005-0000-0000-000014910000}"/>
    <cellStyle name="常规 2 6 4 2 2 2" xfId="37141" xr:uid="{00000000-0005-0000-0000-000015910000}"/>
    <cellStyle name="常规 2 6 4 2 2 2 2" xfId="37142" xr:uid="{00000000-0005-0000-0000-000016910000}"/>
    <cellStyle name="常规 2 6 4 2 2 2 2 2" xfId="37143" xr:uid="{00000000-0005-0000-0000-000017910000}"/>
    <cellStyle name="常规 2 6 4 2 2 2 2 3" xfId="37144" xr:uid="{00000000-0005-0000-0000-000018910000}"/>
    <cellStyle name="常规 2 6 4 2 2 2 2 4" xfId="37145" xr:uid="{00000000-0005-0000-0000-000019910000}"/>
    <cellStyle name="常规 2 6 4 2 2 2 3" xfId="37146" xr:uid="{00000000-0005-0000-0000-00001A910000}"/>
    <cellStyle name="常规 2 6 4 2 2 2 4" xfId="37147" xr:uid="{00000000-0005-0000-0000-00001B910000}"/>
    <cellStyle name="常规 2 6 4 2 2 2 5" xfId="37148" xr:uid="{00000000-0005-0000-0000-00001C910000}"/>
    <cellStyle name="常规 2 6 4 2 2 3" xfId="37149" xr:uid="{00000000-0005-0000-0000-00001D910000}"/>
    <cellStyle name="常规 2 6 4 2 2 3 2" xfId="37150" xr:uid="{00000000-0005-0000-0000-00001E910000}"/>
    <cellStyle name="常规 2 6 4 2 2 3 2 2" xfId="37151" xr:uid="{00000000-0005-0000-0000-00001F910000}"/>
    <cellStyle name="常规 2 6 4 2 2 3 2 3" xfId="37152" xr:uid="{00000000-0005-0000-0000-000020910000}"/>
    <cellStyle name="常规 2 6 4 2 2 3 2 4" xfId="37153" xr:uid="{00000000-0005-0000-0000-000021910000}"/>
    <cellStyle name="常规 2 6 4 2 2 3 3" xfId="37154" xr:uid="{00000000-0005-0000-0000-000022910000}"/>
    <cellStyle name="常规 2 6 4 2 2 3 4" xfId="37155" xr:uid="{00000000-0005-0000-0000-000023910000}"/>
    <cellStyle name="常规 2 6 4 2 2 3 5" xfId="37156" xr:uid="{00000000-0005-0000-0000-000024910000}"/>
    <cellStyle name="常规 2 6 4 2 2 4" xfId="37157" xr:uid="{00000000-0005-0000-0000-000025910000}"/>
    <cellStyle name="常规 2 6 4 2 2 4 2" xfId="37158" xr:uid="{00000000-0005-0000-0000-000026910000}"/>
    <cellStyle name="常规 2 6 4 2 2 4 3" xfId="37159" xr:uid="{00000000-0005-0000-0000-000027910000}"/>
    <cellStyle name="常规 2 6 4 2 2 4 4" xfId="37160" xr:uid="{00000000-0005-0000-0000-000028910000}"/>
    <cellStyle name="常规 2 6 4 2 2 5" xfId="37161" xr:uid="{00000000-0005-0000-0000-000029910000}"/>
    <cellStyle name="常规 2 6 4 2 2 6" xfId="37162" xr:uid="{00000000-0005-0000-0000-00002A910000}"/>
    <cellStyle name="常规 2 6 4 2 2 7" xfId="37163" xr:uid="{00000000-0005-0000-0000-00002B910000}"/>
    <cellStyle name="常规 2 6 4 2 2 8" xfId="37164" xr:uid="{00000000-0005-0000-0000-00002C910000}"/>
    <cellStyle name="常规 2 6 4 2 2 8 2" xfId="37165" xr:uid="{00000000-0005-0000-0000-00002D910000}"/>
    <cellStyle name="常规 2 6 4 2 3" xfId="37166" xr:uid="{00000000-0005-0000-0000-00002E910000}"/>
    <cellStyle name="常规 2 6 4 2 3 2" xfId="37167" xr:uid="{00000000-0005-0000-0000-00002F910000}"/>
    <cellStyle name="常规 2 6 4 2 3 2 2" xfId="37168" xr:uid="{00000000-0005-0000-0000-000030910000}"/>
    <cellStyle name="常规 2 6 4 2 3 2 3" xfId="37169" xr:uid="{00000000-0005-0000-0000-000031910000}"/>
    <cellStyle name="常规 2 6 4 2 3 2 4" xfId="37170" xr:uid="{00000000-0005-0000-0000-000032910000}"/>
    <cellStyle name="常规 2 6 4 2 3 3" xfId="37171" xr:uid="{00000000-0005-0000-0000-000033910000}"/>
    <cellStyle name="常规 2 6 4 2 3 4" xfId="37172" xr:uid="{00000000-0005-0000-0000-000034910000}"/>
    <cellStyle name="常规 2 6 4 2 3 5" xfId="37173" xr:uid="{00000000-0005-0000-0000-000035910000}"/>
    <cellStyle name="常规 2 6 4 2 3 6" xfId="37174" xr:uid="{00000000-0005-0000-0000-000036910000}"/>
    <cellStyle name="常规 2 6 4 2 3 6 2" xfId="37175" xr:uid="{00000000-0005-0000-0000-000037910000}"/>
    <cellStyle name="常规 2 6 4 2 4" xfId="37176" xr:uid="{00000000-0005-0000-0000-000038910000}"/>
    <cellStyle name="常规 2 6 4 2 4 2" xfId="37177" xr:uid="{00000000-0005-0000-0000-000039910000}"/>
    <cellStyle name="常规 2 6 4 2 4 2 2" xfId="37178" xr:uid="{00000000-0005-0000-0000-00003A910000}"/>
    <cellStyle name="常规 2 6 4 2 4 2 3" xfId="37179" xr:uid="{00000000-0005-0000-0000-00003B910000}"/>
    <cellStyle name="常规 2 6 4 2 4 2 4" xfId="37180" xr:uid="{00000000-0005-0000-0000-00003C910000}"/>
    <cellStyle name="常规 2 6 4 2 4 2 5" xfId="37181" xr:uid="{00000000-0005-0000-0000-00003D910000}"/>
    <cellStyle name="常规 2 6 4 2 4 3" xfId="37182" xr:uid="{00000000-0005-0000-0000-00003E910000}"/>
    <cellStyle name="常规 2 6 4 2 4 4" xfId="37183" xr:uid="{00000000-0005-0000-0000-00003F910000}"/>
    <cellStyle name="常规 2 6 4 2 4 5" xfId="37184" xr:uid="{00000000-0005-0000-0000-000040910000}"/>
    <cellStyle name="常规 2 6 4 2 4 6" xfId="37185" xr:uid="{00000000-0005-0000-0000-000041910000}"/>
    <cellStyle name="常规 2 6 4 2 5" xfId="37186" xr:uid="{00000000-0005-0000-0000-000042910000}"/>
    <cellStyle name="常规 2 6 4 2 5 2" xfId="37187" xr:uid="{00000000-0005-0000-0000-000043910000}"/>
    <cellStyle name="常规 2 6 4 2 5 2 2" xfId="37188" xr:uid="{00000000-0005-0000-0000-000044910000}"/>
    <cellStyle name="常规 2 6 4 2 5 3" xfId="37189" xr:uid="{00000000-0005-0000-0000-000045910000}"/>
    <cellStyle name="常规 2 6 4 2 5 4" xfId="37190" xr:uid="{00000000-0005-0000-0000-000046910000}"/>
    <cellStyle name="常规 2 6 4 2 5 5" xfId="37191" xr:uid="{00000000-0005-0000-0000-000047910000}"/>
    <cellStyle name="常规 2 6 4 2 6" xfId="37192" xr:uid="{00000000-0005-0000-0000-000048910000}"/>
    <cellStyle name="常规 2 6 4 2 7" xfId="37193" xr:uid="{00000000-0005-0000-0000-000049910000}"/>
    <cellStyle name="常规 2 6 4 2 8" xfId="37194" xr:uid="{00000000-0005-0000-0000-00004A910000}"/>
    <cellStyle name="常规 2 6 4 2 9" xfId="37195" xr:uid="{00000000-0005-0000-0000-00004B910000}"/>
    <cellStyle name="常规 2 6 4 2 9 2" xfId="37196" xr:uid="{00000000-0005-0000-0000-00004C910000}"/>
    <cellStyle name="常规 2 6 4 3" xfId="37197" xr:uid="{00000000-0005-0000-0000-00004D910000}"/>
    <cellStyle name="常规 2 6 4 3 2" xfId="37198" xr:uid="{00000000-0005-0000-0000-00004E910000}"/>
    <cellStyle name="常规 2 6 4 3 2 2" xfId="37199" xr:uid="{00000000-0005-0000-0000-00004F910000}"/>
    <cellStyle name="常规 2 6 4 3 2 3" xfId="37200" xr:uid="{00000000-0005-0000-0000-000050910000}"/>
    <cellStyle name="常规 2 6 4 3 2 4" xfId="37201" xr:uid="{00000000-0005-0000-0000-000051910000}"/>
    <cellStyle name="常规 2 6 4 3 3" xfId="37202" xr:uid="{00000000-0005-0000-0000-000052910000}"/>
    <cellStyle name="常规 2 6 4 3 4" xfId="37203" xr:uid="{00000000-0005-0000-0000-000053910000}"/>
    <cellStyle name="常规 2 6 4 3 5" xfId="37204" xr:uid="{00000000-0005-0000-0000-000054910000}"/>
    <cellStyle name="常规 2 6 4 3 6" xfId="37205" xr:uid="{00000000-0005-0000-0000-000055910000}"/>
    <cellStyle name="常规 2 6 4 3 6 2" xfId="37206" xr:uid="{00000000-0005-0000-0000-000056910000}"/>
    <cellStyle name="常规 2 6 4 4" xfId="37207" xr:uid="{00000000-0005-0000-0000-000057910000}"/>
    <cellStyle name="常规 2 6 4 4 2" xfId="37208" xr:uid="{00000000-0005-0000-0000-000058910000}"/>
    <cellStyle name="常规 2 6 4 4 2 2" xfId="37209" xr:uid="{00000000-0005-0000-0000-000059910000}"/>
    <cellStyle name="常规 2 6 4 4 2 3" xfId="37210" xr:uid="{00000000-0005-0000-0000-00005A910000}"/>
    <cellStyle name="常规 2 6 4 4 2 4" xfId="37211" xr:uid="{00000000-0005-0000-0000-00005B910000}"/>
    <cellStyle name="常规 2 6 4 4 3" xfId="37212" xr:uid="{00000000-0005-0000-0000-00005C910000}"/>
    <cellStyle name="常规 2 6 4 4 4" xfId="37213" xr:uid="{00000000-0005-0000-0000-00005D910000}"/>
    <cellStyle name="常规 2 6 4 4 5" xfId="37214" xr:uid="{00000000-0005-0000-0000-00005E910000}"/>
    <cellStyle name="常规 2 6 4 4 6" xfId="37215" xr:uid="{00000000-0005-0000-0000-00005F910000}"/>
    <cellStyle name="常规 2 6 4 4 6 2" xfId="37216" xr:uid="{00000000-0005-0000-0000-000060910000}"/>
    <cellStyle name="常规 2 6 4 5" xfId="37217" xr:uid="{00000000-0005-0000-0000-000061910000}"/>
    <cellStyle name="常规 2 6 4 5 2" xfId="37218" xr:uid="{00000000-0005-0000-0000-000062910000}"/>
    <cellStyle name="常规 2 6 4 5 3" xfId="37219" xr:uid="{00000000-0005-0000-0000-000063910000}"/>
    <cellStyle name="常规 2 6 4 5 4" xfId="37220" xr:uid="{00000000-0005-0000-0000-000064910000}"/>
    <cellStyle name="常规 2 6 4 5 5" xfId="37221" xr:uid="{00000000-0005-0000-0000-000065910000}"/>
    <cellStyle name="常规 2 6 4 5 5 2" xfId="37222" xr:uid="{00000000-0005-0000-0000-000066910000}"/>
    <cellStyle name="常规 2 6 4 6" xfId="37223" xr:uid="{00000000-0005-0000-0000-000067910000}"/>
    <cellStyle name="常规 2 6 4 6 2" xfId="37224" xr:uid="{00000000-0005-0000-0000-000068910000}"/>
    <cellStyle name="常规 2 6 4 6 2 2" xfId="37225" xr:uid="{00000000-0005-0000-0000-000069910000}"/>
    <cellStyle name="常规 2 6 4 7" xfId="37226" xr:uid="{00000000-0005-0000-0000-00006A910000}"/>
    <cellStyle name="常规 2 6 4 7 2" xfId="37227" xr:uid="{00000000-0005-0000-0000-00006B910000}"/>
    <cellStyle name="常规 2 6 4 7 2 2" xfId="37228" xr:uid="{00000000-0005-0000-0000-00006C910000}"/>
    <cellStyle name="常规 2 6 4 8" xfId="37229" xr:uid="{00000000-0005-0000-0000-00006D910000}"/>
    <cellStyle name="常规 2 6 4 8 2" xfId="37230" xr:uid="{00000000-0005-0000-0000-00006E910000}"/>
    <cellStyle name="常规 2 6 4 8 3" xfId="37231" xr:uid="{00000000-0005-0000-0000-00006F910000}"/>
    <cellStyle name="常规 2 6 4 9" xfId="37232" xr:uid="{00000000-0005-0000-0000-000070910000}"/>
    <cellStyle name="常规 2 6 4 9 2" xfId="37233" xr:uid="{00000000-0005-0000-0000-000071910000}"/>
    <cellStyle name="常规 2 6 5" xfId="37234" xr:uid="{00000000-0005-0000-0000-000072910000}"/>
    <cellStyle name="常规 2 6 5 10" xfId="37235" xr:uid="{00000000-0005-0000-0000-000073910000}"/>
    <cellStyle name="常规 2 6 5 2" xfId="37236" xr:uid="{00000000-0005-0000-0000-000074910000}"/>
    <cellStyle name="常规 2 6 5 2 10" xfId="37237" xr:uid="{00000000-0005-0000-0000-000075910000}"/>
    <cellStyle name="常规 2 6 5 2 2" xfId="37238" xr:uid="{00000000-0005-0000-0000-000076910000}"/>
    <cellStyle name="常规 2 6 5 2 2 2" xfId="37239" xr:uid="{00000000-0005-0000-0000-000077910000}"/>
    <cellStyle name="常规 2 6 5 2 2 2 2" xfId="37240" xr:uid="{00000000-0005-0000-0000-000078910000}"/>
    <cellStyle name="常规 2 6 5 2 2 2 2 2" xfId="37241" xr:uid="{00000000-0005-0000-0000-000079910000}"/>
    <cellStyle name="常规 2 6 5 2 2 2 2 3" xfId="37242" xr:uid="{00000000-0005-0000-0000-00007A910000}"/>
    <cellStyle name="常规 2 6 5 2 2 2 2 4" xfId="37243" xr:uid="{00000000-0005-0000-0000-00007B910000}"/>
    <cellStyle name="常规 2 6 5 2 2 2 3" xfId="37244" xr:uid="{00000000-0005-0000-0000-00007C910000}"/>
    <cellStyle name="常规 2 6 5 2 2 2 4" xfId="37245" xr:uid="{00000000-0005-0000-0000-00007D910000}"/>
    <cellStyle name="常规 2 6 5 2 2 2 5" xfId="37246" xr:uid="{00000000-0005-0000-0000-00007E910000}"/>
    <cellStyle name="常规 2 6 5 2 2 2 6" xfId="37247" xr:uid="{00000000-0005-0000-0000-00007F910000}"/>
    <cellStyle name="常规 2 6 5 2 2 3" xfId="37248" xr:uid="{00000000-0005-0000-0000-000080910000}"/>
    <cellStyle name="常规 2 6 5 2 2 3 2" xfId="37249" xr:uid="{00000000-0005-0000-0000-000081910000}"/>
    <cellStyle name="常规 2 6 5 2 2 3 2 2" xfId="37250" xr:uid="{00000000-0005-0000-0000-000082910000}"/>
    <cellStyle name="常规 2 6 5 2 2 3 2 3" xfId="37251" xr:uid="{00000000-0005-0000-0000-000083910000}"/>
    <cellStyle name="常规 2 6 5 2 2 3 2 4" xfId="37252" xr:uid="{00000000-0005-0000-0000-000084910000}"/>
    <cellStyle name="常规 2 6 5 2 2 3 3" xfId="37253" xr:uid="{00000000-0005-0000-0000-000085910000}"/>
    <cellStyle name="常规 2 6 5 2 2 3 4" xfId="37254" xr:uid="{00000000-0005-0000-0000-000086910000}"/>
    <cellStyle name="常规 2 6 5 2 2 3 5" xfId="37255" xr:uid="{00000000-0005-0000-0000-000087910000}"/>
    <cellStyle name="常规 2 6 5 2 2 4" xfId="37256" xr:uid="{00000000-0005-0000-0000-000088910000}"/>
    <cellStyle name="常规 2 6 5 2 2 4 2" xfId="37257" xr:uid="{00000000-0005-0000-0000-000089910000}"/>
    <cellStyle name="常规 2 6 5 2 2 4 3" xfId="37258" xr:uid="{00000000-0005-0000-0000-00008A910000}"/>
    <cellStyle name="常规 2 6 5 2 2 4 4" xfId="37259" xr:uid="{00000000-0005-0000-0000-00008B910000}"/>
    <cellStyle name="常规 2 6 5 2 2 5" xfId="37260" xr:uid="{00000000-0005-0000-0000-00008C910000}"/>
    <cellStyle name="常规 2 6 5 2 2 6" xfId="37261" xr:uid="{00000000-0005-0000-0000-00008D910000}"/>
    <cellStyle name="常规 2 6 5 2 2 7" xfId="37262" xr:uid="{00000000-0005-0000-0000-00008E910000}"/>
    <cellStyle name="常规 2 6 5 2 2 8" xfId="37263" xr:uid="{00000000-0005-0000-0000-00008F910000}"/>
    <cellStyle name="常规 2 6 5 2 2 8 2" xfId="37264" xr:uid="{00000000-0005-0000-0000-000090910000}"/>
    <cellStyle name="常规 2 6 5 2 2 9" xfId="37265" xr:uid="{00000000-0005-0000-0000-000091910000}"/>
    <cellStyle name="常规 2 6 5 2 3" xfId="37266" xr:uid="{00000000-0005-0000-0000-000092910000}"/>
    <cellStyle name="常规 2 6 5 2 3 2" xfId="37267" xr:uid="{00000000-0005-0000-0000-000093910000}"/>
    <cellStyle name="常规 2 6 5 2 3 2 2" xfId="37268" xr:uid="{00000000-0005-0000-0000-000094910000}"/>
    <cellStyle name="常规 2 6 5 2 3 2 3" xfId="37269" xr:uid="{00000000-0005-0000-0000-000095910000}"/>
    <cellStyle name="常规 2 6 5 2 3 2 4" xfId="37270" xr:uid="{00000000-0005-0000-0000-000096910000}"/>
    <cellStyle name="常规 2 6 5 2 3 2 5" xfId="37271" xr:uid="{00000000-0005-0000-0000-000097910000}"/>
    <cellStyle name="常规 2 6 5 2 3 3" xfId="37272" xr:uid="{00000000-0005-0000-0000-000098910000}"/>
    <cellStyle name="常规 2 6 5 2 3 4" xfId="37273" xr:uid="{00000000-0005-0000-0000-000099910000}"/>
    <cellStyle name="常规 2 6 5 2 3 5" xfId="37274" xr:uid="{00000000-0005-0000-0000-00009A910000}"/>
    <cellStyle name="常规 2 6 5 2 3 6" xfId="37275" xr:uid="{00000000-0005-0000-0000-00009B910000}"/>
    <cellStyle name="常规 2 6 5 2 4" xfId="37276" xr:uid="{00000000-0005-0000-0000-00009C910000}"/>
    <cellStyle name="常规 2 6 5 2 4 2" xfId="37277" xr:uid="{00000000-0005-0000-0000-00009D910000}"/>
    <cellStyle name="常规 2 6 5 2 4 2 2" xfId="37278" xr:uid="{00000000-0005-0000-0000-00009E910000}"/>
    <cellStyle name="常规 2 6 5 2 4 2 3" xfId="37279" xr:uid="{00000000-0005-0000-0000-00009F910000}"/>
    <cellStyle name="常规 2 6 5 2 4 2 4" xfId="37280" xr:uid="{00000000-0005-0000-0000-0000A0910000}"/>
    <cellStyle name="常规 2 6 5 2 4 2 5" xfId="37281" xr:uid="{00000000-0005-0000-0000-0000A1910000}"/>
    <cellStyle name="常规 2 6 5 2 4 3" xfId="37282" xr:uid="{00000000-0005-0000-0000-0000A2910000}"/>
    <cellStyle name="常规 2 6 5 2 4 4" xfId="37283" xr:uid="{00000000-0005-0000-0000-0000A3910000}"/>
    <cellStyle name="常规 2 6 5 2 4 5" xfId="37284" xr:uid="{00000000-0005-0000-0000-0000A4910000}"/>
    <cellStyle name="常规 2 6 5 2 4 6" xfId="37285" xr:uid="{00000000-0005-0000-0000-0000A5910000}"/>
    <cellStyle name="常规 2 6 5 2 5" xfId="37286" xr:uid="{00000000-0005-0000-0000-0000A6910000}"/>
    <cellStyle name="常规 2 6 5 2 5 2" xfId="37287" xr:uid="{00000000-0005-0000-0000-0000A7910000}"/>
    <cellStyle name="常规 2 6 5 2 5 3" xfId="37288" xr:uid="{00000000-0005-0000-0000-0000A8910000}"/>
    <cellStyle name="常规 2 6 5 2 5 4" xfId="37289" xr:uid="{00000000-0005-0000-0000-0000A9910000}"/>
    <cellStyle name="常规 2 6 5 2 5 5" xfId="37290" xr:uid="{00000000-0005-0000-0000-0000AA910000}"/>
    <cellStyle name="常规 2 6 5 2 6" xfId="37291" xr:uid="{00000000-0005-0000-0000-0000AB910000}"/>
    <cellStyle name="常规 2 6 5 2 7" xfId="37292" xr:uid="{00000000-0005-0000-0000-0000AC910000}"/>
    <cellStyle name="常规 2 6 5 2 8" xfId="37293" xr:uid="{00000000-0005-0000-0000-0000AD910000}"/>
    <cellStyle name="常规 2 6 5 2 9" xfId="37294" xr:uid="{00000000-0005-0000-0000-0000AE910000}"/>
    <cellStyle name="常规 2 6 5 2 9 2" xfId="37295" xr:uid="{00000000-0005-0000-0000-0000AF910000}"/>
    <cellStyle name="常规 2 6 5 3" xfId="37296" xr:uid="{00000000-0005-0000-0000-0000B0910000}"/>
    <cellStyle name="常规 2 6 5 3 2" xfId="37297" xr:uid="{00000000-0005-0000-0000-0000B1910000}"/>
    <cellStyle name="常规 2 6 5 3 2 2" xfId="37298" xr:uid="{00000000-0005-0000-0000-0000B2910000}"/>
    <cellStyle name="常规 2 6 5 3 2 3" xfId="37299" xr:uid="{00000000-0005-0000-0000-0000B3910000}"/>
    <cellStyle name="常规 2 6 5 3 2 4" xfId="37300" xr:uid="{00000000-0005-0000-0000-0000B4910000}"/>
    <cellStyle name="常规 2 6 5 3 3" xfId="37301" xr:uid="{00000000-0005-0000-0000-0000B5910000}"/>
    <cellStyle name="常规 2 6 5 3 4" xfId="37302" xr:uid="{00000000-0005-0000-0000-0000B6910000}"/>
    <cellStyle name="常规 2 6 5 3 5" xfId="37303" xr:uid="{00000000-0005-0000-0000-0000B7910000}"/>
    <cellStyle name="常规 2 6 5 3 6" xfId="37304" xr:uid="{00000000-0005-0000-0000-0000B8910000}"/>
    <cellStyle name="常规 2 6 5 3 6 2" xfId="37305" xr:uid="{00000000-0005-0000-0000-0000B9910000}"/>
    <cellStyle name="常规 2 6 5 4" xfId="37306" xr:uid="{00000000-0005-0000-0000-0000BA910000}"/>
    <cellStyle name="常规 2 6 5 4 2" xfId="37307" xr:uid="{00000000-0005-0000-0000-0000BB910000}"/>
    <cellStyle name="常规 2 6 5 4 2 2" xfId="37308" xr:uid="{00000000-0005-0000-0000-0000BC910000}"/>
    <cellStyle name="常规 2 6 5 4 2 3" xfId="37309" xr:uid="{00000000-0005-0000-0000-0000BD910000}"/>
    <cellStyle name="常规 2 6 5 4 2 4" xfId="37310" xr:uid="{00000000-0005-0000-0000-0000BE910000}"/>
    <cellStyle name="常规 2 6 5 4 2 5" xfId="37311" xr:uid="{00000000-0005-0000-0000-0000BF910000}"/>
    <cellStyle name="常规 2 6 5 4 3" xfId="37312" xr:uid="{00000000-0005-0000-0000-0000C0910000}"/>
    <cellStyle name="常规 2 6 5 4 4" xfId="37313" xr:uid="{00000000-0005-0000-0000-0000C1910000}"/>
    <cellStyle name="常规 2 6 5 4 5" xfId="37314" xr:uid="{00000000-0005-0000-0000-0000C2910000}"/>
    <cellStyle name="常规 2 6 5 4 6" xfId="37315" xr:uid="{00000000-0005-0000-0000-0000C3910000}"/>
    <cellStyle name="常规 2 6 5 5" xfId="37316" xr:uid="{00000000-0005-0000-0000-0000C4910000}"/>
    <cellStyle name="常规 2 6 5 5 2" xfId="37317" xr:uid="{00000000-0005-0000-0000-0000C5910000}"/>
    <cellStyle name="常规 2 6 5 5 2 2" xfId="37318" xr:uid="{00000000-0005-0000-0000-0000C6910000}"/>
    <cellStyle name="常规 2 6 5 5 3" xfId="37319" xr:uid="{00000000-0005-0000-0000-0000C7910000}"/>
    <cellStyle name="常规 2 6 5 5 4" xfId="37320" xr:uid="{00000000-0005-0000-0000-0000C8910000}"/>
    <cellStyle name="常规 2 6 5 5 5" xfId="37321" xr:uid="{00000000-0005-0000-0000-0000C9910000}"/>
    <cellStyle name="常规 2 6 5 6" xfId="37322" xr:uid="{00000000-0005-0000-0000-0000CA910000}"/>
    <cellStyle name="常规 2 6 5 7" xfId="37323" xr:uid="{00000000-0005-0000-0000-0000CB910000}"/>
    <cellStyle name="常规 2 6 5 8" xfId="37324" xr:uid="{00000000-0005-0000-0000-0000CC910000}"/>
    <cellStyle name="常规 2 6 5 9" xfId="37325" xr:uid="{00000000-0005-0000-0000-0000CD910000}"/>
    <cellStyle name="常规 2 6 5 9 2" xfId="37326" xr:uid="{00000000-0005-0000-0000-0000CE910000}"/>
    <cellStyle name="常规 2 6 6" xfId="37327" xr:uid="{00000000-0005-0000-0000-0000CF910000}"/>
    <cellStyle name="常规 2 6 6 10" xfId="37328" xr:uid="{00000000-0005-0000-0000-0000D0910000}"/>
    <cellStyle name="常规 2 6 6 2" xfId="37329" xr:uid="{00000000-0005-0000-0000-0000D1910000}"/>
    <cellStyle name="常规 2 6 6 2 10" xfId="37330" xr:uid="{00000000-0005-0000-0000-0000D2910000}"/>
    <cellStyle name="常规 2 6 6 2 2" xfId="37331" xr:uid="{00000000-0005-0000-0000-0000D3910000}"/>
    <cellStyle name="常规 2 6 6 2 2 2" xfId="37332" xr:uid="{00000000-0005-0000-0000-0000D4910000}"/>
    <cellStyle name="常规 2 6 6 2 2 2 2" xfId="37333" xr:uid="{00000000-0005-0000-0000-0000D5910000}"/>
    <cellStyle name="常规 2 6 6 2 2 2 2 2" xfId="37334" xr:uid="{00000000-0005-0000-0000-0000D6910000}"/>
    <cellStyle name="常规 2 6 6 2 2 2 2 3" xfId="37335" xr:uid="{00000000-0005-0000-0000-0000D7910000}"/>
    <cellStyle name="常规 2 6 6 2 2 2 2 4" xfId="37336" xr:uid="{00000000-0005-0000-0000-0000D8910000}"/>
    <cellStyle name="常规 2 6 6 2 2 2 3" xfId="37337" xr:uid="{00000000-0005-0000-0000-0000D9910000}"/>
    <cellStyle name="常规 2 6 6 2 2 2 4" xfId="37338" xr:uid="{00000000-0005-0000-0000-0000DA910000}"/>
    <cellStyle name="常规 2 6 6 2 2 2 5" xfId="37339" xr:uid="{00000000-0005-0000-0000-0000DB910000}"/>
    <cellStyle name="常规 2 6 6 2 2 3" xfId="37340" xr:uid="{00000000-0005-0000-0000-0000DC910000}"/>
    <cellStyle name="常规 2 6 6 2 2 3 2" xfId="37341" xr:uid="{00000000-0005-0000-0000-0000DD910000}"/>
    <cellStyle name="常规 2 6 6 2 2 3 2 2" xfId="37342" xr:uid="{00000000-0005-0000-0000-0000DE910000}"/>
    <cellStyle name="常规 2 6 6 2 2 3 2 3" xfId="37343" xr:uid="{00000000-0005-0000-0000-0000DF910000}"/>
    <cellStyle name="常规 2 6 6 2 2 3 2 4" xfId="37344" xr:uid="{00000000-0005-0000-0000-0000E0910000}"/>
    <cellStyle name="常规 2 6 6 2 2 3 3" xfId="37345" xr:uid="{00000000-0005-0000-0000-0000E1910000}"/>
    <cellStyle name="常规 2 6 6 2 2 3 4" xfId="37346" xr:uid="{00000000-0005-0000-0000-0000E2910000}"/>
    <cellStyle name="常规 2 6 6 2 2 3 5" xfId="37347" xr:uid="{00000000-0005-0000-0000-0000E3910000}"/>
    <cellStyle name="常规 2 6 6 2 2 4" xfId="37348" xr:uid="{00000000-0005-0000-0000-0000E4910000}"/>
    <cellStyle name="常规 2 6 6 2 2 4 2" xfId="37349" xr:uid="{00000000-0005-0000-0000-0000E5910000}"/>
    <cellStyle name="常规 2 6 6 2 2 4 3" xfId="37350" xr:uid="{00000000-0005-0000-0000-0000E6910000}"/>
    <cellStyle name="常规 2 6 6 2 2 4 4" xfId="37351" xr:uid="{00000000-0005-0000-0000-0000E7910000}"/>
    <cellStyle name="常规 2 6 6 2 2 5" xfId="37352" xr:uid="{00000000-0005-0000-0000-0000E8910000}"/>
    <cellStyle name="常规 2 6 6 2 2 6" xfId="37353" xr:uid="{00000000-0005-0000-0000-0000E9910000}"/>
    <cellStyle name="常规 2 6 6 2 2 7" xfId="37354" xr:uid="{00000000-0005-0000-0000-0000EA910000}"/>
    <cellStyle name="常规 2 6 6 2 2 8" xfId="37355" xr:uid="{00000000-0005-0000-0000-0000EB910000}"/>
    <cellStyle name="常规 2 6 6 2 3" xfId="37356" xr:uid="{00000000-0005-0000-0000-0000EC910000}"/>
    <cellStyle name="常规 2 6 6 2 3 2" xfId="37357" xr:uid="{00000000-0005-0000-0000-0000ED910000}"/>
    <cellStyle name="常规 2 6 6 2 3 2 2" xfId="37358" xr:uid="{00000000-0005-0000-0000-0000EE910000}"/>
    <cellStyle name="常规 2 6 6 2 3 2 3" xfId="37359" xr:uid="{00000000-0005-0000-0000-0000EF910000}"/>
    <cellStyle name="常规 2 6 6 2 3 2 4" xfId="37360" xr:uid="{00000000-0005-0000-0000-0000F0910000}"/>
    <cellStyle name="常规 2 6 6 2 3 3" xfId="37361" xr:uid="{00000000-0005-0000-0000-0000F1910000}"/>
    <cellStyle name="常规 2 6 6 2 3 4" xfId="37362" xr:uid="{00000000-0005-0000-0000-0000F2910000}"/>
    <cellStyle name="常规 2 6 6 2 3 5" xfId="37363" xr:uid="{00000000-0005-0000-0000-0000F3910000}"/>
    <cellStyle name="常规 2 6 6 2 4" xfId="37364" xr:uid="{00000000-0005-0000-0000-0000F4910000}"/>
    <cellStyle name="常规 2 6 6 2 4 2" xfId="37365" xr:uid="{00000000-0005-0000-0000-0000F5910000}"/>
    <cellStyle name="常规 2 6 6 2 4 2 2" xfId="37366" xr:uid="{00000000-0005-0000-0000-0000F6910000}"/>
    <cellStyle name="常规 2 6 6 2 4 2 3" xfId="37367" xr:uid="{00000000-0005-0000-0000-0000F7910000}"/>
    <cellStyle name="常规 2 6 6 2 4 2 4" xfId="37368" xr:uid="{00000000-0005-0000-0000-0000F8910000}"/>
    <cellStyle name="常规 2 6 6 2 4 3" xfId="37369" xr:uid="{00000000-0005-0000-0000-0000F9910000}"/>
    <cellStyle name="常规 2 6 6 2 4 4" xfId="37370" xr:uid="{00000000-0005-0000-0000-0000FA910000}"/>
    <cellStyle name="常规 2 6 6 2 4 5" xfId="37371" xr:uid="{00000000-0005-0000-0000-0000FB910000}"/>
    <cellStyle name="常规 2 6 6 2 5" xfId="37372" xr:uid="{00000000-0005-0000-0000-0000FC910000}"/>
    <cellStyle name="常规 2 6 6 2 5 2" xfId="37373" xr:uid="{00000000-0005-0000-0000-0000FD910000}"/>
    <cellStyle name="常规 2 6 6 2 5 3" xfId="37374" xr:uid="{00000000-0005-0000-0000-0000FE910000}"/>
    <cellStyle name="常规 2 6 6 2 5 4" xfId="37375" xr:uid="{00000000-0005-0000-0000-0000FF910000}"/>
    <cellStyle name="常规 2 6 6 2 6" xfId="37376" xr:uid="{00000000-0005-0000-0000-000000920000}"/>
    <cellStyle name="常规 2 6 6 2 7" xfId="37377" xr:uid="{00000000-0005-0000-0000-000001920000}"/>
    <cellStyle name="常规 2 6 6 2 8" xfId="37378" xr:uid="{00000000-0005-0000-0000-000002920000}"/>
    <cellStyle name="常规 2 6 6 2 9" xfId="37379" xr:uid="{00000000-0005-0000-0000-000003920000}"/>
    <cellStyle name="常规 2 6 6 2 9 2" xfId="37380" xr:uid="{00000000-0005-0000-0000-000004920000}"/>
    <cellStyle name="常规 2 6 6 3" xfId="37381" xr:uid="{00000000-0005-0000-0000-000005920000}"/>
    <cellStyle name="常规 2 6 6 3 2" xfId="37382" xr:uid="{00000000-0005-0000-0000-000006920000}"/>
    <cellStyle name="常规 2 6 6 3 2 2" xfId="37383" xr:uid="{00000000-0005-0000-0000-000007920000}"/>
    <cellStyle name="常规 2 6 6 3 2 3" xfId="37384" xr:uid="{00000000-0005-0000-0000-000008920000}"/>
    <cellStyle name="常规 2 6 6 3 2 4" xfId="37385" xr:uid="{00000000-0005-0000-0000-000009920000}"/>
    <cellStyle name="常规 2 6 6 3 2 5" xfId="37386" xr:uid="{00000000-0005-0000-0000-00000A920000}"/>
    <cellStyle name="常规 2 6 6 3 3" xfId="37387" xr:uid="{00000000-0005-0000-0000-00000B920000}"/>
    <cellStyle name="常规 2 6 6 3 4" xfId="37388" xr:uid="{00000000-0005-0000-0000-00000C920000}"/>
    <cellStyle name="常规 2 6 6 3 5" xfId="37389" xr:uid="{00000000-0005-0000-0000-00000D920000}"/>
    <cellStyle name="常规 2 6 6 3 6" xfId="37390" xr:uid="{00000000-0005-0000-0000-00000E920000}"/>
    <cellStyle name="常规 2 6 6 4" xfId="37391" xr:uid="{00000000-0005-0000-0000-00000F920000}"/>
    <cellStyle name="常规 2 6 6 4 2" xfId="37392" xr:uid="{00000000-0005-0000-0000-000010920000}"/>
    <cellStyle name="常规 2 6 6 4 2 2" xfId="37393" xr:uid="{00000000-0005-0000-0000-000011920000}"/>
    <cellStyle name="常规 2 6 6 4 2 3" xfId="37394" xr:uid="{00000000-0005-0000-0000-000012920000}"/>
    <cellStyle name="常规 2 6 6 4 2 4" xfId="37395" xr:uid="{00000000-0005-0000-0000-000013920000}"/>
    <cellStyle name="常规 2 6 6 4 2 5" xfId="37396" xr:uid="{00000000-0005-0000-0000-000014920000}"/>
    <cellStyle name="常规 2 6 6 4 3" xfId="37397" xr:uid="{00000000-0005-0000-0000-000015920000}"/>
    <cellStyle name="常规 2 6 6 4 4" xfId="37398" xr:uid="{00000000-0005-0000-0000-000016920000}"/>
    <cellStyle name="常规 2 6 6 4 5" xfId="37399" xr:uid="{00000000-0005-0000-0000-000017920000}"/>
    <cellStyle name="常规 2 6 6 4 6" xfId="37400" xr:uid="{00000000-0005-0000-0000-000018920000}"/>
    <cellStyle name="常规 2 6 6 5" xfId="37401" xr:uid="{00000000-0005-0000-0000-000019920000}"/>
    <cellStyle name="常规 2 6 6 5 2" xfId="37402" xr:uid="{00000000-0005-0000-0000-00001A920000}"/>
    <cellStyle name="常规 2 6 6 5 3" xfId="37403" xr:uid="{00000000-0005-0000-0000-00001B920000}"/>
    <cellStyle name="常规 2 6 6 5 4" xfId="37404" xr:uid="{00000000-0005-0000-0000-00001C920000}"/>
    <cellStyle name="常规 2 6 6 5 5" xfId="37405" xr:uid="{00000000-0005-0000-0000-00001D920000}"/>
    <cellStyle name="常规 2 6 6 6" xfId="37406" xr:uid="{00000000-0005-0000-0000-00001E920000}"/>
    <cellStyle name="常规 2 6 6 7" xfId="37407" xr:uid="{00000000-0005-0000-0000-00001F920000}"/>
    <cellStyle name="常规 2 6 6 8" xfId="37408" xr:uid="{00000000-0005-0000-0000-000020920000}"/>
    <cellStyle name="常规 2 6 6 9" xfId="37409" xr:uid="{00000000-0005-0000-0000-000021920000}"/>
    <cellStyle name="常规 2 6 6 9 2" xfId="37410" xr:uid="{00000000-0005-0000-0000-000022920000}"/>
    <cellStyle name="常规 2 6 7" xfId="37411" xr:uid="{00000000-0005-0000-0000-000023920000}"/>
    <cellStyle name="常规 2 6 7 2" xfId="37412" xr:uid="{00000000-0005-0000-0000-000024920000}"/>
    <cellStyle name="常规 2 6 7 2 2" xfId="37413" xr:uid="{00000000-0005-0000-0000-000025920000}"/>
    <cellStyle name="常规 2 6 7 2 2 2" xfId="37414" xr:uid="{00000000-0005-0000-0000-000026920000}"/>
    <cellStyle name="常规 2 6 7 2 2 2 2" xfId="37415" xr:uid="{00000000-0005-0000-0000-000027920000}"/>
    <cellStyle name="常规 2 6 7 2 2 2 3" xfId="37416" xr:uid="{00000000-0005-0000-0000-000028920000}"/>
    <cellStyle name="常规 2 6 7 2 2 2 4" xfId="37417" xr:uid="{00000000-0005-0000-0000-000029920000}"/>
    <cellStyle name="常规 2 6 7 2 2 3" xfId="37418" xr:uid="{00000000-0005-0000-0000-00002A920000}"/>
    <cellStyle name="常规 2 6 7 2 2 4" xfId="37419" xr:uid="{00000000-0005-0000-0000-00002B920000}"/>
    <cellStyle name="常规 2 6 7 2 2 5" xfId="37420" xr:uid="{00000000-0005-0000-0000-00002C920000}"/>
    <cellStyle name="常规 2 6 7 2 3" xfId="37421" xr:uid="{00000000-0005-0000-0000-00002D920000}"/>
    <cellStyle name="常规 2 6 7 2 3 2" xfId="37422" xr:uid="{00000000-0005-0000-0000-00002E920000}"/>
    <cellStyle name="常规 2 6 7 2 3 2 2" xfId="37423" xr:uid="{00000000-0005-0000-0000-00002F920000}"/>
    <cellStyle name="常规 2 6 7 2 3 2 3" xfId="37424" xr:uid="{00000000-0005-0000-0000-000030920000}"/>
    <cellStyle name="常规 2 6 7 2 3 2 4" xfId="37425" xr:uid="{00000000-0005-0000-0000-000031920000}"/>
    <cellStyle name="常规 2 6 7 2 3 3" xfId="37426" xr:uid="{00000000-0005-0000-0000-000032920000}"/>
    <cellStyle name="常规 2 6 7 2 3 4" xfId="37427" xr:uid="{00000000-0005-0000-0000-000033920000}"/>
    <cellStyle name="常规 2 6 7 2 3 5" xfId="37428" xr:uid="{00000000-0005-0000-0000-000034920000}"/>
    <cellStyle name="常规 2 6 7 2 4" xfId="37429" xr:uid="{00000000-0005-0000-0000-000035920000}"/>
    <cellStyle name="常规 2 6 7 2 4 2" xfId="37430" xr:uid="{00000000-0005-0000-0000-000036920000}"/>
    <cellStyle name="常规 2 6 7 2 4 3" xfId="37431" xr:uid="{00000000-0005-0000-0000-000037920000}"/>
    <cellStyle name="常规 2 6 7 2 4 4" xfId="37432" xr:uid="{00000000-0005-0000-0000-000038920000}"/>
    <cellStyle name="常规 2 6 7 2 5" xfId="37433" xr:uid="{00000000-0005-0000-0000-000039920000}"/>
    <cellStyle name="常规 2 6 7 2 6" xfId="37434" xr:uid="{00000000-0005-0000-0000-00003A920000}"/>
    <cellStyle name="常规 2 6 7 2 7" xfId="37435" xr:uid="{00000000-0005-0000-0000-00003B920000}"/>
    <cellStyle name="常规 2 6 7 3" xfId="37436" xr:uid="{00000000-0005-0000-0000-00003C920000}"/>
    <cellStyle name="常规 2 6 7 3 2" xfId="37437" xr:uid="{00000000-0005-0000-0000-00003D920000}"/>
    <cellStyle name="常规 2 6 7 3 2 2" xfId="37438" xr:uid="{00000000-0005-0000-0000-00003E920000}"/>
    <cellStyle name="常规 2 6 7 3 2 3" xfId="37439" xr:uid="{00000000-0005-0000-0000-00003F920000}"/>
    <cellStyle name="常规 2 6 7 3 2 4" xfId="37440" xr:uid="{00000000-0005-0000-0000-000040920000}"/>
    <cellStyle name="常规 2 6 7 3 3" xfId="37441" xr:uid="{00000000-0005-0000-0000-000041920000}"/>
    <cellStyle name="常规 2 6 7 3 4" xfId="37442" xr:uid="{00000000-0005-0000-0000-000042920000}"/>
    <cellStyle name="常规 2 6 7 3 5" xfId="37443" xr:uid="{00000000-0005-0000-0000-000043920000}"/>
    <cellStyle name="常规 2 6 7 4" xfId="37444" xr:uid="{00000000-0005-0000-0000-000044920000}"/>
    <cellStyle name="常规 2 6 7 4 2" xfId="37445" xr:uid="{00000000-0005-0000-0000-000045920000}"/>
    <cellStyle name="常规 2 6 7 4 2 2" xfId="37446" xr:uid="{00000000-0005-0000-0000-000046920000}"/>
    <cellStyle name="常规 2 6 7 4 2 3" xfId="37447" xr:uid="{00000000-0005-0000-0000-000047920000}"/>
    <cellStyle name="常规 2 6 7 4 2 4" xfId="37448" xr:uid="{00000000-0005-0000-0000-000048920000}"/>
    <cellStyle name="常规 2 6 7 4 3" xfId="37449" xr:uid="{00000000-0005-0000-0000-000049920000}"/>
    <cellStyle name="常规 2 6 7 4 4" xfId="37450" xr:uid="{00000000-0005-0000-0000-00004A920000}"/>
    <cellStyle name="常规 2 6 7 4 5" xfId="37451" xr:uid="{00000000-0005-0000-0000-00004B920000}"/>
    <cellStyle name="常规 2 6 7 5" xfId="37452" xr:uid="{00000000-0005-0000-0000-00004C920000}"/>
    <cellStyle name="常规 2 6 7 5 2" xfId="37453" xr:uid="{00000000-0005-0000-0000-00004D920000}"/>
    <cellStyle name="常规 2 6 7 5 3" xfId="37454" xr:uid="{00000000-0005-0000-0000-00004E920000}"/>
    <cellStyle name="常规 2 6 7 5 4" xfId="37455" xr:uid="{00000000-0005-0000-0000-00004F920000}"/>
    <cellStyle name="常规 2 6 7 6" xfId="37456" xr:uid="{00000000-0005-0000-0000-000050920000}"/>
    <cellStyle name="常规 2 6 7 7" xfId="37457" xr:uid="{00000000-0005-0000-0000-000051920000}"/>
    <cellStyle name="常规 2 6 7 8" xfId="37458" xr:uid="{00000000-0005-0000-0000-000052920000}"/>
    <cellStyle name="常规 2 6 7 9" xfId="37459" xr:uid="{00000000-0005-0000-0000-000053920000}"/>
    <cellStyle name="常规 2 6 7 9 2" xfId="37460" xr:uid="{00000000-0005-0000-0000-000054920000}"/>
    <cellStyle name="常规 2 6 8" xfId="37461" xr:uid="{00000000-0005-0000-0000-000055920000}"/>
    <cellStyle name="常规 2 6 8 2" xfId="37462" xr:uid="{00000000-0005-0000-0000-000056920000}"/>
    <cellStyle name="常规 2 6 8 2 2" xfId="37463" xr:uid="{00000000-0005-0000-0000-000057920000}"/>
    <cellStyle name="常规 2 6 8 2 3" xfId="37464" xr:uid="{00000000-0005-0000-0000-000058920000}"/>
    <cellStyle name="常规 2 6 8 2 4" xfId="37465" xr:uid="{00000000-0005-0000-0000-000059920000}"/>
    <cellStyle name="常规 2 6 8 3" xfId="37466" xr:uid="{00000000-0005-0000-0000-00005A920000}"/>
    <cellStyle name="常规 2 6 8 4" xfId="37467" xr:uid="{00000000-0005-0000-0000-00005B920000}"/>
    <cellStyle name="常规 2 6 8 5" xfId="37468" xr:uid="{00000000-0005-0000-0000-00005C920000}"/>
    <cellStyle name="常规 2 6 8 6" xfId="37469" xr:uid="{00000000-0005-0000-0000-00005D920000}"/>
    <cellStyle name="常规 2 6 8 6 2" xfId="37470" xr:uid="{00000000-0005-0000-0000-00005E920000}"/>
    <cellStyle name="常规 2 6 9" xfId="37471" xr:uid="{00000000-0005-0000-0000-00005F920000}"/>
    <cellStyle name="常规 2 6 9 2" xfId="37472" xr:uid="{00000000-0005-0000-0000-000060920000}"/>
    <cellStyle name="常规 2 6 9 2 2" xfId="37473" xr:uid="{00000000-0005-0000-0000-000061920000}"/>
    <cellStyle name="常规 2 6 9 2 3" xfId="37474" xr:uid="{00000000-0005-0000-0000-000062920000}"/>
    <cellStyle name="常规 2 6 9 2 4" xfId="37475" xr:uid="{00000000-0005-0000-0000-000063920000}"/>
    <cellStyle name="常规 2 6 9 2 5" xfId="37476" xr:uid="{00000000-0005-0000-0000-000064920000}"/>
    <cellStyle name="常规 2 6 9 3" xfId="37477" xr:uid="{00000000-0005-0000-0000-000065920000}"/>
    <cellStyle name="常规 2 6 9 4" xfId="37478" xr:uid="{00000000-0005-0000-0000-000066920000}"/>
    <cellStyle name="常规 2 6 9 5" xfId="37479" xr:uid="{00000000-0005-0000-0000-000067920000}"/>
    <cellStyle name="常规 2 6 9 6" xfId="37480" xr:uid="{00000000-0005-0000-0000-000068920000}"/>
    <cellStyle name="常规 2 7" xfId="37481" xr:uid="{00000000-0005-0000-0000-000069920000}"/>
    <cellStyle name="常规 2 7 10" xfId="37482" xr:uid="{00000000-0005-0000-0000-00006A920000}"/>
    <cellStyle name="常规 2 7 10 2" xfId="37483" xr:uid="{00000000-0005-0000-0000-00006B920000}"/>
    <cellStyle name="常规 2 7 10 3" xfId="37484" xr:uid="{00000000-0005-0000-0000-00006C920000}"/>
    <cellStyle name="常规 2 7 11" xfId="37485" xr:uid="{00000000-0005-0000-0000-00006D920000}"/>
    <cellStyle name="常规 2 7 11 2" xfId="37486" xr:uid="{00000000-0005-0000-0000-00006E920000}"/>
    <cellStyle name="常规 2 7 2" xfId="37487" xr:uid="{00000000-0005-0000-0000-00006F920000}"/>
    <cellStyle name="常规 2 7 2 10" xfId="37488" xr:uid="{00000000-0005-0000-0000-000070920000}"/>
    <cellStyle name="常规 2 7 2 10 2" xfId="37489" xr:uid="{00000000-0005-0000-0000-000071920000}"/>
    <cellStyle name="常规 2 7 2 2" xfId="37490" xr:uid="{00000000-0005-0000-0000-000072920000}"/>
    <cellStyle name="常规 2 7 2 2 2" xfId="37491" xr:uid="{00000000-0005-0000-0000-000073920000}"/>
    <cellStyle name="常规 2 7 2 2 2 2" xfId="37492" xr:uid="{00000000-0005-0000-0000-000074920000}"/>
    <cellStyle name="常规 2 7 2 2 2 2 2" xfId="37493" xr:uid="{00000000-0005-0000-0000-000075920000}"/>
    <cellStyle name="常规 2 7 2 2 2 2 3" xfId="37494" xr:uid="{00000000-0005-0000-0000-000076920000}"/>
    <cellStyle name="常规 2 7 2 2 2 2 4" xfId="37495" xr:uid="{00000000-0005-0000-0000-000077920000}"/>
    <cellStyle name="常规 2 7 2 2 2 2 4 2" xfId="37496" xr:uid="{00000000-0005-0000-0000-000078920000}"/>
    <cellStyle name="常规 2 7 2 2 2 2 4 3" xfId="37497" xr:uid="{00000000-0005-0000-0000-000079920000}"/>
    <cellStyle name="常规 2 7 2 2 2 2 5" xfId="37498" xr:uid="{00000000-0005-0000-0000-00007A920000}"/>
    <cellStyle name="常规 2 7 2 2 2 2 5 2" xfId="37499" xr:uid="{00000000-0005-0000-0000-00007B920000}"/>
    <cellStyle name="常规 2 7 2 2 2 3" xfId="37500" xr:uid="{00000000-0005-0000-0000-00007C920000}"/>
    <cellStyle name="常规 2 7 2 2 2 3 2" xfId="37501" xr:uid="{00000000-0005-0000-0000-00007D920000}"/>
    <cellStyle name="常规 2 7 2 2 2 3 2 2" xfId="37502" xr:uid="{00000000-0005-0000-0000-00007E920000}"/>
    <cellStyle name="常规 2 7 2 2 2 3 2 2 2" xfId="37503" xr:uid="{00000000-0005-0000-0000-00007F920000}"/>
    <cellStyle name="常规 2 7 2 2 2 3 3" xfId="37504" xr:uid="{00000000-0005-0000-0000-000080920000}"/>
    <cellStyle name="常规 2 7 2 2 2 3 3 2" xfId="37505" xr:uid="{00000000-0005-0000-0000-000081920000}"/>
    <cellStyle name="常规 2 7 2 2 2 3 3 2 2" xfId="37506" xr:uid="{00000000-0005-0000-0000-000082920000}"/>
    <cellStyle name="常规 2 7 2 2 2 3 4" xfId="37507" xr:uid="{00000000-0005-0000-0000-000083920000}"/>
    <cellStyle name="常规 2 7 2 2 2 3 4 2" xfId="37508" xr:uid="{00000000-0005-0000-0000-000084920000}"/>
    <cellStyle name="常规 2 7 2 2 2 3 5" xfId="37509" xr:uid="{00000000-0005-0000-0000-000085920000}"/>
    <cellStyle name="常规 2 7 2 2 2 4" xfId="37510" xr:uid="{00000000-0005-0000-0000-000086920000}"/>
    <cellStyle name="常规 2 7 2 2 2 4 2" xfId="37511" xr:uid="{00000000-0005-0000-0000-000087920000}"/>
    <cellStyle name="常规 2 7 2 2 2 4 2 2" xfId="37512" xr:uid="{00000000-0005-0000-0000-000088920000}"/>
    <cellStyle name="常规 2 7 2 2 2 5" xfId="37513" xr:uid="{00000000-0005-0000-0000-000089920000}"/>
    <cellStyle name="常规 2 7 2 2 2 6" xfId="37514" xr:uid="{00000000-0005-0000-0000-00008A920000}"/>
    <cellStyle name="常规 2 7 2 2 2 7" xfId="37515" xr:uid="{00000000-0005-0000-0000-00008B920000}"/>
    <cellStyle name="常规 2 7 2 2 2 7 2" xfId="37516" xr:uid="{00000000-0005-0000-0000-00008C920000}"/>
    <cellStyle name="常规 2 7 2 2 2 7 3" xfId="37517" xr:uid="{00000000-0005-0000-0000-00008D920000}"/>
    <cellStyle name="常规 2 7 2 2 2 8" xfId="37518" xr:uid="{00000000-0005-0000-0000-00008E920000}"/>
    <cellStyle name="常规 2 7 2 2 2 8 2" xfId="37519" xr:uid="{00000000-0005-0000-0000-00008F920000}"/>
    <cellStyle name="常规 2 7 2 2 3" xfId="37520" xr:uid="{00000000-0005-0000-0000-000090920000}"/>
    <cellStyle name="常规 2 7 2 2 3 2" xfId="37521" xr:uid="{00000000-0005-0000-0000-000091920000}"/>
    <cellStyle name="常规 2 7 2 2 3 3" xfId="37522" xr:uid="{00000000-0005-0000-0000-000092920000}"/>
    <cellStyle name="常规 2 7 2 2 3 4" xfId="37523" xr:uid="{00000000-0005-0000-0000-000093920000}"/>
    <cellStyle name="常规 2 7 2 2 3 4 2" xfId="37524" xr:uid="{00000000-0005-0000-0000-000094920000}"/>
    <cellStyle name="常规 2 7 2 2 3 4 3" xfId="37525" xr:uid="{00000000-0005-0000-0000-000095920000}"/>
    <cellStyle name="常规 2 7 2 2 3 5" xfId="37526" xr:uid="{00000000-0005-0000-0000-000096920000}"/>
    <cellStyle name="常规 2 7 2 2 3 5 2" xfId="37527" xr:uid="{00000000-0005-0000-0000-000097920000}"/>
    <cellStyle name="常规 2 7 2 2 4" xfId="37528" xr:uid="{00000000-0005-0000-0000-000098920000}"/>
    <cellStyle name="常规 2 7 2 2 4 2" xfId="37529" xr:uid="{00000000-0005-0000-0000-000099920000}"/>
    <cellStyle name="常规 2 7 2 2 4 2 2" xfId="37530" xr:uid="{00000000-0005-0000-0000-00009A920000}"/>
    <cellStyle name="常规 2 7 2 2 5" xfId="37531" xr:uid="{00000000-0005-0000-0000-00009B920000}"/>
    <cellStyle name="常规 2 7 2 2 5 2" xfId="37532" xr:uid="{00000000-0005-0000-0000-00009C920000}"/>
    <cellStyle name="常规 2 7 2 2 5 2 2" xfId="37533" xr:uid="{00000000-0005-0000-0000-00009D920000}"/>
    <cellStyle name="常规 2 7 2 2 6" xfId="37534" xr:uid="{00000000-0005-0000-0000-00009E920000}"/>
    <cellStyle name="常规 2 7 2 2 7" xfId="37535" xr:uid="{00000000-0005-0000-0000-00009F920000}"/>
    <cellStyle name="常规 2 7 2 2 8" xfId="37536" xr:uid="{00000000-0005-0000-0000-0000A0920000}"/>
    <cellStyle name="常规 2 7 2 2 8 2" xfId="37537" xr:uid="{00000000-0005-0000-0000-0000A1920000}"/>
    <cellStyle name="常规 2 7 2 2 8 3" xfId="37538" xr:uid="{00000000-0005-0000-0000-0000A2920000}"/>
    <cellStyle name="常规 2 7 2 2 9" xfId="37539" xr:uid="{00000000-0005-0000-0000-0000A3920000}"/>
    <cellStyle name="常规 2 7 2 2 9 2" xfId="37540" xr:uid="{00000000-0005-0000-0000-0000A4920000}"/>
    <cellStyle name="常规 2 7 2 3" xfId="37541" xr:uid="{00000000-0005-0000-0000-0000A5920000}"/>
    <cellStyle name="常规 2 7 2 3 2" xfId="37542" xr:uid="{00000000-0005-0000-0000-0000A6920000}"/>
    <cellStyle name="常规 2 7 2 3 2 2" xfId="37543" xr:uid="{00000000-0005-0000-0000-0000A7920000}"/>
    <cellStyle name="常规 2 7 2 3 2 2 2" xfId="37544" xr:uid="{00000000-0005-0000-0000-0000A8920000}"/>
    <cellStyle name="常规 2 7 2 3 2 2 2 2" xfId="37545" xr:uid="{00000000-0005-0000-0000-0000A9920000}"/>
    <cellStyle name="常规 2 7 2 3 2 3" xfId="37546" xr:uid="{00000000-0005-0000-0000-0000AA920000}"/>
    <cellStyle name="常规 2 7 2 3 2 3 2" xfId="37547" xr:uid="{00000000-0005-0000-0000-0000AB920000}"/>
    <cellStyle name="常规 2 7 2 3 2 3 2 2" xfId="37548" xr:uid="{00000000-0005-0000-0000-0000AC920000}"/>
    <cellStyle name="常规 2 7 2 3 2 4" xfId="37549" xr:uid="{00000000-0005-0000-0000-0000AD920000}"/>
    <cellStyle name="常规 2 7 2 3 2 4 2" xfId="37550" xr:uid="{00000000-0005-0000-0000-0000AE920000}"/>
    <cellStyle name="常规 2 7 2 3 2 4 2 2" xfId="37551" xr:uid="{00000000-0005-0000-0000-0000AF920000}"/>
    <cellStyle name="常规 2 7 2 3 2 5" xfId="37552" xr:uid="{00000000-0005-0000-0000-0000B0920000}"/>
    <cellStyle name="常规 2 7 2 3 2 5 2" xfId="37553" xr:uid="{00000000-0005-0000-0000-0000B1920000}"/>
    <cellStyle name="常规 2 7 2 3 2 5 3" xfId="37554" xr:uid="{00000000-0005-0000-0000-0000B2920000}"/>
    <cellStyle name="常规 2 7 2 3 2 6" xfId="37555" xr:uid="{00000000-0005-0000-0000-0000B3920000}"/>
    <cellStyle name="常规 2 7 2 3 3" xfId="37556" xr:uid="{00000000-0005-0000-0000-0000B4920000}"/>
    <cellStyle name="常规 2 7 2 3 3 2" xfId="37557" xr:uid="{00000000-0005-0000-0000-0000B5920000}"/>
    <cellStyle name="常规 2 7 2 3 3 2 2" xfId="37558" xr:uid="{00000000-0005-0000-0000-0000B6920000}"/>
    <cellStyle name="常规 2 7 2 3 3 2 2 2" xfId="37559" xr:uid="{00000000-0005-0000-0000-0000B7920000}"/>
    <cellStyle name="常规 2 7 2 3 3 3" xfId="37560" xr:uid="{00000000-0005-0000-0000-0000B8920000}"/>
    <cellStyle name="常规 2 7 2 3 3 3 2" xfId="37561" xr:uid="{00000000-0005-0000-0000-0000B9920000}"/>
    <cellStyle name="常规 2 7 2 3 3 3 2 2" xfId="37562" xr:uid="{00000000-0005-0000-0000-0000BA920000}"/>
    <cellStyle name="常规 2 7 2 3 3 4" xfId="37563" xr:uid="{00000000-0005-0000-0000-0000BB920000}"/>
    <cellStyle name="常规 2 7 2 3 3 4 2" xfId="37564" xr:uid="{00000000-0005-0000-0000-0000BC920000}"/>
    <cellStyle name="常规 2 7 2 3 3 5" xfId="37565" xr:uid="{00000000-0005-0000-0000-0000BD920000}"/>
    <cellStyle name="常规 2 7 2 3 4" xfId="37566" xr:uid="{00000000-0005-0000-0000-0000BE920000}"/>
    <cellStyle name="常规 2 7 2 3 4 2" xfId="37567" xr:uid="{00000000-0005-0000-0000-0000BF920000}"/>
    <cellStyle name="常规 2 7 2 3 4 2 2" xfId="37568" xr:uid="{00000000-0005-0000-0000-0000C0920000}"/>
    <cellStyle name="常规 2 7 2 3 5" xfId="37569" xr:uid="{00000000-0005-0000-0000-0000C1920000}"/>
    <cellStyle name="常规 2 7 2 3 5 2" xfId="37570" xr:uid="{00000000-0005-0000-0000-0000C2920000}"/>
    <cellStyle name="常规 2 7 2 3 5 2 2" xfId="37571" xr:uid="{00000000-0005-0000-0000-0000C3920000}"/>
    <cellStyle name="常规 2 7 2 3 6" xfId="37572" xr:uid="{00000000-0005-0000-0000-0000C4920000}"/>
    <cellStyle name="常规 2 7 2 3 7" xfId="37573" xr:uid="{00000000-0005-0000-0000-0000C5920000}"/>
    <cellStyle name="常规 2 7 2 3 7 2" xfId="37574" xr:uid="{00000000-0005-0000-0000-0000C6920000}"/>
    <cellStyle name="常规 2 7 2 3 7 3" xfId="37575" xr:uid="{00000000-0005-0000-0000-0000C7920000}"/>
    <cellStyle name="常规 2 7 2 3 8" xfId="37576" xr:uid="{00000000-0005-0000-0000-0000C8920000}"/>
    <cellStyle name="常规 2 7 2 3 8 2" xfId="37577" xr:uid="{00000000-0005-0000-0000-0000C9920000}"/>
    <cellStyle name="常规 2 7 2 4" xfId="37578" xr:uid="{00000000-0005-0000-0000-0000CA920000}"/>
    <cellStyle name="常规 2 7 2 4 2" xfId="37579" xr:uid="{00000000-0005-0000-0000-0000CB920000}"/>
    <cellStyle name="常规 2 7 2 4 2 2" xfId="37580" xr:uid="{00000000-0005-0000-0000-0000CC920000}"/>
    <cellStyle name="常规 2 7 2 4 2 2 2" xfId="37581" xr:uid="{00000000-0005-0000-0000-0000CD920000}"/>
    <cellStyle name="常规 2 7 2 4 3" xfId="37582" xr:uid="{00000000-0005-0000-0000-0000CE920000}"/>
    <cellStyle name="常规 2 7 2 4 3 2" xfId="37583" xr:uid="{00000000-0005-0000-0000-0000CF920000}"/>
    <cellStyle name="常规 2 7 2 4 3 2 2" xfId="37584" xr:uid="{00000000-0005-0000-0000-0000D0920000}"/>
    <cellStyle name="常规 2 7 2 4 4" xfId="37585" xr:uid="{00000000-0005-0000-0000-0000D1920000}"/>
    <cellStyle name="常规 2 7 2 4 4 2" xfId="37586" xr:uid="{00000000-0005-0000-0000-0000D2920000}"/>
    <cellStyle name="常规 2 7 2 4 4 2 2" xfId="37587" xr:uid="{00000000-0005-0000-0000-0000D3920000}"/>
    <cellStyle name="常规 2 7 2 4 5" xfId="37588" xr:uid="{00000000-0005-0000-0000-0000D4920000}"/>
    <cellStyle name="常规 2 7 2 4 5 2" xfId="37589" xr:uid="{00000000-0005-0000-0000-0000D5920000}"/>
    <cellStyle name="常规 2 7 2 4 5 3" xfId="37590" xr:uid="{00000000-0005-0000-0000-0000D6920000}"/>
    <cellStyle name="常规 2 7 2 4 6" xfId="37591" xr:uid="{00000000-0005-0000-0000-0000D7920000}"/>
    <cellStyle name="常规 2 7 2 5" xfId="37592" xr:uid="{00000000-0005-0000-0000-0000D8920000}"/>
    <cellStyle name="常规 2 7 2 5 2" xfId="37593" xr:uid="{00000000-0005-0000-0000-0000D9920000}"/>
    <cellStyle name="常规 2 7 2 5 2 2" xfId="37594" xr:uid="{00000000-0005-0000-0000-0000DA920000}"/>
    <cellStyle name="常规 2 7 2 6" xfId="37595" xr:uid="{00000000-0005-0000-0000-0000DB920000}"/>
    <cellStyle name="常规 2 7 2 6 2" xfId="37596" xr:uid="{00000000-0005-0000-0000-0000DC920000}"/>
    <cellStyle name="常规 2 7 2 6 2 2" xfId="37597" xr:uid="{00000000-0005-0000-0000-0000DD920000}"/>
    <cellStyle name="常规 2 7 2 7" xfId="37598" xr:uid="{00000000-0005-0000-0000-0000DE920000}"/>
    <cellStyle name="常规 2 7 2 7 2" xfId="37599" xr:uid="{00000000-0005-0000-0000-0000DF920000}"/>
    <cellStyle name="常规 2 7 2 7 2 2" xfId="37600" xr:uid="{00000000-0005-0000-0000-0000E0920000}"/>
    <cellStyle name="常规 2 7 2 8" xfId="37601" xr:uid="{00000000-0005-0000-0000-0000E1920000}"/>
    <cellStyle name="常规 2 7 2 9" xfId="37602" xr:uid="{00000000-0005-0000-0000-0000E2920000}"/>
    <cellStyle name="常规 2 7 2 9 2" xfId="37603" xr:uid="{00000000-0005-0000-0000-0000E3920000}"/>
    <cellStyle name="常规 2 7 2 9 3" xfId="37604" xr:uid="{00000000-0005-0000-0000-0000E4920000}"/>
    <cellStyle name="常规 2 7 3" xfId="37605" xr:uid="{00000000-0005-0000-0000-0000E5920000}"/>
    <cellStyle name="常规 2 7 3 2" xfId="37606" xr:uid="{00000000-0005-0000-0000-0000E6920000}"/>
    <cellStyle name="常规 2 7 3 2 2" xfId="37607" xr:uid="{00000000-0005-0000-0000-0000E7920000}"/>
    <cellStyle name="常规 2 7 3 2 2 2" xfId="37608" xr:uid="{00000000-0005-0000-0000-0000E8920000}"/>
    <cellStyle name="常规 2 7 3 2 2 2 2" xfId="37609" xr:uid="{00000000-0005-0000-0000-0000E9920000}"/>
    <cellStyle name="常规 2 7 3 2 3" xfId="37610" xr:uid="{00000000-0005-0000-0000-0000EA920000}"/>
    <cellStyle name="常规 2 7 3 2 3 2" xfId="37611" xr:uid="{00000000-0005-0000-0000-0000EB920000}"/>
    <cellStyle name="常规 2 7 3 2 3 2 2" xfId="37612" xr:uid="{00000000-0005-0000-0000-0000EC920000}"/>
    <cellStyle name="常规 2 7 3 2 4" xfId="37613" xr:uid="{00000000-0005-0000-0000-0000ED920000}"/>
    <cellStyle name="常规 2 7 3 2 4 2" xfId="37614" xr:uid="{00000000-0005-0000-0000-0000EE920000}"/>
    <cellStyle name="常规 2 7 3 2 4 2 2" xfId="37615" xr:uid="{00000000-0005-0000-0000-0000EF920000}"/>
    <cellStyle name="常规 2 7 3 2 5" xfId="37616" xr:uid="{00000000-0005-0000-0000-0000F0920000}"/>
    <cellStyle name="常规 2 7 3 2 5 2" xfId="37617" xr:uid="{00000000-0005-0000-0000-0000F1920000}"/>
    <cellStyle name="常规 2 7 3 2 5 3" xfId="37618" xr:uid="{00000000-0005-0000-0000-0000F2920000}"/>
    <cellStyle name="常规 2 7 3 2 6" xfId="37619" xr:uid="{00000000-0005-0000-0000-0000F3920000}"/>
    <cellStyle name="常规 2 7 3 3" xfId="37620" xr:uid="{00000000-0005-0000-0000-0000F4920000}"/>
    <cellStyle name="常规 2 7 3 3 2" xfId="37621" xr:uid="{00000000-0005-0000-0000-0000F5920000}"/>
    <cellStyle name="常规 2 7 3 3 2 2" xfId="37622" xr:uid="{00000000-0005-0000-0000-0000F6920000}"/>
    <cellStyle name="常规 2 7 3 3 2 2 2" xfId="37623" xr:uid="{00000000-0005-0000-0000-0000F7920000}"/>
    <cellStyle name="常规 2 7 3 3 3" xfId="37624" xr:uid="{00000000-0005-0000-0000-0000F8920000}"/>
    <cellStyle name="常规 2 7 3 3 3 2" xfId="37625" xr:uid="{00000000-0005-0000-0000-0000F9920000}"/>
    <cellStyle name="常规 2 7 3 3 3 2 2" xfId="37626" xr:uid="{00000000-0005-0000-0000-0000FA920000}"/>
    <cellStyle name="常规 2 7 3 3 4" xfId="37627" xr:uid="{00000000-0005-0000-0000-0000FB920000}"/>
    <cellStyle name="常规 2 7 3 3 4 2" xfId="37628" xr:uid="{00000000-0005-0000-0000-0000FC920000}"/>
    <cellStyle name="常规 2 7 3 3 5" xfId="37629" xr:uid="{00000000-0005-0000-0000-0000FD920000}"/>
    <cellStyle name="常规 2 7 3 4" xfId="37630" xr:uid="{00000000-0005-0000-0000-0000FE920000}"/>
    <cellStyle name="常规 2 7 3 4 2" xfId="37631" xr:uid="{00000000-0005-0000-0000-0000FF920000}"/>
    <cellStyle name="常规 2 7 3 4 2 2" xfId="37632" xr:uid="{00000000-0005-0000-0000-000000930000}"/>
    <cellStyle name="常规 2 7 3 5" xfId="37633" xr:uid="{00000000-0005-0000-0000-000001930000}"/>
    <cellStyle name="常规 2 7 3 5 2" xfId="37634" xr:uid="{00000000-0005-0000-0000-000002930000}"/>
    <cellStyle name="常规 2 7 3 5 2 2" xfId="37635" xr:uid="{00000000-0005-0000-0000-000003930000}"/>
    <cellStyle name="常规 2 7 3 6" xfId="37636" xr:uid="{00000000-0005-0000-0000-000004930000}"/>
    <cellStyle name="常规 2 7 3 7" xfId="37637" xr:uid="{00000000-0005-0000-0000-000005930000}"/>
    <cellStyle name="常规 2 7 3 7 2" xfId="37638" xr:uid="{00000000-0005-0000-0000-000006930000}"/>
    <cellStyle name="常规 2 7 3 7 3" xfId="37639" xr:uid="{00000000-0005-0000-0000-000007930000}"/>
    <cellStyle name="常规 2 7 3 8" xfId="37640" xr:uid="{00000000-0005-0000-0000-000008930000}"/>
    <cellStyle name="常规 2 7 3 8 2" xfId="37641" xr:uid="{00000000-0005-0000-0000-000009930000}"/>
    <cellStyle name="常规 2 7 4" xfId="37642" xr:uid="{00000000-0005-0000-0000-00000A930000}"/>
    <cellStyle name="常规 2 7 4 2" xfId="37643" xr:uid="{00000000-0005-0000-0000-00000B930000}"/>
    <cellStyle name="常规 2 7 4 2 2" xfId="37644" xr:uid="{00000000-0005-0000-0000-00000C930000}"/>
    <cellStyle name="常规 2 7 4 2 2 2" xfId="37645" xr:uid="{00000000-0005-0000-0000-00000D930000}"/>
    <cellStyle name="常规 2 7 4 2 2 2 2" xfId="37646" xr:uid="{00000000-0005-0000-0000-00000E930000}"/>
    <cellStyle name="常规 2 7 4 2 3" xfId="37647" xr:uid="{00000000-0005-0000-0000-00000F930000}"/>
    <cellStyle name="常规 2 7 4 2 3 2" xfId="37648" xr:uid="{00000000-0005-0000-0000-000010930000}"/>
    <cellStyle name="常规 2 7 4 2 3 2 2" xfId="37649" xr:uid="{00000000-0005-0000-0000-000011930000}"/>
    <cellStyle name="常规 2 7 4 2 4" xfId="37650" xr:uid="{00000000-0005-0000-0000-000012930000}"/>
    <cellStyle name="常规 2 7 4 2 4 2" xfId="37651" xr:uid="{00000000-0005-0000-0000-000013930000}"/>
    <cellStyle name="常规 2 7 4 2 4 2 2" xfId="37652" xr:uid="{00000000-0005-0000-0000-000014930000}"/>
    <cellStyle name="常规 2 7 4 2 5" xfId="37653" xr:uid="{00000000-0005-0000-0000-000015930000}"/>
    <cellStyle name="常规 2 7 4 2 5 2" xfId="37654" xr:uid="{00000000-0005-0000-0000-000016930000}"/>
    <cellStyle name="常规 2 7 4 2 5 3" xfId="37655" xr:uid="{00000000-0005-0000-0000-000017930000}"/>
    <cellStyle name="常规 2 7 4 2 6" xfId="37656" xr:uid="{00000000-0005-0000-0000-000018930000}"/>
    <cellStyle name="常规 2 7 4 3" xfId="37657" xr:uid="{00000000-0005-0000-0000-000019930000}"/>
    <cellStyle name="常规 2 7 4 3 2" xfId="37658" xr:uid="{00000000-0005-0000-0000-00001A930000}"/>
    <cellStyle name="常规 2 7 4 3 2 2" xfId="37659" xr:uid="{00000000-0005-0000-0000-00001B930000}"/>
    <cellStyle name="常规 2 7 4 4" xfId="37660" xr:uid="{00000000-0005-0000-0000-00001C930000}"/>
    <cellStyle name="常规 2 7 4 4 2" xfId="37661" xr:uid="{00000000-0005-0000-0000-00001D930000}"/>
    <cellStyle name="常规 2 7 4 4 2 2" xfId="37662" xr:uid="{00000000-0005-0000-0000-00001E930000}"/>
    <cellStyle name="常规 2 7 4 5" xfId="37663" xr:uid="{00000000-0005-0000-0000-00001F930000}"/>
    <cellStyle name="常规 2 7 4 5 2" xfId="37664" xr:uid="{00000000-0005-0000-0000-000020930000}"/>
    <cellStyle name="常规 2 7 4 5 2 2" xfId="37665" xr:uid="{00000000-0005-0000-0000-000021930000}"/>
    <cellStyle name="常规 2 7 4 6" xfId="37666" xr:uid="{00000000-0005-0000-0000-000022930000}"/>
    <cellStyle name="常规 2 7 4 7" xfId="37667" xr:uid="{00000000-0005-0000-0000-000023930000}"/>
    <cellStyle name="常规 2 7 4 7 2" xfId="37668" xr:uid="{00000000-0005-0000-0000-000024930000}"/>
    <cellStyle name="常规 2 7 4 7 3" xfId="37669" xr:uid="{00000000-0005-0000-0000-000025930000}"/>
    <cellStyle name="常规 2 7 4 8" xfId="37670" xr:uid="{00000000-0005-0000-0000-000026930000}"/>
    <cellStyle name="常规 2 7 4 8 2" xfId="37671" xr:uid="{00000000-0005-0000-0000-000027930000}"/>
    <cellStyle name="常规 2 7 5" xfId="37672" xr:uid="{00000000-0005-0000-0000-000028930000}"/>
    <cellStyle name="常规 2 7 5 2" xfId="37673" xr:uid="{00000000-0005-0000-0000-000029930000}"/>
    <cellStyle name="常规 2 7 5 2 2" xfId="37674" xr:uid="{00000000-0005-0000-0000-00002A930000}"/>
    <cellStyle name="常规 2 7 5 2 2 2" xfId="37675" xr:uid="{00000000-0005-0000-0000-00002B930000}"/>
    <cellStyle name="常规 2 7 5 2 2 2 2" xfId="37676" xr:uid="{00000000-0005-0000-0000-00002C930000}"/>
    <cellStyle name="常规 2 7 5 2 3" xfId="37677" xr:uid="{00000000-0005-0000-0000-00002D930000}"/>
    <cellStyle name="常规 2 7 5 2 3 2" xfId="37678" xr:uid="{00000000-0005-0000-0000-00002E930000}"/>
    <cellStyle name="常规 2 7 5 2 3 2 2" xfId="37679" xr:uid="{00000000-0005-0000-0000-00002F930000}"/>
    <cellStyle name="常规 2 7 5 2 4" xfId="37680" xr:uid="{00000000-0005-0000-0000-000030930000}"/>
    <cellStyle name="常规 2 7 5 2 4 2" xfId="37681" xr:uid="{00000000-0005-0000-0000-000031930000}"/>
    <cellStyle name="常规 2 7 5 2 5" xfId="37682" xr:uid="{00000000-0005-0000-0000-000032930000}"/>
    <cellStyle name="常规 2 7 5 3" xfId="37683" xr:uid="{00000000-0005-0000-0000-000033930000}"/>
    <cellStyle name="常规 2 7 5 3 2" xfId="37684" xr:uid="{00000000-0005-0000-0000-000034930000}"/>
    <cellStyle name="常规 2 7 5 3 2 2" xfId="37685" xr:uid="{00000000-0005-0000-0000-000035930000}"/>
    <cellStyle name="常规 2 7 5 4" xfId="37686" xr:uid="{00000000-0005-0000-0000-000036930000}"/>
    <cellStyle name="常规 2 7 5 4 2" xfId="37687" xr:uid="{00000000-0005-0000-0000-000037930000}"/>
    <cellStyle name="常规 2 7 5 4 2 2" xfId="37688" xr:uid="{00000000-0005-0000-0000-000038930000}"/>
    <cellStyle name="常规 2 7 5 5" xfId="37689" xr:uid="{00000000-0005-0000-0000-000039930000}"/>
    <cellStyle name="常规 2 7 5 5 2" xfId="37690" xr:uid="{00000000-0005-0000-0000-00003A930000}"/>
    <cellStyle name="常规 2 7 5 5 3" xfId="37691" xr:uid="{00000000-0005-0000-0000-00003B930000}"/>
    <cellStyle name="常规 2 7 5 6" xfId="37692" xr:uid="{00000000-0005-0000-0000-00003C930000}"/>
    <cellStyle name="常规 2 7 6" xfId="37693" xr:uid="{00000000-0005-0000-0000-00003D930000}"/>
    <cellStyle name="常规 2 7 6 2" xfId="37694" xr:uid="{00000000-0005-0000-0000-00003E930000}"/>
    <cellStyle name="常规 2 7 6 2 2" xfId="37695" xr:uid="{00000000-0005-0000-0000-00003F930000}"/>
    <cellStyle name="常规 2 7 6 2 2 2" xfId="37696" xr:uid="{00000000-0005-0000-0000-000040930000}"/>
    <cellStyle name="常规 2 7 6 3" xfId="37697" xr:uid="{00000000-0005-0000-0000-000041930000}"/>
    <cellStyle name="常规 2 7 6 3 2" xfId="37698" xr:uid="{00000000-0005-0000-0000-000042930000}"/>
    <cellStyle name="常规 2 7 6 3 2 2" xfId="37699" xr:uid="{00000000-0005-0000-0000-000043930000}"/>
    <cellStyle name="常规 2 7 6 4" xfId="37700" xr:uid="{00000000-0005-0000-0000-000044930000}"/>
    <cellStyle name="常规 2 7 6 4 2" xfId="37701" xr:uid="{00000000-0005-0000-0000-000045930000}"/>
    <cellStyle name="常规 2 7 6 5" xfId="37702" xr:uid="{00000000-0005-0000-0000-000046930000}"/>
    <cellStyle name="常规 2 7 7" xfId="37703" xr:uid="{00000000-0005-0000-0000-000047930000}"/>
    <cellStyle name="常规 2 7 7 2" xfId="37704" xr:uid="{00000000-0005-0000-0000-000048930000}"/>
    <cellStyle name="常规 2 7 7 2 2" xfId="37705" xr:uid="{00000000-0005-0000-0000-000049930000}"/>
    <cellStyle name="常规 2 7 8" xfId="37706" xr:uid="{00000000-0005-0000-0000-00004A930000}"/>
    <cellStyle name="常规 2 7 8 2" xfId="37707" xr:uid="{00000000-0005-0000-0000-00004B930000}"/>
    <cellStyle name="常规 2 7 8 2 2" xfId="37708" xr:uid="{00000000-0005-0000-0000-00004C930000}"/>
    <cellStyle name="常规 2 7 9" xfId="37709" xr:uid="{00000000-0005-0000-0000-00004D930000}"/>
    <cellStyle name="常规 2 8" xfId="37710" xr:uid="{00000000-0005-0000-0000-00004E930000}"/>
    <cellStyle name="常规 2 8 10" xfId="37711" xr:uid="{00000000-0005-0000-0000-00004F930000}"/>
    <cellStyle name="常规 2 8 10 2" xfId="37712" xr:uid="{00000000-0005-0000-0000-000050930000}"/>
    <cellStyle name="常规 2 8 2" xfId="37713" xr:uid="{00000000-0005-0000-0000-000051930000}"/>
    <cellStyle name="常规 2 8 2 2" xfId="37714" xr:uid="{00000000-0005-0000-0000-000052930000}"/>
    <cellStyle name="常规 2 8 2 2 2" xfId="37715" xr:uid="{00000000-0005-0000-0000-000053930000}"/>
    <cellStyle name="常规 2 8 2 2 2 2" xfId="37716" xr:uid="{00000000-0005-0000-0000-000054930000}"/>
    <cellStyle name="常规 2 8 2 2 2 3" xfId="37717" xr:uid="{00000000-0005-0000-0000-000055930000}"/>
    <cellStyle name="常规 2 8 2 2 2 4" xfId="37718" xr:uid="{00000000-0005-0000-0000-000056930000}"/>
    <cellStyle name="常规 2 8 2 2 2 5" xfId="37719" xr:uid="{00000000-0005-0000-0000-000057930000}"/>
    <cellStyle name="常规 2 8 2 2 2 5 2" xfId="37720" xr:uid="{00000000-0005-0000-0000-000058930000}"/>
    <cellStyle name="常规 2 8 2 2 3" xfId="37721" xr:uid="{00000000-0005-0000-0000-000059930000}"/>
    <cellStyle name="常规 2 8 2 2 3 2" xfId="37722" xr:uid="{00000000-0005-0000-0000-00005A930000}"/>
    <cellStyle name="常规 2 8 2 2 3 2 2" xfId="37723" xr:uid="{00000000-0005-0000-0000-00005B930000}"/>
    <cellStyle name="常规 2 8 2 2 4" xfId="37724" xr:uid="{00000000-0005-0000-0000-00005C930000}"/>
    <cellStyle name="常规 2 8 2 2 4 2" xfId="37725" xr:uid="{00000000-0005-0000-0000-00005D930000}"/>
    <cellStyle name="常规 2 8 2 2 4 2 2" xfId="37726" xr:uid="{00000000-0005-0000-0000-00005E930000}"/>
    <cellStyle name="常规 2 8 2 2 5" xfId="37727" xr:uid="{00000000-0005-0000-0000-00005F930000}"/>
    <cellStyle name="常规 2 8 2 2 5 2" xfId="37728" xr:uid="{00000000-0005-0000-0000-000060930000}"/>
    <cellStyle name="常规 2 8 2 2 5 3" xfId="37729" xr:uid="{00000000-0005-0000-0000-000061930000}"/>
    <cellStyle name="常规 2 8 2 2 6" xfId="37730" xr:uid="{00000000-0005-0000-0000-000062930000}"/>
    <cellStyle name="常规 2 8 2 2 6 2" xfId="37731" xr:uid="{00000000-0005-0000-0000-000063930000}"/>
    <cellStyle name="常规 2 8 2 2 7" xfId="37732" xr:uid="{00000000-0005-0000-0000-000064930000}"/>
    <cellStyle name="常规 2 8 2 3" xfId="37733" xr:uid="{00000000-0005-0000-0000-000065930000}"/>
    <cellStyle name="常规 2 8 2 3 2" xfId="37734" xr:uid="{00000000-0005-0000-0000-000066930000}"/>
    <cellStyle name="常规 2 8 2 3 2 2" xfId="37735" xr:uid="{00000000-0005-0000-0000-000067930000}"/>
    <cellStyle name="常规 2 8 2 3 2 3" xfId="37736" xr:uid="{00000000-0005-0000-0000-000068930000}"/>
    <cellStyle name="常规 2 8 2 3 2 4" xfId="37737" xr:uid="{00000000-0005-0000-0000-000069930000}"/>
    <cellStyle name="常规 2 8 2 3 3" xfId="37738" xr:uid="{00000000-0005-0000-0000-00006A930000}"/>
    <cellStyle name="常规 2 8 2 3 4" xfId="37739" xr:uid="{00000000-0005-0000-0000-00006B930000}"/>
    <cellStyle name="常规 2 8 2 3 5" xfId="37740" xr:uid="{00000000-0005-0000-0000-00006C930000}"/>
    <cellStyle name="常规 2 8 2 3 6" xfId="37741" xr:uid="{00000000-0005-0000-0000-00006D930000}"/>
    <cellStyle name="常规 2 8 2 3 6 2" xfId="37742" xr:uid="{00000000-0005-0000-0000-00006E930000}"/>
    <cellStyle name="常规 2 8 2 4" xfId="37743" xr:uid="{00000000-0005-0000-0000-00006F930000}"/>
    <cellStyle name="常规 2 8 2 4 2" xfId="37744" xr:uid="{00000000-0005-0000-0000-000070930000}"/>
    <cellStyle name="常规 2 8 2 4 3" xfId="37745" xr:uid="{00000000-0005-0000-0000-000071930000}"/>
    <cellStyle name="常规 2 8 2 4 4" xfId="37746" xr:uid="{00000000-0005-0000-0000-000072930000}"/>
    <cellStyle name="常规 2 8 2 4 5" xfId="37747" xr:uid="{00000000-0005-0000-0000-000073930000}"/>
    <cellStyle name="常规 2 8 2 4 5 2" xfId="37748" xr:uid="{00000000-0005-0000-0000-000074930000}"/>
    <cellStyle name="常规 2 8 2 5" xfId="37749" xr:uid="{00000000-0005-0000-0000-000075930000}"/>
    <cellStyle name="常规 2 8 2 5 2" xfId="37750" xr:uid="{00000000-0005-0000-0000-000076930000}"/>
    <cellStyle name="常规 2 8 2 5 2 2" xfId="37751" xr:uid="{00000000-0005-0000-0000-000077930000}"/>
    <cellStyle name="常规 2 8 2 6" xfId="37752" xr:uid="{00000000-0005-0000-0000-000078930000}"/>
    <cellStyle name="常规 2 8 2 6 2" xfId="37753" xr:uid="{00000000-0005-0000-0000-000079930000}"/>
    <cellStyle name="常规 2 8 2 6 2 2" xfId="37754" xr:uid="{00000000-0005-0000-0000-00007A930000}"/>
    <cellStyle name="常规 2 8 2 7" xfId="37755" xr:uid="{00000000-0005-0000-0000-00007B930000}"/>
    <cellStyle name="常规 2 8 2 7 2" xfId="37756" xr:uid="{00000000-0005-0000-0000-00007C930000}"/>
    <cellStyle name="常规 2 8 2 7 2 2" xfId="37757" xr:uid="{00000000-0005-0000-0000-00007D930000}"/>
    <cellStyle name="常规 2 8 2 8" xfId="37758" xr:uid="{00000000-0005-0000-0000-00007E930000}"/>
    <cellStyle name="常规 2 8 2 8 2" xfId="37759" xr:uid="{00000000-0005-0000-0000-00007F930000}"/>
    <cellStyle name="常规 2 8 2 8 3" xfId="37760" xr:uid="{00000000-0005-0000-0000-000080930000}"/>
    <cellStyle name="常规 2 8 2 9" xfId="37761" xr:uid="{00000000-0005-0000-0000-000081930000}"/>
    <cellStyle name="常规 2 8 3" xfId="37762" xr:uid="{00000000-0005-0000-0000-000082930000}"/>
    <cellStyle name="常规 2 8 3 2" xfId="37763" xr:uid="{00000000-0005-0000-0000-000083930000}"/>
    <cellStyle name="常规 2 8 3 2 2" xfId="37764" xr:uid="{00000000-0005-0000-0000-000084930000}"/>
    <cellStyle name="常规 2 8 3 2 2 2" xfId="37765" xr:uid="{00000000-0005-0000-0000-000085930000}"/>
    <cellStyle name="常规 2 8 3 2 2 2 2" xfId="37766" xr:uid="{00000000-0005-0000-0000-000086930000}"/>
    <cellStyle name="常规 2 8 3 2 3" xfId="37767" xr:uid="{00000000-0005-0000-0000-000087930000}"/>
    <cellStyle name="常规 2 8 3 2 3 2" xfId="37768" xr:uid="{00000000-0005-0000-0000-000088930000}"/>
    <cellStyle name="常规 2 8 3 2 3 2 2" xfId="37769" xr:uid="{00000000-0005-0000-0000-000089930000}"/>
    <cellStyle name="常规 2 8 3 2 4" xfId="37770" xr:uid="{00000000-0005-0000-0000-00008A930000}"/>
    <cellStyle name="常规 2 8 3 2 4 2" xfId="37771" xr:uid="{00000000-0005-0000-0000-00008B930000}"/>
    <cellStyle name="常规 2 8 3 2 4 2 2" xfId="37772" xr:uid="{00000000-0005-0000-0000-00008C930000}"/>
    <cellStyle name="常规 2 8 3 2 5" xfId="37773" xr:uid="{00000000-0005-0000-0000-00008D930000}"/>
    <cellStyle name="常规 2 8 3 2 5 2" xfId="37774" xr:uid="{00000000-0005-0000-0000-00008E930000}"/>
    <cellStyle name="常规 2 8 3 2 5 3" xfId="37775" xr:uid="{00000000-0005-0000-0000-00008F930000}"/>
    <cellStyle name="常规 2 8 3 2 6" xfId="37776" xr:uid="{00000000-0005-0000-0000-000090930000}"/>
    <cellStyle name="常规 2 8 3 3" xfId="37777" xr:uid="{00000000-0005-0000-0000-000091930000}"/>
    <cellStyle name="常规 2 8 3 3 2" xfId="37778" xr:uid="{00000000-0005-0000-0000-000092930000}"/>
    <cellStyle name="常规 2 8 3 3 2 2" xfId="37779" xr:uid="{00000000-0005-0000-0000-000093930000}"/>
    <cellStyle name="常规 2 8 3 3 2 2 2" xfId="37780" xr:uid="{00000000-0005-0000-0000-000094930000}"/>
    <cellStyle name="常规 2 8 3 3 3" xfId="37781" xr:uid="{00000000-0005-0000-0000-000095930000}"/>
    <cellStyle name="常规 2 8 3 3 3 2" xfId="37782" xr:uid="{00000000-0005-0000-0000-000096930000}"/>
    <cellStyle name="常规 2 8 3 3 3 2 2" xfId="37783" xr:uid="{00000000-0005-0000-0000-000097930000}"/>
    <cellStyle name="常规 2 8 3 3 4" xfId="37784" xr:uid="{00000000-0005-0000-0000-000098930000}"/>
    <cellStyle name="常规 2 8 3 3 4 2" xfId="37785" xr:uid="{00000000-0005-0000-0000-000099930000}"/>
    <cellStyle name="常规 2 8 3 3 5" xfId="37786" xr:uid="{00000000-0005-0000-0000-00009A930000}"/>
    <cellStyle name="常规 2 8 3 4" xfId="37787" xr:uid="{00000000-0005-0000-0000-00009B930000}"/>
    <cellStyle name="常规 2 8 3 4 2" xfId="37788" xr:uid="{00000000-0005-0000-0000-00009C930000}"/>
    <cellStyle name="常规 2 8 3 4 2 2" xfId="37789" xr:uid="{00000000-0005-0000-0000-00009D930000}"/>
    <cellStyle name="常规 2 8 3 5" xfId="37790" xr:uid="{00000000-0005-0000-0000-00009E930000}"/>
    <cellStyle name="常规 2 8 3 5 2" xfId="37791" xr:uid="{00000000-0005-0000-0000-00009F930000}"/>
    <cellStyle name="常规 2 8 3 5 2 2" xfId="37792" xr:uid="{00000000-0005-0000-0000-0000A0930000}"/>
    <cellStyle name="常规 2 8 3 6" xfId="37793" xr:uid="{00000000-0005-0000-0000-0000A1930000}"/>
    <cellStyle name="常规 2 8 3 7" xfId="37794" xr:uid="{00000000-0005-0000-0000-0000A2930000}"/>
    <cellStyle name="常规 2 8 3 7 2" xfId="37795" xr:uid="{00000000-0005-0000-0000-0000A3930000}"/>
    <cellStyle name="常规 2 8 3 7 3" xfId="37796" xr:uid="{00000000-0005-0000-0000-0000A4930000}"/>
    <cellStyle name="常规 2 8 3 8" xfId="37797" xr:uid="{00000000-0005-0000-0000-0000A5930000}"/>
    <cellStyle name="常规 2 8 3 8 2" xfId="37798" xr:uid="{00000000-0005-0000-0000-0000A6930000}"/>
    <cellStyle name="常规 2 8 4" xfId="37799" xr:uid="{00000000-0005-0000-0000-0000A7930000}"/>
    <cellStyle name="常规 2 8 4 2" xfId="37800" xr:uid="{00000000-0005-0000-0000-0000A8930000}"/>
    <cellStyle name="常规 2 8 4 2 2" xfId="37801" xr:uid="{00000000-0005-0000-0000-0000A9930000}"/>
    <cellStyle name="常规 2 8 4 2 3" xfId="37802" xr:uid="{00000000-0005-0000-0000-0000AA930000}"/>
    <cellStyle name="常规 2 8 4 2 4" xfId="37803" xr:uid="{00000000-0005-0000-0000-0000AB930000}"/>
    <cellStyle name="常规 2 8 4 2 5" xfId="37804" xr:uid="{00000000-0005-0000-0000-0000AC930000}"/>
    <cellStyle name="常规 2 8 4 2 5 2" xfId="37805" xr:uid="{00000000-0005-0000-0000-0000AD930000}"/>
    <cellStyle name="常规 2 8 4 3" xfId="37806" xr:uid="{00000000-0005-0000-0000-0000AE930000}"/>
    <cellStyle name="常规 2 8 4 3 2" xfId="37807" xr:uid="{00000000-0005-0000-0000-0000AF930000}"/>
    <cellStyle name="常规 2 8 4 3 2 2" xfId="37808" xr:uid="{00000000-0005-0000-0000-0000B0930000}"/>
    <cellStyle name="常规 2 8 4 4" xfId="37809" xr:uid="{00000000-0005-0000-0000-0000B1930000}"/>
    <cellStyle name="常规 2 8 4 4 2" xfId="37810" xr:uid="{00000000-0005-0000-0000-0000B2930000}"/>
    <cellStyle name="常规 2 8 4 4 2 2" xfId="37811" xr:uid="{00000000-0005-0000-0000-0000B3930000}"/>
    <cellStyle name="常规 2 8 4 5" xfId="37812" xr:uid="{00000000-0005-0000-0000-0000B4930000}"/>
    <cellStyle name="常规 2 8 4 5 2" xfId="37813" xr:uid="{00000000-0005-0000-0000-0000B5930000}"/>
    <cellStyle name="常规 2 8 4 5 3" xfId="37814" xr:uid="{00000000-0005-0000-0000-0000B6930000}"/>
    <cellStyle name="常规 2 8 4 6" xfId="37815" xr:uid="{00000000-0005-0000-0000-0000B7930000}"/>
    <cellStyle name="常规 2 8 4 6 2" xfId="37816" xr:uid="{00000000-0005-0000-0000-0000B8930000}"/>
    <cellStyle name="常规 2 8 4 7" xfId="37817" xr:uid="{00000000-0005-0000-0000-0000B9930000}"/>
    <cellStyle name="常规 2 8 5" xfId="37818" xr:uid="{00000000-0005-0000-0000-0000BA930000}"/>
    <cellStyle name="常规 2 8 5 2" xfId="37819" xr:uid="{00000000-0005-0000-0000-0000BB930000}"/>
    <cellStyle name="常规 2 8 5 3" xfId="37820" xr:uid="{00000000-0005-0000-0000-0000BC930000}"/>
    <cellStyle name="常规 2 8 5 4" xfId="37821" xr:uid="{00000000-0005-0000-0000-0000BD930000}"/>
    <cellStyle name="常规 2 8 5 5" xfId="37822" xr:uid="{00000000-0005-0000-0000-0000BE930000}"/>
    <cellStyle name="常规 2 8 5 5 2" xfId="37823" xr:uid="{00000000-0005-0000-0000-0000BF930000}"/>
    <cellStyle name="常规 2 8 6" xfId="37824" xr:uid="{00000000-0005-0000-0000-0000C0930000}"/>
    <cellStyle name="常规 2 8 6 2" xfId="37825" xr:uid="{00000000-0005-0000-0000-0000C1930000}"/>
    <cellStyle name="常规 2 8 6 2 2" xfId="37826" xr:uid="{00000000-0005-0000-0000-0000C2930000}"/>
    <cellStyle name="常规 2 8 7" xfId="37827" xr:uid="{00000000-0005-0000-0000-0000C3930000}"/>
    <cellStyle name="常规 2 8 7 2" xfId="37828" xr:uid="{00000000-0005-0000-0000-0000C4930000}"/>
    <cellStyle name="常规 2 8 7 2 2" xfId="37829" xr:uid="{00000000-0005-0000-0000-0000C5930000}"/>
    <cellStyle name="常规 2 8 8" xfId="37830" xr:uid="{00000000-0005-0000-0000-0000C6930000}"/>
    <cellStyle name="常规 2 8 8 2" xfId="37831" xr:uid="{00000000-0005-0000-0000-0000C7930000}"/>
    <cellStyle name="常规 2 8 8 2 2" xfId="37832" xr:uid="{00000000-0005-0000-0000-0000C8930000}"/>
    <cellStyle name="常规 2 8 9" xfId="37833" xr:uid="{00000000-0005-0000-0000-0000C9930000}"/>
    <cellStyle name="常规 2 8 9 2" xfId="37834" xr:uid="{00000000-0005-0000-0000-0000CA930000}"/>
    <cellStyle name="常规 2 8 9 3" xfId="37835" xr:uid="{00000000-0005-0000-0000-0000CB930000}"/>
    <cellStyle name="常规 2 9" xfId="37836" xr:uid="{00000000-0005-0000-0000-0000CC930000}"/>
    <cellStyle name="常规 2 9 10" xfId="37837" xr:uid="{00000000-0005-0000-0000-0000CD930000}"/>
    <cellStyle name="常规 2 9 10 2" xfId="37838" xr:uid="{00000000-0005-0000-0000-0000CE930000}"/>
    <cellStyle name="常规 2 9 2" xfId="37839" xr:uid="{00000000-0005-0000-0000-0000CF930000}"/>
    <cellStyle name="常规 2 9 2 2" xfId="37840" xr:uid="{00000000-0005-0000-0000-0000D0930000}"/>
    <cellStyle name="常规 2 9 2 2 2" xfId="37841" xr:uid="{00000000-0005-0000-0000-0000D1930000}"/>
    <cellStyle name="常规 2 9 2 2 2 2" xfId="37842" xr:uid="{00000000-0005-0000-0000-0000D2930000}"/>
    <cellStyle name="常规 2 9 2 2 2 2 2" xfId="37843" xr:uid="{00000000-0005-0000-0000-0000D3930000}"/>
    <cellStyle name="常规 2 9 2 2 2 2 2 2" xfId="37844" xr:uid="{00000000-0005-0000-0000-0000D4930000}"/>
    <cellStyle name="常规 2 9 2 2 2 3" xfId="37845" xr:uid="{00000000-0005-0000-0000-0000D5930000}"/>
    <cellStyle name="常规 2 9 2 2 2 3 2" xfId="37846" xr:uid="{00000000-0005-0000-0000-0000D6930000}"/>
    <cellStyle name="常规 2 9 2 2 2 3 2 2" xfId="37847" xr:uid="{00000000-0005-0000-0000-0000D7930000}"/>
    <cellStyle name="常规 2 9 2 2 2 4" xfId="37848" xr:uid="{00000000-0005-0000-0000-0000D8930000}"/>
    <cellStyle name="常规 2 9 2 2 2 4 2" xfId="37849" xr:uid="{00000000-0005-0000-0000-0000D9930000}"/>
    <cellStyle name="常规 2 9 2 2 2 4 2 2" xfId="37850" xr:uid="{00000000-0005-0000-0000-0000DA930000}"/>
    <cellStyle name="常规 2 9 2 2 2 5" xfId="37851" xr:uid="{00000000-0005-0000-0000-0000DB930000}"/>
    <cellStyle name="常规 2 9 2 2 2 5 2" xfId="37852" xr:uid="{00000000-0005-0000-0000-0000DC930000}"/>
    <cellStyle name="常规 2 9 2 2 2 5 3" xfId="37853" xr:uid="{00000000-0005-0000-0000-0000DD930000}"/>
    <cellStyle name="常规 2 9 2 2 2 6" xfId="37854" xr:uid="{00000000-0005-0000-0000-0000DE930000}"/>
    <cellStyle name="常规 2 9 2 2 3" xfId="37855" xr:uid="{00000000-0005-0000-0000-0000DF930000}"/>
    <cellStyle name="常规 2 9 2 2 3 2" xfId="37856" xr:uid="{00000000-0005-0000-0000-0000E0930000}"/>
    <cellStyle name="常规 2 9 2 2 3 2 2" xfId="37857" xr:uid="{00000000-0005-0000-0000-0000E1930000}"/>
    <cellStyle name="常规 2 9 2 2 3 2 2 2" xfId="37858" xr:uid="{00000000-0005-0000-0000-0000E2930000}"/>
    <cellStyle name="常规 2 9 2 2 3 3" xfId="37859" xr:uid="{00000000-0005-0000-0000-0000E3930000}"/>
    <cellStyle name="常规 2 9 2 2 3 3 2" xfId="37860" xr:uid="{00000000-0005-0000-0000-0000E4930000}"/>
    <cellStyle name="常规 2 9 2 2 3 3 2 2" xfId="37861" xr:uid="{00000000-0005-0000-0000-0000E5930000}"/>
    <cellStyle name="常规 2 9 2 2 3 4" xfId="37862" xr:uid="{00000000-0005-0000-0000-0000E6930000}"/>
    <cellStyle name="常规 2 9 2 2 3 4 2" xfId="37863" xr:uid="{00000000-0005-0000-0000-0000E7930000}"/>
    <cellStyle name="常规 2 9 2 2 3 5" xfId="37864" xr:uid="{00000000-0005-0000-0000-0000E8930000}"/>
    <cellStyle name="常规 2 9 2 2 4" xfId="37865" xr:uid="{00000000-0005-0000-0000-0000E9930000}"/>
    <cellStyle name="常规 2 9 2 2 4 2" xfId="37866" xr:uid="{00000000-0005-0000-0000-0000EA930000}"/>
    <cellStyle name="常规 2 9 2 2 4 2 2" xfId="37867" xr:uid="{00000000-0005-0000-0000-0000EB930000}"/>
    <cellStyle name="常规 2 9 2 2 5" xfId="37868" xr:uid="{00000000-0005-0000-0000-0000EC930000}"/>
    <cellStyle name="常规 2 9 2 2 5 2" xfId="37869" xr:uid="{00000000-0005-0000-0000-0000ED930000}"/>
    <cellStyle name="常规 2 9 2 2 5 2 2" xfId="37870" xr:uid="{00000000-0005-0000-0000-0000EE930000}"/>
    <cellStyle name="常规 2 9 2 2 6" xfId="37871" xr:uid="{00000000-0005-0000-0000-0000EF930000}"/>
    <cellStyle name="常规 2 9 2 2 7" xfId="37872" xr:uid="{00000000-0005-0000-0000-0000F0930000}"/>
    <cellStyle name="常规 2 9 2 2 7 2" xfId="37873" xr:uid="{00000000-0005-0000-0000-0000F1930000}"/>
    <cellStyle name="常规 2 9 2 2 7 3" xfId="37874" xr:uid="{00000000-0005-0000-0000-0000F2930000}"/>
    <cellStyle name="常规 2 9 2 2 8" xfId="37875" xr:uid="{00000000-0005-0000-0000-0000F3930000}"/>
    <cellStyle name="常规 2 9 2 2 8 2" xfId="37876" xr:uid="{00000000-0005-0000-0000-0000F4930000}"/>
    <cellStyle name="常规 2 9 2 3" xfId="37877" xr:uid="{00000000-0005-0000-0000-0000F5930000}"/>
    <cellStyle name="常规 2 9 2 3 2" xfId="37878" xr:uid="{00000000-0005-0000-0000-0000F6930000}"/>
    <cellStyle name="常规 2 9 2 3 2 2" xfId="37879" xr:uid="{00000000-0005-0000-0000-0000F7930000}"/>
    <cellStyle name="常规 2 9 2 3 2 3" xfId="37880" xr:uid="{00000000-0005-0000-0000-0000F8930000}"/>
    <cellStyle name="常规 2 9 2 3 2 4" xfId="37881" xr:uid="{00000000-0005-0000-0000-0000F9930000}"/>
    <cellStyle name="常规 2 9 2 3 2 5" xfId="37882" xr:uid="{00000000-0005-0000-0000-0000FA930000}"/>
    <cellStyle name="常规 2 9 2 3 2 5 2" xfId="37883" xr:uid="{00000000-0005-0000-0000-0000FB930000}"/>
    <cellStyle name="常规 2 9 2 3 3" xfId="37884" xr:uid="{00000000-0005-0000-0000-0000FC930000}"/>
    <cellStyle name="常规 2 9 2 3 3 2" xfId="37885" xr:uid="{00000000-0005-0000-0000-0000FD930000}"/>
    <cellStyle name="常规 2 9 2 3 3 2 2" xfId="37886" xr:uid="{00000000-0005-0000-0000-0000FE930000}"/>
    <cellStyle name="常规 2 9 2 3 4" xfId="37887" xr:uid="{00000000-0005-0000-0000-0000FF930000}"/>
    <cellStyle name="常规 2 9 2 3 4 2" xfId="37888" xr:uid="{00000000-0005-0000-0000-000000940000}"/>
    <cellStyle name="常规 2 9 2 3 4 2 2" xfId="37889" xr:uid="{00000000-0005-0000-0000-000001940000}"/>
    <cellStyle name="常规 2 9 2 3 5" xfId="37890" xr:uid="{00000000-0005-0000-0000-000002940000}"/>
    <cellStyle name="常规 2 9 2 3 5 2" xfId="37891" xr:uid="{00000000-0005-0000-0000-000003940000}"/>
    <cellStyle name="常规 2 9 2 3 5 3" xfId="37892" xr:uid="{00000000-0005-0000-0000-000004940000}"/>
    <cellStyle name="常规 2 9 2 3 6" xfId="37893" xr:uid="{00000000-0005-0000-0000-000005940000}"/>
    <cellStyle name="常规 2 9 2 3 6 2" xfId="37894" xr:uid="{00000000-0005-0000-0000-000006940000}"/>
    <cellStyle name="常规 2 9 2 3 7" xfId="37895" xr:uid="{00000000-0005-0000-0000-000007940000}"/>
    <cellStyle name="常规 2 9 2 4" xfId="37896" xr:uid="{00000000-0005-0000-0000-000008940000}"/>
    <cellStyle name="常规 2 9 2 4 2" xfId="37897" xr:uid="{00000000-0005-0000-0000-000009940000}"/>
    <cellStyle name="常规 2 9 2 4 3" xfId="37898" xr:uid="{00000000-0005-0000-0000-00000A940000}"/>
    <cellStyle name="常规 2 9 2 4 4" xfId="37899" xr:uid="{00000000-0005-0000-0000-00000B940000}"/>
    <cellStyle name="常规 2 9 2 4 5" xfId="37900" xr:uid="{00000000-0005-0000-0000-00000C940000}"/>
    <cellStyle name="常规 2 9 2 4 5 2" xfId="37901" xr:uid="{00000000-0005-0000-0000-00000D940000}"/>
    <cellStyle name="常规 2 9 2 5" xfId="37902" xr:uid="{00000000-0005-0000-0000-00000E940000}"/>
    <cellStyle name="常规 2 9 2 5 2" xfId="37903" xr:uid="{00000000-0005-0000-0000-00000F940000}"/>
    <cellStyle name="常规 2 9 2 5 2 2" xfId="37904" xr:uid="{00000000-0005-0000-0000-000010940000}"/>
    <cellStyle name="常规 2 9 2 6" xfId="37905" xr:uid="{00000000-0005-0000-0000-000011940000}"/>
    <cellStyle name="常规 2 9 2 6 2" xfId="37906" xr:uid="{00000000-0005-0000-0000-000012940000}"/>
    <cellStyle name="常规 2 9 2 6 2 2" xfId="37907" xr:uid="{00000000-0005-0000-0000-000013940000}"/>
    <cellStyle name="常规 2 9 2 7" xfId="37908" xr:uid="{00000000-0005-0000-0000-000014940000}"/>
    <cellStyle name="常规 2 9 2 7 2" xfId="37909" xr:uid="{00000000-0005-0000-0000-000015940000}"/>
    <cellStyle name="常规 2 9 2 7 2 2" xfId="37910" xr:uid="{00000000-0005-0000-0000-000016940000}"/>
    <cellStyle name="常规 2 9 2 8" xfId="37911" xr:uid="{00000000-0005-0000-0000-000017940000}"/>
    <cellStyle name="常规 2 9 2 8 2" xfId="37912" xr:uid="{00000000-0005-0000-0000-000018940000}"/>
    <cellStyle name="常规 2 9 2 8 3" xfId="37913" xr:uid="{00000000-0005-0000-0000-000019940000}"/>
    <cellStyle name="常规 2 9 2 9" xfId="37914" xr:uid="{00000000-0005-0000-0000-00001A940000}"/>
    <cellStyle name="常规 2 9 2 9 2" xfId="37915" xr:uid="{00000000-0005-0000-0000-00001B940000}"/>
    <cellStyle name="常规 2 9 3" xfId="37916" xr:uid="{00000000-0005-0000-0000-00001C940000}"/>
    <cellStyle name="常规 2 9 3 2" xfId="37917" xr:uid="{00000000-0005-0000-0000-00001D940000}"/>
    <cellStyle name="常规 2 9 3 2 2" xfId="37918" xr:uid="{00000000-0005-0000-0000-00001E940000}"/>
    <cellStyle name="常规 2 9 3 2 2 2" xfId="37919" xr:uid="{00000000-0005-0000-0000-00001F940000}"/>
    <cellStyle name="常规 2 9 3 2 2 2 2" xfId="37920" xr:uid="{00000000-0005-0000-0000-000020940000}"/>
    <cellStyle name="常规 2 9 3 2 3" xfId="37921" xr:uid="{00000000-0005-0000-0000-000021940000}"/>
    <cellStyle name="常规 2 9 3 2 3 2" xfId="37922" xr:uid="{00000000-0005-0000-0000-000022940000}"/>
    <cellStyle name="常规 2 9 3 2 3 2 2" xfId="37923" xr:uid="{00000000-0005-0000-0000-000023940000}"/>
    <cellStyle name="常规 2 9 3 2 4" xfId="37924" xr:uid="{00000000-0005-0000-0000-000024940000}"/>
    <cellStyle name="常规 2 9 3 2 4 2" xfId="37925" xr:uid="{00000000-0005-0000-0000-000025940000}"/>
    <cellStyle name="常规 2 9 3 2 4 2 2" xfId="37926" xr:uid="{00000000-0005-0000-0000-000026940000}"/>
    <cellStyle name="常规 2 9 3 2 5" xfId="37927" xr:uid="{00000000-0005-0000-0000-000027940000}"/>
    <cellStyle name="常规 2 9 3 2 5 2" xfId="37928" xr:uid="{00000000-0005-0000-0000-000028940000}"/>
    <cellStyle name="常规 2 9 3 2 5 3" xfId="37929" xr:uid="{00000000-0005-0000-0000-000029940000}"/>
    <cellStyle name="常规 2 9 3 2 6" xfId="37930" xr:uid="{00000000-0005-0000-0000-00002A940000}"/>
    <cellStyle name="常规 2 9 3 3" xfId="37931" xr:uid="{00000000-0005-0000-0000-00002B940000}"/>
    <cellStyle name="常规 2 9 3 3 2" xfId="37932" xr:uid="{00000000-0005-0000-0000-00002C940000}"/>
    <cellStyle name="常规 2 9 3 3 2 2" xfId="37933" xr:uid="{00000000-0005-0000-0000-00002D940000}"/>
    <cellStyle name="常规 2 9 3 3 2 2 2" xfId="37934" xr:uid="{00000000-0005-0000-0000-00002E940000}"/>
    <cellStyle name="常规 2 9 3 3 3" xfId="37935" xr:uid="{00000000-0005-0000-0000-00002F940000}"/>
    <cellStyle name="常规 2 9 3 3 3 2" xfId="37936" xr:uid="{00000000-0005-0000-0000-000030940000}"/>
    <cellStyle name="常规 2 9 3 3 3 2 2" xfId="37937" xr:uid="{00000000-0005-0000-0000-000031940000}"/>
    <cellStyle name="常规 2 9 3 3 4" xfId="37938" xr:uid="{00000000-0005-0000-0000-000032940000}"/>
    <cellStyle name="常规 2 9 3 3 4 2" xfId="37939" xr:uid="{00000000-0005-0000-0000-000033940000}"/>
    <cellStyle name="常规 2 9 3 3 5" xfId="37940" xr:uid="{00000000-0005-0000-0000-000034940000}"/>
    <cellStyle name="常规 2 9 3 4" xfId="37941" xr:uid="{00000000-0005-0000-0000-000035940000}"/>
    <cellStyle name="常规 2 9 3 4 2" xfId="37942" xr:uid="{00000000-0005-0000-0000-000036940000}"/>
    <cellStyle name="常规 2 9 3 4 2 2" xfId="37943" xr:uid="{00000000-0005-0000-0000-000037940000}"/>
    <cellStyle name="常规 2 9 3 5" xfId="37944" xr:uid="{00000000-0005-0000-0000-000038940000}"/>
    <cellStyle name="常规 2 9 3 5 2" xfId="37945" xr:uid="{00000000-0005-0000-0000-000039940000}"/>
    <cellStyle name="常规 2 9 3 5 2 2" xfId="37946" xr:uid="{00000000-0005-0000-0000-00003A940000}"/>
    <cellStyle name="常规 2 9 3 6" xfId="37947" xr:uid="{00000000-0005-0000-0000-00003B940000}"/>
    <cellStyle name="常规 2 9 3 7" xfId="37948" xr:uid="{00000000-0005-0000-0000-00003C940000}"/>
    <cellStyle name="常规 2 9 3 7 2" xfId="37949" xr:uid="{00000000-0005-0000-0000-00003D940000}"/>
    <cellStyle name="常规 2 9 3 7 3" xfId="37950" xr:uid="{00000000-0005-0000-0000-00003E940000}"/>
    <cellStyle name="常规 2 9 3 8" xfId="37951" xr:uid="{00000000-0005-0000-0000-00003F940000}"/>
    <cellStyle name="常规 2 9 3 8 2" xfId="37952" xr:uid="{00000000-0005-0000-0000-000040940000}"/>
    <cellStyle name="常规 2 9 4" xfId="37953" xr:uid="{00000000-0005-0000-0000-000041940000}"/>
    <cellStyle name="常规 2 9 4 2" xfId="37954" xr:uid="{00000000-0005-0000-0000-000042940000}"/>
    <cellStyle name="常规 2 9 4 2 2" xfId="37955" xr:uid="{00000000-0005-0000-0000-000043940000}"/>
    <cellStyle name="常规 2 9 4 2 3" xfId="37956" xr:uid="{00000000-0005-0000-0000-000044940000}"/>
    <cellStyle name="常规 2 9 4 2 4" xfId="37957" xr:uid="{00000000-0005-0000-0000-000045940000}"/>
    <cellStyle name="常规 2 9 4 2 5" xfId="37958" xr:uid="{00000000-0005-0000-0000-000046940000}"/>
    <cellStyle name="常规 2 9 4 2 5 2" xfId="37959" xr:uid="{00000000-0005-0000-0000-000047940000}"/>
    <cellStyle name="常规 2 9 4 3" xfId="37960" xr:uid="{00000000-0005-0000-0000-000048940000}"/>
    <cellStyle name="常规 2 9 4 3 2" xfId="37961" xr:uid="{00000000-0005-0000-0000-000049940000}"/>
    <cellStyle name="常规 2 9 4 3 2 2" xfId="37962" xr:uid="{00000000-0005-0000-0000-00004A940000}"/>
    <cellStyle name="常规 2 9 4 4" xfId="37963" xr:uid="{00000000-0005-0000-0000-00004B940000}"/>
    <cellStyle name="常规 2 9 4 4 2" xfId="37964" xr:uid="{00000000-0005-0000-0000-00004C940000}"/>
    <cellStyle name="常规 2 9 4 4 2 2" xfId="37965" xr:uid="{00000000-0005-0000-0000-00004D940000}"/>
    <cellStyle name="常规 2 9 4 5" xfId="37966" xr:uid="{00000000-0005-0000-0000-00004E940000}"/>
    <cellStyle name="常规 2 9 4 5 2" xfId="37967" xr:uid="{00000000-0005-0000-0000-00004F940000}"/>
    <cellStyle name="常规 2 9 4 5 3" xfId="37968" xr:uid="{00000000-0005-0000-0000-000050940000}"/>
    <cellStyle name="常规 2 9 4 6" xfId="37969" xr:uid="{00000000-0005-0000-0000-000051940000}"/>
    <cellStyle name="常规 2 9 4 6 2" xfId="37970" xr:uid="{00000000-0005-0000-0000-000052940000}"/>
    <cellStyle name="常规 2 9 4 7" xfId="37971" xr:uid="{00000000-0005-0000-0000-000053940000}"/>
    <cellStyle name="常规 2 9 5" xfId="37972" xr:uid="{00000000-0005-0000-0000-000054940000}"/>
    <cellStyle name="常规 2 9 5 2" xfId="37973" xr:uid="{00000000-0005-0000-0000-000055940000}"/>
    <cellStyle name="常规 2 9 5 3" xfId="37974" xr:uid="{00000000-0005-0000-0000-000056940000}"/>
    <cellStyle name="常规 2 9 5 4" xfId="37975" xr:uid="{00000000-0005-0000-0000-000057940000}"/>
    <cellStyle name="常规 2 9 5 5" xfId="37976" xr:uid="{00000000-0005-0000-0000-000058940000}"/>
    <cellStyle name="常规 2 9 5 5 2" xfId="37977" xr:uid="{00000000-0005-0000-0000-000059940000}"/>
    <cellStyle name="常规 2 9 6" xfId="37978" xr:uid="{00000000-0005-0000-0000-00005A940000}"/>
    <cellStyle name="常规 2 9 6 2" xfId="37979" xr:uid="{00000000-0005-0000-0000-00005B940000}"/>
    <cellStyle name="常规 2 9 6 2 2" xfId="37980" xr:uid="{00000000-0005-0000-0000-00005C940000}"/>
    <cellStyle name="常规 2 9 7" xfId="37981" xr:uid="{00000000-0005-0000-0000-00005D940000}"/>
    <cellStyle name="常规 2 9 7 2" xfId="37982" xr:uid="{00000000-0005-0000-0000-00005E940000}"/>
    <cellStyle name="常规 2 9 7 2 2" xfId="37983" xr:uid="{00000000-0005-0000-0000-00005F940000}"/>
    <cellStyle name="常规 2 9 8" xfId="37984" xr:uid="{00000000-0005-0000-0000-000060940000}"/>
    <cellStyle name="常规 2 9 8 2" xfId="37985" xr:uid="{00000000-0005-0000-0000-000061940000}"/>
    <cellStyle name="常规 2 9 8 2 2" xfId="37986" xr:uid="{00000000-0005-0000-0000-000062940000}"/>
    <cellStyle name="常规 2 9 9" xfId="37987" xr:uid="{00000000-0005-0000-0000-000063940000}"/>
    <cellStyle name="常规 2 9 9 2" xfId="37988" xr:uid="{00000000-0005-0000-0000-000064940000}"/>
    <cellStyle name="常规 2 9 9 3" xfId="37989" xr:uid="{00000000-0005-0000-0000-000065940000}"/>
    <cellStyle name="常规 20" xfId="37990" xr:uid="{00000000-0005-0000-0000-000066940000}"/>
    <cellStyle name="常规 20 2" xfId="37991" xr:uid="{00000000-0005-0000-0000-000067940000}"/>
    <cellStyle name="常规 20 3" xfId="37992" xr:uid="{00000000-0005-0000-0000-000068940000}"/>
    <cellStyle name="常规 20 3 2" xfId="37993" xr:uid="{00000000-0005-0000-0000-000069940000}"/>
    <cellStyle name="常规 20 3 2 2" xfId="37994" xr:uid="{00000000-0005-0000-0000-00006A940000}"/>
    <cellStyle name="常规 20 3 3" xfId="37995" xr:uid="{00000000-0005-0000-0000-00006B940000}"/>
    <cellStyle name="常规 20 4" xfId="37996" xr:uid="{00000000-0005-0000-0000-00006C940000}"/>
    <cellStyle name="常规 20 4 2" xfId="37997" xr:uid="{00000000-0005-0000-0000-00006D940000}"/>
    <cellStyle name="常规 20 4 2 2" xfId="37998" xr:uid="{00000000-0005-0000-0000-00006E940000}"/>
    <cellStyle name="常规 20 5" xfId="37999" xr:uid="{00000000-0005-0000-0000-00006F940000}"/>
    <cellStyle name="常规 20 5 2" xfId="38000" xr:uid="{00000000-0005-0000-0000-000070940000}"/>
    <cellStyle name="常规 20 6" xfId="38001" xr:uid="{00000000-0005-0000-0000-000071940000}"/>
    <cellStyle name="常规 21" xfId="38002" xr:uid="{00000000-0005-0000-0000-000072940000}"/>
    <cellStyle name="常规 21 2" xfId="38003" xr:uid="{00000000-0005-0000-0000-000073940000}"/>
    <cellStyle name="常规 21 2 2" xfId="38004" xr:uid="{00000000-0005-0000-0000-000074940000}"/>
    <cellStyle name="常规 22" xfId="38005" xr:uid="{00000000-0005-0000-0000-000075940000}"/>
    <cellStyle name="常规 22 10" xfId="38006" xr:uid="{00000000-0005-0000-0000-000076940000}"/>
    <cellStyle name="常规 22 10 2" xfId="38007" xr:uid="{00000000-0005-0000-0000-000077940000}"/>
    <cellStyle name="常规 22 11" xfId="38008" xr:uid="{00000000-0005-0000-0000-000078940000}"/>
    <cellStyle name="常规 22 11 2" xfId="38009" xr:uid="{00000000-0005-0000-0000-000079940000}"/>
    <cellStyle name="常规 22 12" xfId="38010" xr:uid="{00000000-0005-0000-0000-00007A940000}"/>
    <cellStyle name="常规 22 12 2" xfId="38011" xr:uid="{00000000-0005-0000-0000-00007B940000}"/>
    <cellStyle name="常规 22 13" xfId="38012" xr:uid="{00000000-0005-0000-0000-00007C940000}"/>
    <cellStyle name="常规 22 14" xfId="38013" xr:uid="{00000000-0005-0000-0000-00007D940000}"/>
    <cellStyle name="常规 22 2" xfId="38014" xr:uid="{00000000-0005-0000-0000-00007E940000}"/>
    <cellStyle name="常规 22 2 10" xfId="38015" xr:uid="{00000000-0005-0000-0000-00007F940000}"/>
    <cellStyle name="常规 22 2 11" xfId="38016" xr:uid="{00000000-0005-0000-0000-000080940000}"/>
    <cellStyle name="常规 22 2 2" xfId="38017" xr:uid="{00000000-0005-0000-0000-000081940000}"/>
    <cellStyle name="常规 22 2 2 2" xfId="38018" xr:uid="{00000000-0005-0000-0000-000082940000}"/>
    <cellStyle name="常规 22 2 2 3" xfId="38019" xr:uid="{00000000-0005-0000-0000-000083940000}"/>
    <cellStyle name="常规 22 2 3" xfId="38020" xr:uid="{00000000-0005-0000-0000-000084940000}"/>
    <cellStyle name="常规 22 2 3 2" xfId="38021" xr:uid="{00000000-0005-0000-0000-000085940000}"/>
    <cellStyle name="常规 22 2 3 3" xfId="38022" xr:uid="{00000000-0005-0000-0000-000086940000}"/>
    <cellStyle name="常规 22 2 4" xfId="38023" xr:uid="{00000000-0005-0000-0000-000087940000}"/>
    <cellStyle name="常规 22 2 4 2" xfId="38024" xr:uid="{00000000-0005-0000-0000-000088940000}"/>
    <cellStyle name="常规 22 2 4 3" xfId="38025" xr:uid="{00000000-0005-0000-0000-000089940000}"/>
    <cellStyle name="常规 22 2 5" xfId="38026" xr:uid="{00000000-0005-0000-0000-00008A940000}"/>
    <cellStyle name="常规 22 2 5 2" xfId="38027" xr:uid="{00000000-0005-0000-0000-00008B940000}"/>
    <cellStyle name="常规 22 2 6" xfId="38028" xr:uid="{00000000-0005-0000-0000-00008C940000}"/>
    <cellStyle name="常规 22 2 6 2" xfId="38029" xr:uid="{00000000-0005-0000-0000-00008D940000}"/>
    <cellStyle name="常规 22 2 7" xfId="38030" xr:uid="{00000000-0005-0000-0000-00008E940000}"/>
    <cellStyle name="常规 22 2 7 2" xfId="38031" xr:uid="{00000000-0005-0000-0000-00008F940000}"/>
    <cellStyle name="常规 22 2 8" xfId="38032" xr:uid="{00000000-0005-0000-0000-000090940000}"/>
    <cellStyle name="常规 22 2 8 2" xfId="38033" xr:uid="{00000000-0005-0000-0000-000091940000}"/>
    <cellStyle name="常规 22 2 9" xfId="38034" xr:uid="{00000000-0005-0000-0000-000092940000}"/>
    <cellStyle name="常规 22 2 9 2" xfId="38035" xr:uid="{00000000-0005-0000-0000-000093940000}"/>
    <cellStyle name="常规 22 3" xfId="38036" xr:uid="{00000000-0005-0000-0000-000094940000}"/>
    <cellStyle name="常规 22 3 2" xfId="38037" xr:uid="{00000000-0005-0000-0000-000095940000}"/>
    <cellStyle name="常规 22 3 2 2" xfId="38038" xr:uid="{00000000-0005-0000-0000-000096940000}"/>
    <cellStyle name="常规 22 3 3" xfId="38039" xr:uid="{00000000-0005-0000-0000-000097940000}"/>
    <cellStyle name="常规 22 3 3 2" xfId="38040" xr:uid="{00000000-0005-0000-0000-000098940000}"/>
    <cellStyle name="常规 22 3 4" xfId="38041" xr:uid="{00000000-0005-0000-0000-000099940000}"/>
    <cellStyle name="常规 22 3 5" xfId="38042" xr:uid="{00000000-0005-0000-0000-00009A940000}"/>
    <cellStyle name="常规 22 4" xfId="38043" xr:uid="{00000000-0005-0000-0000-00009B940000}"/>
    <cellStyle name="常规 22 4 2" xfId="38044" xr:uid="{00000000-0005-0000-0000-00009C940000}"/>
    <cellStyle name="常规 22 4 2 2" xfId="38045" xr:uid="{00000000-0005-0000-0000-00009D940000}"/>
    <cellStyle name="常规 22 4 3" xfId="38046" xr:uid="{00000000-0005-0000-0000-00009E940000}"/>
    <cellStyle name="常规 22 4 4" xfId="38047" xr:uid="{00000000-0005-0000-0000-00009F940000}"/>
    <cellStyle name="常规 22 5" xfId="38048" xr:uid="{00000000-0005-0000-0000-0000A0940000}"/>
    <cellStyle name="常规 22 5 2" xfId="38049" xr:uid="{00000000-0005-0000-0000-0000A1940000}"/>
    <cellStyle name="常规 22 5 2 2" xfId="38050" xr:uid="{00000000-0005-0000-0000-0000A2940000}"/>
    <cellStyle name="常规 22 5 3" xfId="38051" xr:uid="{00000000-0005-0000-0000-0000A3940000}"/>
    <cellStyle name="常规 22 5 4" xfId="38052" xr:uid="{00000000-0005-0000-0000-0000A4940000}"/>
    <cellStyle name="常规 22 6" xfId="38053" xr:uid="{00000000-0005-0000-0000-0000A5940000}"/>
    <cellStyle name="常规 22 6 2" xfId="38054" xr:uid="{00000000-0005-0000-0000-0000A6940000}"/>
    <cellStyle name="常规 22 6 3" xfId="38055" xr:uid="{00000000-0005-0000-0000-0000A7940000}"/>
    <cellStyle name="常规 22 7" xfId="38056" xr:uid="{00000000-0005-0000-0000-0000A8940000}"/>
    <cellStyle name="常规 22 7 2" xfId="38057" xr:uid="{00000000-0005-0000-0000-0000A9940000}"/>
    <cellStyle name="常规 22 7 3" xfId="38058" xr:uid="{00000000-0005-0000-0000-0000AA940000}"/>
    <cellStyle name="常规 22 8" xfId="38059" xr:uid="{00000000-0005-0000-0000-0000AB940000}"/>
    <cellStyle name="常规 22 8 2" xfId="38060" xr:uid="{00000000-0005-0000-0000-0000AC940000}"/>
    <cellStyle name="常规 22 9" xfId="38061" xr:uid="{00000000-0005-0000-0000-0000AD940000}"/>
    <cellStyle name="常规 22 9 2" xfId="38062" xr:uid="{00000000-0005-0000-0000-0000AE940000}"/>
    <cellStyle name="常规 23" xfId="38063" xr:uid="{00000000-0005-0000-0000-0000AF940000}"/>
    <cellStyle name="常规 23 2" xfId="38064" xr:uid="{00000000-0005-0000-0000-0000B0940000}"/>
    <cellStyle name="常规 24" xfId="38065" xr:uid="{00000000-0005-0000-0000-0000B1940000}"/>
    <cellStyle name="常规 24 2" xfId="38066" xr:uid="{00000000-0005-0000-0000-0000B2940000}"/>
    <cellStyle name="常规 24 3" xfId="38067" xr:uid="{00000000-0005-0000-0000-0000B3940000}"/>
    <cellStyle name="常规 29" xfId="38068" xr:uid="{00000000-0005-0000-0000-0000B4940000}"/>
    <cellStyle name="常规 3" xfId="38069" xr:uid="{00000000-0005-0000-0000-0000B5940000}"/>
    <cellStyle name="常规 3 10" xfId="38070" xr:uid="{00000000-0005-0000-0000-0000B6940000}"/>
    <cellStyle name="常规 3 10 2" xfId="38071" xr:uid="{00000000-0005-0000-0000-0000B7940000}"/>
    <cellStyle name="常规 3 10 2 2" xfId="38072" xr:uid="{00000000-0005-0000-0000-0000B8940000}"/>
    <cellStyle name="常规 3 10 2 3" xfId="38073" xr:uid="{00000000-0005-0000-0000-0000B9940000}"/>
    <cellStyle name="常规 3 10 2 4" xfId="38074" xr:uid="{00000000-0005-0000-0000-0000BA940000}"/>
    <cellStyle name="常规 3 10 2 4 2" xfId="38075" xr:uid="{00000000-0005-0000-0000-0000BB940000}"/>
    <cellStyle name="常规 3 10 2 4 3" xfId="38076" xr:uid="{00000000-0005-0000-0000-0000BC940000}"/>
    <cellStyle name="常规 3 10 2 5" xfId="38077" xr:uid="{00000000-0005-0000-0000-0000BD940000}"/>
    <cellStyle name="常规 3 10 2 5 2" xfId="38078" xr:uid="{00000000-0005-0000-0000-0000BE940000}"/>
    <cellStyle name="常规 3 10 3" xfId="38079" xr:uid="{00000000-0005-0000-0000-0000BF940000}"/>
    <cellStyle name="常规 3 10 3 2" xfId="38080" xr:uid="{00000000-0005-0000-0000-0000C0940000}"/>
    <cellStyle name="常规 3 10 3 2 2" xfId="38081" xr:uid="{00000000-0005-0000-0000-0000C1940000}"/>
    <cellStyle name="常规 3 10 4" xfId="38082" xr:uid="{00000000-0005-0000-0000-0000C2940000}"/>
    <cellStyle name="常规 3 10 4 2" xfId="38083" xr:uid="{00000000-0005-0000-0000-0000C3940000}"/>
    <cellStyle name="常规 3 10 4 2 2" xfId="38084" xr:uid="{00000000-0005-0000-0000-0000C4940000}"/>
    <cellStyle name="常规 3 10 5" xfId="38085" xr:uid="{00000000-0005-0000-0000-0000C5940000}"/>
    <cellStyle name="常规 3 10 6" xfId="38086" xr:uid="{00000000-0005-0000-0000-0000C6940000}"/>
    <cellStyle name="常规 3 10 7" xfId="38087" xr:uid="{00000000-0005-0000-0000-0000C7940000}"/>
    <cellStyle name="常规 3 10 7 2" xfId="38088" xr:uid="{00000000-0005-0000-0000-0000C8940000}"/>
    <cellStyle name="常规 3 10 7 3" xfId="38089" xr:uid="{00000000-0005-0000-0000-0000C9940000}"/>
    <cellStyle name="常规 3 10 8" xfId="38090" xr:uid="{00000000-0005-0000-0000-0000CA940000}"/>
    <cellStyle name="常规 3 10 8 2" xfId="38091" xr:uid="{00000000-0005-0000-0000-0000CB940000}"/>
    <cellStyle name="常规 3 11" xfId="38092" xr:uid="{00000000-0005-0000-0000-0000CC940000}"/>
    <cellStyle name="常规 3 11 2" xfId="38093" xr:uid="{00000000-0005-0000-0000-0000CD940000}"/>
    <cellStyle name="常规 3 11 2 2" xfId="38094" xr:uid="{00000000-0005-0000-0000-0000CE940000}"/>
    <cellStyle name="常规 3 11 2 3" xfId="38095" xr:uid="{00000000-0005-0000-0000-0000CF940000}"/>
    <cellStyle name="常规 3 11 2 4" xfId="38096" xr:uid="{00000000-0005-0000-0000-0000D0940000}"/>
    <cellStyle name="常规 3 11 2 4 2" xfId="38097" xr:uid="{00000000-0005-0000-0000-0000D1940000}"/>
    <cellStyle name="常规 3 11 2 5" xfId="38098" xr:uid="{00000000-0005-0000-0000-0000D2940000}"/>
    <cellStyle name="常规 3 11 2 5 2" xfId="38099" xr:uid="{00000000-0005-0000-0000-0000D3940000}"/>
    <cellStyle name="常规 3 11 3" xfId="38100" xr:uid="{00000000-0005-0000-0000-0000D4940000}"/>
    <cellStyle name="常规 3 11 4" xfId="38101" xr:uid="{00000000-0005-0000-0000-0000D5940000}"/>
    <cellStyle name="常规 3 11 5" xfId="38102" xr:uid="{00000000-0005-0000-0000-0000D6940000}"/>
    <cellStyle name="常规 3 11 6" xfId="38103" xr:uid="{00000000-0005-0000-0000-0000D7940000}"/>
    <cellStyle name="常规 3 11 7" xfId="38104" xr:uid="{00000000-0005-0000-0000-0000D8940000}"/>
    <cellStyle name="常规 3 11 7 2" xfId="38105" xr:uid="{00000000-0005-0000-0000-0000D9940000}"/>
    <cellStyle name="常规 3 11 7 3" xfId="38106" xr:uid="{00000000-0005-0000-0000-0000DA940000}"/>
    <cellStyle name="常规 3 11 8" xfId="38107" xr:uid="{00000000-0005-0000-0000-0000DB940000}"/>
    <cellStyle name="常规 3 11 8 2" xfId="38108" xr:uid="{00000000-0005-0000-0000-0000DC940000}"/>
    <cellStyle name="常规 3 12" xfId="38109" xr:uid="{00000000-0005-0000-0000-0000DD940000}"/>
    <cellStyle name="常规 3 12 2" xfId="38110" xr:uid="{00000000-0005-0000-0000-0000DE940000}"/>
    <cellStyle name="常规 3 12 2 2" xfId="38111" xr:uid="{00000000-0005-0000-0000-0000DF940000}"/>
    <cellStyle name="常规 3 12 2 3" xfId="38112" xr:uid="{00000000-0005-0000-0000-0000E0940000}"/>
    <cellStyle name="常规 3 12 2 4" xfId="38113" xr:uid="{00000000-0005-0000-0000-0000E1940000}"/>
    <cellStyle name="常规 3 12 2 4 2" xfId="38114" xr:uid="{00000000-0005-0000-0000-0000E2940000}"/>
    <cellStyle name="常规 3 12 2 5" xfId="38115" xr:uid="{00000000-0005-0000-0000-0000E3940000}"/>
    <cellStyle name="常规 3 12 2 5 2" xfId="38116" xr:uid="{00000000-0005-0000-0000-0000E4940000}"/>
    <cellStyle name="常规 3 12 3" xfId="38117" xr:uid="{00000000-0005-0000-0000-0000E5940000}"/>
    <cellStyle name="常规 3 12 4" xfId="38118" xr:uid="{00000000-0005-0000-0000-0000E6940000}"/>
    <cellStyle name="常规 3 12 5" xfId="38119" xr:uid="{00000000-0005-0000-0000-0000E7940000}"/>
    <cellStyle name="常规 3 12 6" xfId="38120" xr:uid="{00000000-0005-0000-0000-0000E8940000}"/>
    <cellStyle name="常规 3 12 6 2" xfId="38121" xr:uid="{00000000-0005-0000-0000-0000E9940000}"/>
    <cellStyle name="常规 3 12 6 3" xfId="38122" xr:uid="{00000000-0005-0000-0000-0000EA940000}"/>
    <cellStyle name="常规 3 12 7" xfId="38123" xr:uid="{00000000-0005-0000-0000-0000EB940000}"/>
    <cellStyle name="常规 3 12 7 2" xfId="38124" xr:uid="{00000000-0005-0000-0000-0000EC940000}"/>
    <cellStyle name="常规 3 13" xfId="38125" xr:uid="{00000000-0005-0000-0000-0000ED940000}"/>
    <cellStyle name="常规 3 13 2" xfId="38126" xr:uid="{00000000-0005-0000-0000-0000EE940000}"/>
    <cellStyle name="常规 3 13 2 2" xfId="38127" xr:uid="{00000000-0005-0000-0000-0000EF940000}"/>
    <cellStyle name="常规 3 13 2 3" xfId="38128" xr:uid="{00000000-0005-0000-0000-0000F0940000}"/>
    <cellStyle name="常规 3 13 2 4" xfId="38129" xr:uid="{00000000-0005-0000-0000-0000F1940000}"/>
    <cellStyle name="常规 3 13 2 4 2" xfId="38130" xr:uid="{00000000-0005-0000-0000-0000F2940000}"/>
    <cellStyle name="常规 3 13 2 5" xfId="38131" xr:uid="{00000000-0005-0000-0000-0000F3940000}"/>
    <cellStyle name="常规 3 13 2 5 2" xfId="38132" xr:uid="{00000000-0005-0000-0000-0000F4940000}"/>
    <cellStyle name="常规 3 13 3" xfId="38133" xr:uid="{00000000-0005-0000-0000-0000F5940000}"/>
    <cellStyle name="常规 3 13 4" xfId="38134" xr:uid="{00000000-0005-0000-0000-0000F6940000}"/>
    <cellStyle name="常规 3 13 5" xfId="38135" xr:uid="{00000000-0005-0000-0000-0000F7940000}"/>
    <cellStyle name="常规 3 13 6" xfId="38136" xr:uid="{00000000-0005-0000-0000-0000F8940000}"/>
    <cellStyle name="常规 3 13 6 2" xfId="38137" xr:uid="{00000000-0005-0000-0000-0000F9940000}"/>
    <cellStyle name="常规 3 13 6 3" xfId="38138" xr:uid="{00000000-0005-0000-0000-0000FA940000}"/>
    <cellStyle name="常规 3 13 7" xfId="38139" xr:uid="{00000000-0005-0000-0000-0000FB940000}"/>
    <cellStyle name="常规 3 13 7 2" xfId="38140" xr:uid="{00000000-0005-0000-0000-0000FC940000}"/>
    <cellStyle name="常规 3 14" xfId="38141" xr:uid="{00000000-0005-0000-0000-0000FD940000}"/>
    <cellStyle name="常规 3 14 2" xfId="38142" xr:uid="{00000000-0005-0000-0000-0000FE940000}"/>
    <cellStyle name="常规 3 14 2 2" xfId="38143" xr:uid="{00000000-0005-0000-0000-0000FF940000}"/>
    <cellStyle name="常规 3 14 2 2 2" xfId="38144" xr:uid="{00000000-0005-0000-0000-000000950000}"/>
    <cellStyle name="常规 3 14 2 2 2 2" xfId="38145" xr:uid="{00000000-0005-0000-0000-000001950000}"/>
    <cellStyle name="常规 3 14 2 3" xfId="38146" xr:uid="{00000000-0005-0000-0000-000002950000}"/>
    <cellStyle name="常规 3 14 2 3 2" xfId="38147" xr:uid="{00000000-0005-0000-0000-000003950000}"/>
    <cellStyle name="常规 3 14 2 4" xfId="38148" xr:uid="{00000000-0005-0000-0000-000004950000}"/>
    <cellStyle name="常规 3 14 2 4 2" xfId="38149" xr:uid="{00000000-0005-0000-0000-000005950000}"/>
    <cellStyle name="常规 3 14 2 5" xfId="38150" xr:uid="{00000000-0005-0000-0000-000006950000}"/>
    <cellStyle name="常规 3 14 3" xfId="38151" xr:uid="{00000000-0005-0000-0000-000007950000}"/>
    <cellStyle name="常规 3 14 4" xfId="38152" xr:uid="{00000000-0005-0000-0000-000008950000}"/>
    <cellStyle name="常规 3 14 4 2" xfId="38153" xr:uid="{00000000-0005-0000-0000-000009950000}"/>
    <cellStyle name="常规 3 14 4 3" xfId="38154" xr:uid="{00000000-0005-0000-0000-00000A950000}"/>
    <cellStyle name="常规 3 14 5" xfId="38155" xr:uid="{00000000-0005-0000-0000-00000B950000}"/>
    <cellStyle name="常规 3 14 5 2" xfId="38156" xr:uid="{00000000-0005-0000-0000-00000C950000}"/>
    <cellStyle name="常规 3 15" xfId="38157" xr:uid="{00000000-0005-0000-0000-00000D950000}"/>
    <cellStyle name="常规 3 15 2" xfId="38158" xr:uid="{00000000-0005-0000-0000-00000E950000}"/>
    <cellStyle name="常规 3 15 2 2" xfId="38159" xr:uid="{00000000-0005-0000-0000-00000F950000}"/>
    <cellStyle name="常规 3 15 2 2 2" xfId="38160" xr:uid="{00000000-0005-0000-0000-000010950000}"/>
    <cellStyle name="常规 3 15 2 2 2 2" xfId="38161" xr:uid="{00000000-0005-0000-0000-000011950000}"/>
    <cellStyle name="常规 3 15 2 3" xfId="38162" xr:uid="{00000000-0005-0000-0000-000012950000}"/>
    <cellStyle name="常规 3 15 2 3 2" xfId="38163" xr:uid="{00000000-0005-0000-0000-000013950000}"/>
    <cellStyle name="常规 3 15 2 4" xfId="38164" xr:uid="{00000000-0005-0000-0000-000014950000}"/>
    <cellStyle name="常规 3 15 2 4 2" xfId="38165" xr:uid="{00000000-0005-0000-0000-000015950000}"/>
    <cellStyle name="常规 3 15 2 5" xfId="38166" xr:uid="{00000000-0005-0000-0000-000016950000}"/>
    <cellStyle name="常规 3 15 3" xfId="38167" xr:uid="{00000000-0005-0000-0000-000017950000}"/>
    <cellStyle name="常规 3 15 3 2" xfId="38168" xr:uid="{00000000-0005-0000-0000-000018950000}"/>
    <cellStyle name="常规 3 15 3 2 2" xfId="38169" xr:uid="{00000000-0005-0000-0000-000019950000}"/>
    <cellStyle name="常规 3 15 4" xfId="38170" xr:uid="{00000000-0005-0000-0000-00001A950000}"/>
    <cellStyle name="常规 3 15 4 2" xfId="38171" xr:uid="{00000000-0005-0000-0000-00001B950000}"/>
    <cellStyle name="常规 3 15 4 2 2" xfId="38172" xr:uid="{00000000-0005-0000-0000-00001C950000}"/>
    <cellStyle name="常规 3 15 5" xfId="38173" xr:uid="{00000000-0005-0000-0000-00001D950000}"/>
    <cellStyle name="常规 3 15 5 2" xfId="38174" xr:uid="{00000000-0005-0000-0000-00001E950000}"/>
    <cellStyle name="常规 3 15 6" xfId="38175" xr:uid="{00000000-0005-0000-0000-00001F950000}"/>
    <cellStyle name="常规 3 16" xfId="38176" xr:uid="{00000000-0005-0000-0000-000020950000}"/>
    <cellStyle name="常规 3 16 2" xfId="38177" xr:uid="{00000000-0005-0000-0000-000021950000}"/>
    <cellStyle name="常规 3 16 2 2" xfId="38178" xr:uid="{00000000-0005-0000-0000-000022950000}"/>
    <cellStyle name="常规 3 16 2 2 2" xfId="38179" xr:uid="{00000000-0005-0000-0000-000023950000}"/>
    <cellStyle name="常规 3 16 2 2 2 2" xfId="38180" xr:uid="{00000000-0005-0000-0000-000024950000}"/>
    <cellStyle name="常规 3 16 2 3" xfId="38181" xr:uid="{00000000-0005-0000-0000-000025950000}"/>
    <cellStyle name="常规 3 16 2 3 2" xfId="38182" xr:uid="{00000000-0005-0000-0000-000026950000}"/>
    <cellStyle name="常规 3 16 2 4" xfId="38183" xr:uid="{00000000-0005-0000-0000-000027950000}"/>
    <cellStyle name="常规 3 16 2 4 2" xfId="38184" xr:uid="{00000000-0005-0000-0000-000028950000}"/>
    <cellStyle name="常规 3 16 2 5" xfId="38185" xr:uid="{00000000-0005-0000-0000-000029950000}"/>
    <cellStyle name="常规 3 16 3" xfId="38186" xr:uid="{00000000-0005-0000-0000-00002A950000}"/>
    <cellStyle name="常规 3 16 3 2" xfId="38187" xr:uid="{00000000-0005-0000-0000-00002B950000}"/>
    <cellStyle name="常规 3 16 3 2 2" xfId="38188" xr:uid="{00000000-0005-0000-0000-00002C950000}"/>
    <cellStyle name="常规 3 16 4" xfId="38189" xr:uid="{00000000-0005-0000-0000-00002D950000}"/>
    <cellStyle name="常规 3 16 4 2" xfId="38190" xr:uid="{00000000-0005-0000-0000-00002E950000}"/>
    <cellStyle name="常规 3 16 5" xfId="38191" xr:uid="{00000000-0005-0000-0000-00002F950000}"/>
    <cellStyle name="常规 3 16 5 2" xfId="38192" xr:uid="{00000000-0005-0000-0000-000030950000}"/>
    <cellStyle name="常规 3 16 6" xfId="38193" xr:uid="{00000000-0005-0000-0000-000031950000}"/>
    <cellStyle name="常规 3 17" xfId="38194" xr:uid="{00000000-0005-0000-0000-000032950000}"/>
    <cellStyle name="常规 3 17 2" xfId="38195" xr:uid="{00000000-0005-0000-0000-000033950000}"/>
    <cellStyle name="常规 3 17 2 2" xfId="38196" xr:uid="{00000000-0005-0000-0000-000034950000}"/>
    <cellStyle name="常规 3 17 2 2 2" xfId="38197" xr:uid="{00000000-0005-0000-0000-000035950000}"/>
    <cellStyle name="常规 3 17 3" xfId="38198" xr:uid="{00000000-0005-0000-0000-000036950000}"/>
    <cellStyle name="常规 3 17 3 2" xfId="38199" xr:uid="{00000000-0005-0000-0000-000037950000}"/>
    <cellStyle name="常规 3 17 4" xfId="38200" xr:uid="{00000000-0005-0000-0000-000038950000}"/>
    <cellStyle name="常规 3 17 4 2" xfId="38201" xr:uid="{00000000-0005-0000-0000-000039950000}"/>
    <cellStyle name="常规 3 17 5" xfId="38202" xr:uid="{00000000-0005-0000-0000-00003A950000}"/>
    <cellStyle name="常规 3 18" xfId="38203" xr:uid="{00000000-0005-0000-0000-00003B950000}"/>
    <cellStyle name="常规 3 19" xfId="38204" xr:uid="{00000000-0005-0000-0000-00003C950000}"/>
    <cellStyle name="常规 3 19 2" xfId="38205" xr:uid="{00000000-0005-0000-0000-00003D950000}"/>
    <cellStyle name="常规 3 19 2 2" xfId="38206" xr:uid="{00000000-0005-0000-0000-00003E950000}"/>
    <cellStyle name="常规 3 19 3" xfId="38207" xr:uid="{00000000-0005-0000-0000-00003F950000}"/>
    <cellStyle name="常规 3 19 3 2" xfId="38208" xr:uid="{00000000-0005-0000-0000-000040950000}"/>
    <cellStyle name="常规 3 19 3 3" xfId="38209" xr:uid="{00000000-0005-0000-0000-000041950000}"/>
    <cellStyle name="常规 3 19 4" xfId="38210" xr:uid="{00000000-0005-0000-0000-000042950000}"/>
    <cellStyle name="常规 3 19 5" xfId="38211" xr:uid="{00000000-0005-0000-0000-000043950000}"/>
    <cellStyle name="常规 3 2" xfId="38212" xr:uid="{00000000-0005-0000-0000-000044950000}"/>
    <cellStyle name="常规 3 2 10" xfId="38213" xr:uid="{00000000-0005-0000-0000-000045950000}"/>
    <cellStyle name="常规 3 2 10 2" xfId="38214" xr:uid="{00000000-0005-0000-0000-000046950000}"/>
    <cellStyle name="常规 3 2 10 2 2" xfId="38215" xr:uid="{00000000-0005-0000-0000-000047950000}"/>
    <cellStyle name="常规 3 2 10 2 2 2" xfId="38216" xr:uid="{00000000-0005-0000-0000-000048950000}"/>
    <cellStyle name="常规 3 2 10 2 2 2 2" xfId="38217" xr:uid="{00000000-0005-0000-0000-000049950000}"/>
    <cellStyle name="常规 3 2 10 2 3" xfId="38218" xr:uid="{00000000-0005-0000-0000-00004A950000}"/>
    <cellStyle name="常规 3 2 10 2 3 2" xfId="38219" xr:uid="{00000000-0005-0000-0000-00004B950000}"/>
    <cellStyle name="常规 3 2 10 2 4" xfId="38220" xr:uid="{00000000-0005-0000-0000-00004C950000}"/>
    <cellStyle name="常规 3 2 10 2 4 2" xfId="38221" xr:uid="{00000000-0005-0000-0000-00004D950000}"/>
    <cellStyle name="常规 3 2 10 2 5" xfId="38222" xr:uid="{00000000-0005-0000-0000-00004E950000}"/>
    <cellStyle name="常规 3 2 10 3" xfId="38223" xr:uid="{00000000-0005-0000-0000-00004F950000}"/>
    <cellStyle name="常规 3 2 10 3 2" xfId="38224" xr:uid="{00000000-0005-0000-0000-000050950000}"/>
    <cellStyle name="常规 3 2 10 3 2 2" xfId="38225" xr:uid="{00000000-0005-0000-0000-000051950000}"/>
    <cellStyle name="常规 3 2 10 4" xfId="38226" xr:uid="{00000000-0005-0000-0000-000052950000}"/>
    <cellStyle name="常规 3 2 10 4 2" xfId="38227" xr:uid="{00000000-0005-0000-0000-000053950000}"/>
    <cellStyle name="常规 3 2 10 5" xfId="38228" xr:uid="{00000000-0005-0000-0000-000054950000}"/>
    <cellStyle name="常规 3 2 10 5 2" xfId="38229" xr:uid="{00000000-0005-0000-0000-000055950000}"/>
    <cellStyle name="常规 3 2 10 6" xfId="38230" xr:uid="{00000000-0005-0000-0000-000056950000}"/>
    <cellStyle name="常规 3 2 11" xfId="38231" xr:uid="{00000000-0005-0000-0000-000057950000}"/>
    <cellStyle name="常规 3 2 11 2" xfId="38232" xr:uid="{00000000-0005-0000-0000-000058950000}"/>
    <cellStyle name="常规 3 2 11 2 2" xfId="38233" xr:uid="{00000000-0005-0000-0000-000059950000}"/>
    <cellStyle name="常规 3 2 11 2 2 2" xfId="38234" xr:uid="{00000000-0005-0000-0000-00005A950000}"/>
    <cellStyle name="常规 3 2 11 3" xfId="38235" xr:uid="{00000000-0005-0000-0000-00005B950000}"/>
    <cellStyle name="常规 3 2 11 3 2" xfId="38236" xr:uid="{00000000-0005-0000-0000-00005C950000}"/>
    <cellStyle name="常规 3 2 11 4" xfId="38237" xr:uid="{00000000-0005-0000-0000-00005D950000}"/>
    <cellStyle name="常规 3 2 11 4 2" xfId="38238" xr:uid="{00000000-0005-0000-0000-00005E950000}"/>
    <cellStyle name="常规 3 2 11 5" xfId="38239" xr:uid="{00000000-0005-0000-0000-00005F950000}"/>
    <cellStyle name="常规 3 2 12" xfId="38240" xr:uid="{00000000-0005-0000-0000-000060950000}"/>
    <cellStyle name="常规 3 2 13" xfId="38241" xr:uid="{00000000-0005-0000-0000-000061950000}"/>
    <cellStyle name="常规 3 2 13 2" xfId="38242" xr:uid="{00000000-0005-0000-0000-000062950000}"/>
    <cellStyle name="常规 3 2 13 2 2" xfId="38243" xr:uid="{00000000-0005-0000-0000-000063950000}"/>
    <cellStyle name="常规 3 2 13 3" xfId="38244" xr:uid="{00000000-0005-0000-0000-000064950000}"/>
    <cellStyle name="常规 3 2 13 3 2" xfId="38245" xr:uid="{00000000-0005-0000-0000-000065950000}"/>
    <cellStyle name="常规 3 2 14" xfId="38246" xr:uid="{00000000-0005-0000-0000-000066950000}"/>
    <cellStyle name="常规 3 2 14 2" xfId="38247" xr:uid="{00000000-0005-0000-0000-000067950000}"/>
    <cellStyle name="常规 3 2 2" xfId="38248" xr:uid="{00000000-0005-0000-0000-000068950000}"/>
    <cellStyle name="常规 3 2 2 10" xfId="38249" xr:uid="{00000000-0005-0000-0000-000069950000}"/>
    <cellStyle name="常规 3 2 2 2" xfId="38250" xr:uid="{00000000-0005-0000-0000-00006A950000}"/>
    <cellStyle name="常规 3 2 2 2 2" xfId="38251" xr:uid="{00000000-0005-0000-0000-00006B950000}"/>
    <cellStyle name="常规 3 2 2 2 2 2" xfId="38252" xr:uid="{00000000-0005-0000-0000-00006C950000}"/>
    <cellStyle name="常规 3 2 2 2 2 2 2" xfId="38253" xr:uid="{00000000-0005-0000-0000-00006D950000}"/>
    <cellStyle name="常规 3 2 2 2 2 2 3" xfId="38254" xr:uid="{00000000-0005-0000-0000-00006E950000}"/>
    <cellStyle name="常规 3 2 2 2 2 2 4" xfId="38255" xr:uid="{00000000-0005-0000-0000-00006F950000}"/>
    <cellStyle name="常规 3 2 2 2 2 2 5" xfId="38256" xr:uid="{00000000-0005-0000-0000-000070950000}"/>
    <cellStyle name="常规 3 2 2 2 2 2 5 2" xfId="38257" xr:uid="{00000000-0005-0000-0000-000071950000}"/>
    <cellStyle name="常规 3 2 2 2 2 3" xfId="38258" xr:uid="{00000000-0005-0000-0000-000072950000}"/>
    <cellStyle name="常规 3 2 2 2 2 3 2" xfId="38259" xr:uid="{00000000-0005-0000-0000-000073950000}"/>
    <cellStyle name="常规 3 2 2 2 2 3 2 2" xfId="38260" xr:uid="{00000000-0005-0000-0000-000074950000}"/>
    <cellStyle name="常规 3 2 2 2 2 4" xfId="38261" xr:uid="{00000000-0005-0000-0000-000075950000}"/>
    <cellStyle name="常规 3 2 2 2 2 4 2" xfId="38262" xr:uid="{00000000-0005-0000-0000-000076950000}"/>
    <cellStyle name="常规 3 2 2 2 2 4 2 2" xfId="38263" xr:uid="{00000000-0005-0000-0000-000077950000}"/>
    <cellStyle name="常规 3 2 2 2 2 5" xfId="38264" xr:uid="{00000000-0005-0000-0000-000078950000}"/>
    <cellStyle name="常规 3 2 2 2 2 5 2" xfId="38265" xr:uid="{00000000-0005-0000-0000-000079950000}"/>
    <cellStyle name="常规 3 2 2 2 2 5 3" xfId="38266" xr:uid="{00000000-0005-0000-0000-00007A950000}"/>
    <cellStyle name="常规 3 2 2 2 2 6" xfId="38267" xr:uid="{00000000-0005-0000-0000-00007B950000}"/>
    <cellStyle name="常规 3 2 2 2 2 6 2" xfId="38268" xr:uid="{00000000-0005-0000-0000-00007C950000}"/>
    <cellStyle name="常规 3 2 2 2 2 7" xfId="38269" xr:uid="{00000000-0005-0000-0000-00007D950000}"/>
    <cellStyle name="常规 3 2 2 2 3" xfId="38270" xr:uid="{00000000-0005-0000-0000-00007E950000}"/>
    <cellStyle name="常规 3 2 2 2 3 2" xfId="38271" xr:uid="{00000000-0005-0000-0000-00007F950000}"/>
    <cellStyle name="常规 3 2 2 2 3 2 2" xfId="38272" xr:uid="{00000000-0005-0000-0000-000080950000}"/>
    <cellStyle name="常规 3 2 2 2 3 2 2 2" xfId="38273" xr:uid="{00000000-0005-0000-0000-000081950000}"/>
    <cellStyle name="常规 3 2 2 2 3 2 3" xfId="38274" xr:uid="{00000000-0005-0000-0000-000082950000}"/>
    <cellStyle name="常规 3 2 2 2 3 2 4" xfId="38275" xr:uid="{00000000-0005-0000-0000-000083950000}"/>
    <cellStyle name="常规 3 2 2 2 3 2 5" xfId="38276" xr:uid="{00000000-0005-0000-0000-000084950000}"/>
    <cellStyle name="常规 3 2 2 2 3 2 5 2" xfId="38277" xr:uid="{00000000-0005-0000-0000-000085950000}"/>
    <cellStyle name="常规 3 2 2 2 3 2 6" xfId="38278" xr:uid="{00000000-0005-0000-0000-000086950000}"/>
    <cellStyle name="常规 3 2 2 2 3 3" xfId="38279" xr:uid="{00000000-0005-0000-0000-000087950000}"/>
    <cellStyle name="常规 3 2 2 2 3 3 2" xfId="38280" xr:uid="{00000000-0005-0000-0000-000088950000}"/>
    <cellStyle name="常规 3 2 2 2 3 3 2 2" xfId="38281" xr:uid="{00000000-0005-0000-0000-000089950000}"/>
    <cellStyle name="常规 3 2 2 2 3 4" xfId="38282" xr:uid="{00000000-0005-0000-0000-00008A950000}"/>
    <cellStyle name="常规 3 2 2 2 3 4 2" xfId="38283" xr:uid="{00000000-0005-0000-0000-00008B950000}"/>
    <cellStyle name="常规 3 2 2 2 3 4 3" xfId="38284" xr:uid="{00000000-0005-0000-0000-00008C950000}"/>
    <cellStyle name="常规 3 2 2 2 3 5" xfId="38285" xr:uid="{00000000-0005-0000-0000-00008D950000}"/>
    <cellStyle name="常规 3 2 2 2 3 5 2" xfId="38286" xr:uid="{00000000-0005-0000-0000-00008E950000}"/>
    <cellStyle name="常规 3 2 2 2 3 6" xfId="38287" xr:uid="{00000000-0005-0000-0000-00008F950000}"/>
    <cellStyle name="常规 3 2 2 2 3 6 2" xfId="38288" xr:uid="{00000000-0005-0000-0000-000090950000}"/>
    <cellStyle name="常规 3 2 2 2 3 7" xfId="38289" xr:uid="{00000000-0005-0000-0000-000091950000}"/>
    <cellStyle name="常规 3 2 2 2 4" xfId="38290" xr:uid="{00000000-0005-0000-0000-000092950000}"/>
    <cellStyle name="常规 3 2 2 2 4 2" xfId="38291" xr:uid="{00000000-0005-0000-0000-000093950000}"/>
    <cellStyle name="常规 3 2 2 2 4 3" xfId="38292" xr:uid="{00000000-0005-0000-0000-000094950000}"/>
    <cellStyle name="常规 3 2 2 2 4 4" xfId="38293" xr:uid="{00000000-0005-0000-0000-000095950000}"/>
    <cellStyle name="常规 3 2 2 2 4 5" xfId="38294" xr:uid="{00000000-0005-0000-0000-000096950000}"/>
    <cellStyle name="常规 3 2 2 2 4 5 2" xfId="38295" xr:uid="{00000000-0005-0000-0000-000097950000}"/>
    <cellStyle name="常规 3 2 2 2 5" xfId="38296" xr:uid="{00000000-0005-0000-0000-000098950000}"/>
    <cellStyle name="常规 3 2 2 2 5 2" xfId="38297" xr:uid="{00000000-0005-0000-0000-000099950000}"/>
    <cellStyle name="常规 3 2 2 2 5 2 2" xfId="38298" xr:uid="{00000000-0005-0000-0000-00009A950000}"/>
    <cellStyle name="常规 3 2 2 2 6" xfId="38299" xr:uid="{00000000-0005-0000-0000-00009B950000}"/>
    <cellStyle name="常规 3 2 2 2 6 2" xfId="38300" xr:uid="{00000000-0005-0000-0000-00009C950000}"/>
    <cellStyle name="常规 3 2 2 2 6 2 2" xfId="38301" xr:uid="{00000000-0005-0000-0000-00009D950000}"/>
    <cellStyle name="常规 3 2 2 2 7" xfId="38302" xr:uid="{00000000-0005-0000-0000-00009E950000}"/>
    <cellStyle name="常规 3 2 2 2 7 2" xfId="38303" xr:uid="{00000000-0005-0000-0000-00009F950000}"/>
    <cellStyle name="常规 3 2 2 2 7 2 2" xfId="38304" xr:uid="{00000000-0005-0000-0000-0000A0950000}"/>
    <cellStyle name="常规 3 2 2 2 8" xfId="38305" xr:uid="{00000000-0005-0000-0000-0000A1950000}"/>
    <cellStyle name="常规 3 2 2 2 8 2" xfId="38306" xr:uid="{00000000-0005-0000-0000-0000A2950000}"/>
    <cellStyle name="常规 3 2 2 2 8 3" xfId="38307" xr:uid="{00000000-0005-0000-0000-0000A3950000}"/>
    <cellStyle name="常规 3 2 2 2 9" xfId="38308" xr:uid="{00000000-0005-0000-0000-0000A4950000}"/>
    <cellStyle name="常规 3 2 2 3" xfId="38309" xr:uid="{00000000-0005-0000-0000-0000A5950000}"/>
    <cellStyle name="常规 3 2 2 3 2" xfId="38310" xr:uid="{00000000-0005-0000-0000-0000A6950000}"/>
    <cellStyle name="常规 3 2 2 3 2 2" xfId="38311" xr:uid="{00000000-0005-0000-0000-0000A7950000}"/>
    <cellStyle name="常规 3 2 2 3 2 3" xfId="38312" xr:uid="{00000000-0005-0000-0000-0000A8950000}"/>
    <cellStyle name="常规 3 2 2 3 2 4" xfId="38313" xr:uid="{00000000-0005-0000-0000-0000A9950000}"/>
    <cellStyle name="常规 3 2 2 3 2 5" xfId="38314" xr:uid="{00000000-0005-0000-0000-0000AA950000}"/>
    <cellStyle name="常规 3 2 2 3 2 5 2" xfId="38315" xr:uid="{00000000-0005-0000-0000-0000AB950000}"/>
    <cellStyle name="常规 3 2 2 3 3" xfId="38316" xr:uid="{00000000-0005-0000-0000-0000AC950000}"/>
    <cellStyle name="常规 3 2 2 3 3 2" xfId="38317" xr:uid="{00000000-0005-0000-0000-0000AD950000}"/>
    <cellStyle name="常规 3 2 2 3 3 2 2" xfId="38318" xr:uid="{00000000-0005-0000-0000-0000AE950000}"/>
    <cellStyle name="常规 3 2 2 3 4" xfId="38319" xr:uid="{00000000-0005-0000-0000-0000AF950000}"/>
    <cellStyle name="常规 3 2 2 3 4 2" xfId="38320" xr:uid="{00000000-0005-0000-0000-0000B0950000}"/>
    <cellStyle name="常规 3 2 2 3 4 2 2" xfId="38321" xr:uid="{00000000-0005-0000-0000-0000B1950000}"/>
    <cellStyle name="常规 3 2 2 3 5" xfId="38322" xr:uid="{00000000-0005-0000-0000-0000B2950000}"/>
    <cellStyle name="常规 3 2 2 3 5 2" xfId="38323" xr:uid="{00000000-0005-0000-0000-0000B3950000}"/>
    <cellStyle name="常规 3 2 2 3 5 3" xfId="38324" xr:uid="{00000000-0005-0000-0000-0000B4950000}"/>
    <cellStyle name="常规 3 2 2 3 6" xfId="38325" xr:uid="{00000000-0005-0000-0000-0000B5950000}"/>
    <cellStyle name="常规 3 2 2 3 6 2" xfId="38326" xr:uid="{00000000-0005-0000-0000-0000B6950000}"/>
    <cellStyle name="常规 3 2 2 3 7" xfId="38327" xr:uid="{00000000-0005-0000-0000-0000B7950000}"/>
    <cellStyle name="常规 3 2 2 4" xfId="38328" xr:uid="{00000000-0005-0000-0000-0000B8950000}"/>
    <cellStyle name="常规 3 2 2 4 2" xfId="38329" xr:uid="{00000000-0005-0000-0000-0000B9950000}"/>
    <cellStyle name="常规 3 2 2 4 2 2" xfId="38330" xr:uid="{00000000-0005-0000-0000-0000BA950000}"/>
    <cellStyle name="常规 3 2 2 4 2 3" xfId="38331" xr:uid="{00000000-0005-0000-0000-0000BB950000}"/>
    <cellStyle name="常规 3 2 2 4 2 4" xfId="38332" xr:uid="{00000000-0005-0000-0000-0000BC950000}"/>
    <cellStyle name="常规 3 2 2 4 3" xfId="38333" xr:uid="{00000000-0005-0000-0000-0000BD950000}"/>
    <cellStyle name="常规 3 2 2 4 4" xfId="38334" xr:uid="{00000000-0005-0000-0000-0000BE950000}"/>
    <cellStyle name="常规 3 2 2 4 5" xfId="38335" xr:uid="{00000000-0005-0000-0000-0000BF950000}"/>
    <cellStyle name="常规 3 2 2 4 6" xfId="38336" xr:uid="{00000000-0005-0000-0000-0000C0950000}"/>
    <cellStyle name="常规 3 2 2 4 6 2" xfId="38337" xr:uid="{00000000-0005-0000-0000-0000C1950000}"/>
    <cellStyle name="常规 3 2 2 5" xfId="38338" xr:uid="{00000000-0005-0000-0000-0000C2950000}"/>
    <cellStyle name="常规 3 2 2 5 2" xfId="38339" xr:uid="{00000000-0005-0000-0000-0000C3950000}"/>
    <cellStyle name="常规 3 2 2 5 3" xfId="38340" xr:uid="{00000000-0005-0000-0000-0000C4950000}"/>
    <cellStyle name="常规 3 2 2 5 4" xfId="38341" xr:uid="{00000000-0005-0000-0000-0000C5950000}"/>
    <cellStyle name="常规 3 2 2 5 5" xfId="38342" xr:uid="{00000000-0005-0000-0000-0000C6950000}"/>
    <cellStyle name="常规 3 2 2 5 5 2" xfId="38343" xr:uid="{00000000-0005-0000-0000-0000C7950000}"/>
    <cellStyle name="常规 3 2 2 6" xfId="38344" xr:uid="{00000000-0005-0000-0000-0000C8950000}"/>
    <cellStyle name="常规 3 2 2 6 2" xfId="38345" xr:uid="{00000000-0005-0000-0000-0000C9950000}"/>
    <cellStyle name="常规 3 2 2 6 2 2" xfId="38346" xr:uid="{00000000-0005-0000-0000-0000CA950000}"/>
    <cellStyle name="常规 3 2 2 7" xfId="38347" xr:uid="{00000000-0005-0000-0000-0000CB950000}"/>
    <cellStyle name="常规 3 2 2 7 2" xfId="38348" xr:uid="{00000000-0005-0000-0000-0000CC950000}"/>
    <cellStyle name="常规 3 2 2 7 2 2" xfId="38349" xr:uid="{00000000-0005-0000-0000-0000CD950000}"/>
    <cellStyle name="常规 3 2 2 8" xfId="38350" xr:uid="{00000000-0005-0000-0000-0000CE950000}"/>
    <cellStyle name="常规 3 2 2 8 2" xfId="38351" xr:uid="{00000000-0005-0000-0000-0000CF950000}"/>
    <cellStyle name="常规 3 2 2 8 2 2" xfId="38352" xr:uid="{00000000-0005-0000-0000-0000D0950000}"/>
    <cellStyle name="常规 3 2 2 9" xfId="38353" xr:uid="{00000000-0005-0000-0000-0000D1950000}"/>
    <cellStyle name="常规 3 2 2 9 2" xfId="38354" xr:uid="{00000000-0005-0000-0000-0000D2950000}"/>
    <cellStyle name="常规 3 2 2 9 3" xfId="38355" xr:uid="{00000000-0005-0000-0000-0000D3950000}"/>
    <cellStyle name="常规 3 2 3" xfId="38356" xr:uid="{00000000-0005-0000-0000-0000D4950000}"/>
    <cellStyle name="常规 3 2 3 10" xfId="38357" xr:uid="{00000000-0005-0000-0000-0000D5950000}"/>
    <cellStyle name="常规 3 2 3 2" xfId="38358" xr:uid="{00000000-0005-0000-0000-0000D6950000}"/>
    <cellStyle name="常规 3 2 3 2 2" xfId="38359" xr:uid="{00000000-0005-0000-0000-0000D7950000}"/>
    <cellStyle name="常规 3 2 3 2 2 2" xfId="38360" xr:uid="{00000000-0005-0000-0000-0000D8950000}"/>
    <cellStyle name="常规 3 2 3 2 2 2 2" xfId="38361" xr:uid="{00000000-0005-0000-0000-0000D9950000}"/>
    <cellStyle name="常规 3 2 3 2 2 2 3" xfId="38362" xr:uid="{00000000-0005-0000-0000-0000DA950000}"/>
    <cellStyle name="常规 3 2 3 2 2 2 4" xfId="38363" xr:uid="{00000000-0005-0000-0000-0000DB950000}"/>
    <cellStyle name="常规 3 2 3 2 2 3" xfId="38364" xr:uid="{00000000-0005-0000-0000-0000DC950000}"/>
    <cellStyle name="常规 3 2 3 2 2 4" xfId="38365" xr:uid="{00000000-0005-0000-0000-0000DD950000}"/>
    <cellStyle name="常规 3 2 3 2 2 5" xfId="38366" xr:uid="{00000000-0005-0000-0000-0000DE950000}"/>
    <cellStyle name="常规 3 2 3 2 2 6" xfId="38367" xr:uid="{00000000-0005-0000-0000-0000DF950000}"/>
    <cellStyle name="常规 3 2 3 2 2 6 2" xfId="38368" xr:uid="{00000000-0005-0000-0000-0000E0950000}"/>
    <cellStyle name="常规 3 2 3 2 3" xfId="38369" xr:uid="{00000000-0005-0000-0000-0000E1950000}"/>
    <cellStyle name="常规 3 2 3 2 3 2" xfId="38370" xr:uid="{00000000-0005-0000-0000-0000E2950000}"/>
    <cellStyle name="常规 3 2 3 2 3 2 2" xfId="38371" xr:uid="{00000000-0005-0000-0000-0000E3950000}"/>
    <cellStyle name="常规 3 2 3 2 3 2 3" xfId="38372" xr:uid="{00000000-0005-0000-0000-0000E4950000}"/>
    <cellStyle name="常规 3 2 3 2 3 2 4" xfId="38373" xr:uid="{00000000-0005-0000-0000-0000E5950000}"/>
    <cellStyle name="常规 3 2 3 2 3 3" xfId="38374" xr:uid="{00000000-0005-0000-0000-0000E6950000}"/>
    <cellStyle name="常规 3 2 3 2 3 4" xfId="38375" xr:uid="{00000000-0005-0000-0000-0000E7950000}"/>
    <cellStyle name="常规 3 2 3 2 3 5" xfId="38376" xr:uid="{00000000-0005-0000-0000-0000E8950000}"/>
    <cellStyle name="常规 3 2 3 2 3 6" xfId="38377" xr:uid="{00000000-0005-0000-0000-0000E9950000}"/>
    <cellStyle name="常规 3 2 3 2 3 6 2" xfId="38378" xr:uid="{00000000-0005-0000-0000-0000EA950000}"/>
    <cellStyle name="常规 3 2 3 2 4" xfId="38379" xr:uid="{00000000-0005-0000-0000-0000EB950000}"/>
    <cellStyle name="常规 3 2 3 2 4 2" xfId="38380" xr:uid="{00000000-0005-0000-0000-0000EC950000}"/>
    <cellStyle name="常规 3 2 3 2 4 2 2" xfId="38381" xr:uid="{00000000-0005-0000-0000-0000ED950000}"/>
    <cellStyle name="常规 3 2 3 2 4 3" xfId="38382" xr:uid="{00000000-0005-0000-0000-0000EE950000}"/>
    <cellStyle name="常规 3 2 3 2 4 4" xfId="38383" xr:uid="{00000000-0005-0000-0000-0000EF950000}"/>
    <cellStyle name="常规 3 2 3 2 4 5" xfId="38384" xr:uid="{00000000-0005-0000-0000-0000F0950000}"/>
    <cellStyle name="常规 3 2 3 2 5" xfId="38385" xr:uid="{00000000-0005-0000-0000-0000F1950000}"/>
    <cellStyle name="常规 3 2 3 2 5 2" xfId="38386" xr:uid="{00000000-0005-0000-0000-0000F2950000}"/>
    <cellStyle name="常规 3 2 3 2 5 3" xfId="38387" xr:uid="{00000000-0005-0000-0000-0000F3950000}"/>
    <cellStyle name="常规 3 2 3 2 6" xfId="38388" xr:uid="{00000000-0005-0000-0000-0000F4950000}"/>
    <cellStyle name="常规 3 2 3 2 7" xfId="38389" xr:uid="{00000000-0005-0000-0000-0000F5950000}"/>
    <cellStyle name="常规 3 2 3 2 8" xfId="38390" xr:uid="{00000000-0005-0000-0000-0000F6950000}"/>
    <cellStyle name="常规 3 2 3 2 8 2" xfId="38391" xr:uid="{00000000-0005-0000-0000-0000F7950000}"/>
    <cellStyle name="常规 3 2 3 2 9" xfId="38392" xr:uid="{00000000-0005-0000-0000-0000F8950000}"/>
    <cellStyle name="常规 3 2 3 3" xfId="38393" xr:uid="{00000000-0005-0000-0000-0000F9950000}"/>
    <cellStyle name="常规 3 2 3 3 2" xfId="38394" xr:uid="{00000000-0005-0000-0000-0000FA950000}"/>
    <cellStyle name="常规 3 2 3 3 2 2" xfId="38395" xr:uid="{00000000-0005-0000-0000-0000FB950000}"/>
    <cellStyle name="常规 3 2 3 3 2 2 2" xfId="38396" xr:uid="{00000000-0005-0000-0000-0000FC950000}"/>
    <cellStyle name="常规 3 2 3 3 2 3" xfId="38397" xr:uid="{00000000-0005-0000-0000-0000FD950000}"/>
    <cellStyle name="常规 3 2 3 3 2 4" xfId="38398" xr:uid="{00000000-0005-0000-0000-0000FE950000}"/>
    <cellStyle name="常规 3 2 3 3 2 5" xfId="38399" xr:uid="{00000000-0005-0000-0000-0000FF950000}"/>
    <cellStyle name="常规 3 2 3 3 2 5 2" xfId="38400" xr:uid="{00000000-0005-0000-0000-000000960000}"/>
    <cellStyle name="常规 3 2 3 3 2 6" xfId="38401" xr:uid="{00000000-0005-0000-0000-000001960000}"/>
    <cellStyle name="常规 3 2 3 3 3" xfId="38402" xr:uid="{00000000-0005-0000-0000-000002960000}"/>
    <cellStyle name="常规 3 2 3 3 3 2" xfId="38403" xr:uid="{00000000-0005-0000-0000-000003960000}"/>
    <cellStyle name="常规 3 2 3 3 3 2 2" xfId="38404" xr:uid="{00000000-0005-0000-0000-000004960000}"/>
    <cellStyle name="常规 3 2 3 3 4" xfId="38405" xr:uid="{00000000-0005-0000-0000-000005960000}"/>
    <cellStyle name="常规 3 2 3 3 4 2" xfId="38406" xr:uid="{00000000-0005-0000-0000-000006960000}"/>
    <cellStyle name="常规 3 2 3 3 4 3" xfId="38407" xr:uid="{00000000-0005-0000-0000-000007960000}"/>
    <cellStyle name="常规 3 2 3 3 5" xfId="38408" xr:uid="{00000000-0005-0000-0000-000008960000}"/>
    <cellStyle name="常规 3 2 3 3 5 2" xfId="38409" xr:uid="{00000000-0005-0000-0000-000009960000}"/>
    <cellStyle name="常规 3 2 3 3 6" xfId="38410" xr:uid="{00000000-0005-0000-0000-00000A960000}"/>
    <cellStyle name="常规 3 2 3 3 6 2" xfId="38411" xr:uid="{00000000-0005-0000-0000-00000B960000}"/>
    <cellStyle name="常规 3 2 3 3 7" xfId="38412" xr:uid="{00000000-0005-0000-0000-00000C960000}"/>
    <cellStyle name="常规 3 2 3 4" xfId="38413" xr:uid="{00000000-0005-0000-0000-00000D960000}"/>
    <cellStyle name="常规 3 2 3 4 2" xfId="38414" xr:uid="{00000000-0005-0000-0000-00000E960000}"/>
    <cellStyle name="常规 3 2 3 4 2 2" xfId="38415" xr:uid="{00000000-0005-0000-0000-00000F960000}"/>
    <cellStyle name="常规 3 2 3 4 2 3" xfId="38416" xr:uid="{00000000-0005-0000-0000-000010960000}"/>
    <cellStyle name="常规 3 2 3 4 2 4" xfId="38417" xr:uid="{00000000-0005-0000-0000-000011960000}"/>
    <cellStyle name="常规 3 2 3 4 3" xfId="38418" xr:uid="{00000000-0005-0000-0000-000012960000}"/>
    <cellStyle name="常规 3 2 3 4 4" xfId="38419" xr:uid="{00000000-0005-0000-0000-000013960000}"/>
    <cellStyle name="常规 3 2 3 4 5" xfId="38420" xr:uid="{00000000-0005-0000-0000-000014960000}"/>
    <cellStyle name="常规 3 2 3 4 6" xfId="38421" xr:uid="{00000000-0005-0000-0000-000015960000}"/>
    <cellStyle name="常规 3 2 3 4 6 2" xfId="38422" xr:uid="{00000000-0005-0000-0000-000016960000}"/>
    <cellStyle name="常规 3 2 3 5" xfId="38423" xr:uid="{00000000-0005-0000-0000-000017960000}"/>
    <cellStyle name="常规 3 2 3 5 2" xfId="38424" xr:uid="{00000000-0005-0000-0000-000018960000}"/>
    <cellStyle name="常规 3 2 3 5 3" xfId="38425" xr:uid="{00000000-0005-0000-0000-000019960000}"/>
    <cellStyle name="常规 3 2 3 5 4" xfId="38426" xr:uid="{00000000-0005-0000-0000-00001A960000}"/>
    <cellStyle name="常规 3 2 3 5 5" xfId="38427" xr:uid="{00000000-0005-0000-0000-00001B960000}"/>
    <cellStyle name="常规 3 2 3 5 5 2" xfId="38428" xr:uid="{00000000-0005-0000-0000-00001C960000}"/>
    <cellStyle name="常规 3 2 3 6" xfId="38429" xr:uid="{00000000-0005-0000-0000-00001D960000}"/>
    <cellStyle name="常规 3 2 3 6 2" xfId="38430" xr:uid="{00000000-0005-0000-0000-00001E960000}"/>
    <cellStyle name="常规 3 2 3 6 2 2" xfId="38431" xr:uid="{00000000-0005-0000-0000-00001F960000}"/>
    <cellStyle name="常规 3 2 3 7" xfId="38432" xr:uid="{00000000-0005-0000-0000-000020960000}"/>
    <cellStyle name="常规 3 2 3 7 2" xfId="38433" xr:uid="{00000000-0005-0000-0000-000021960000}"/>
    <cellStyle name="常规 3 2 3 7 2 2" xfId="38434" xr:uid="{00000000-0005-0000-0000-000022960000}"/>
    <cellStyle name="常规 3 2 3 8" xfId="38435" xr:uid="{00000000-0005-0000-0000-000023960000}"/>
    <cellStyle name="常规 3 2 3 8 2" xfId="38436" xr:uid="{00000000-0005-0000-0000-000024960000}"/>
    <cellStyle name="常规 3 2 3 8 3" xfId="38437" xr:uid="{00000000-0005-0000-0000-000025960000}"/>
    <cellStyle name="常规 3 2 3 9" xfId="38438" xr:uid="{00000000-0005-0000-0000-000026960000}"/>
    <cellStyle name="常规 3 2 3 9 2" xfId="38439" xr:uid="{00000000-0005-0000-0000-000027960000}"/>
    <cellStyle name="常规 3 2 4" xfId="38440" xr:uid="{00000000-0005-0000-0000-000028960000}"/>
    <cellStyle name="常规 3 2 4 2" xfId="38441" xr:uid="{00000000-0005-0000-0000-000029960000}"/>
    <cellStyle name="常规 3 2 4 2 2" xfId="38442" xr:uid="{00000000-0005-0000-0000-00002A960000}"/>
    <cellStyle name="常规 3 2 4 2 2 2" xfId="38443" xr:uid="{00000000-0005-0000-0000-00002B960000}"/>
    <cellStyle name="常规 3 2 4 2 2 2 2" xfId="38444" xr:uid="{00000000-0005-0000-0000-00002C960000}"/>
    <cellStyle name="常规 3 2 4 2 3" xfId="38445" xr:uid="{00000000-0005-0000-0000-00002D960000}"/>
    <cellStyle name="常规 3 2 4 2 3 2" xfId="38446" xr:uid="{00000000-0005-0000-0000-00002E960000}"/>
    <cellStyle name="常规 3 2 4 2 3 2 2" xfId="38447" xr:uid="{00000000-0005-0000-0000-00002F960000}"/>
    <cellStyle name="常规 3 2 4 2 4" xfId="38448" xr:uid="{00000000-0005-0000-0000-000030960000}"/>
    <cellStyle name="常规 3 2 4 2 4 2" xfId="38449" xr:uid="{00000000-0005-0000-0000-000031960000}"/>
    <cellStyle name="常规 3 2 4 2 4 2 2" xfId="38450" xr:uid="{00000000-0005-0000-0000-000032960000}"/>
    <cellStyle name="常规 3 2 4 2 5" xfId="38451" xr:uid="{00000000-0005-0000-0000-000033960000}"/>
    <cellStyle name="常规 3 2 4 2 5 2" xfId="38452" xr:uid="{00000000-0005-0000-0000-000034960000}"/>
    <cellStyle name="常规 3 2 4 2 5 3" xfId="38453" xr:uid="{00000000-0005-0000-0000-000035960000}"/>
    <cellStyle name="常规 3 2 4 2 6" xfId="38454" xr:uid="{00000000-0005-0000-0000-000036960000}"/>
    <cellStyle name="常规 3 2 4 3" xfId="38455" xr:uid="{00000000-0005-0000-0000-000037960000}"/>
    <cellStyle name="常规 3 2 4 3 2" xfId="38456" xr:uid="{00000000-0005-0000-0000-000038960000}"/>
    <cellStyle name="常规 3 2 4 3 2 2" xfId="38457" xr:uid="{00000000-0005-0000-0000-000039960000}"/>
    <cellStyle name="常规 3 2 4 4" xfId="38458" xr:uid="{00000000-0005-0000-0000-00003A960000}"/>
    <cellStyle name="常规 3 2 4 4 2" xfId="38459" xr:uid="{00000000-0005-0000-0000-00003B960000}"/>
    <cellStyle name="常规 3 2 4 4 2 2" xfId="38460" xr:uid="{00000000-0005-0000-0000-00003C960000}"/>
    <cellStyle name="常规 3 2 4 5" xfId="38461" xr:uid="{00000000-0005-0000-0000-00003D960000}"/>
    <cellStyle name="常规 3 2 4 5 2" xfId="38462" xr:uid="{00000000-0005-0000-0000-00003E960000}"/>
    <cellStyle name="常规 3 2 4 5 2 2" xfId="38463" xr:uid="{00000000-0005-0000-0000-00003F960000}"/>
    <cellStyle name="常规 3 2 4 6" xfId="38464" xr:uid="{00000000-0005-0000-0000-000040960000}"/>
    <cellStyle name="常规 3 2 4 7" xfId="38465" xr:uid="{00000000-0005-0000-0000-000041960000}"/>
    <cellStyle name="常规 3 2 4 7 2" xfId="38466" xr:uid="{00000000-0005-0000-0000-000042960000}"/>
    <cellStyle name="常规 3 2 4 7 3" xfId="38467" xr:uid="{00000000-0005-0000-0000-000043960000}"/>
    <cellStyle name="常规 3 2 4 8" xfId="38468" xr:uid="{00000000-0005-0000-0000-000044960000}"/>
    <cellStyle name="常规 3 2 4 8 2" xfId="38469" xr:uid="{00000000-0005-0000-0000-000045960000}"/>
    <cellStyle name="常规 3 2 5" xfId="38470" xr:uid="{00000000-0005-0000-0000-000046960000}"/>
    <cellStyle name="常规 3 2 5 2" xfId="38471" xr:uid="{00000000-0005-0000-0000-000047960000}"/>
    <cellStyle name="常规 3 2 5 2 2" xfId="38472" xr:uid="{00000000-0005-0000-0000-000048960000}"/>
    <cellStyle name="常规 3 2 5 2 2 2" xfId="38473" xr:uid="{00000000-0005-0000-0000-000049960000}"/>
    <cellStyle name="常规 3 2 5 2 2 2 2" xfId="38474" xr:uid="{00000000-0005-0000-0000-00004A960000}"/>
    <cellStyle name="常规 3 2 5 2 3" xfId="38475" xr:uid="{00000000-0005-0000-0000-00004B960000}"/>
    <cellStyle name="常规 3 2 5 2 3 2" xfId="38476" xr:uid="{00000000-0005-0000-0000-00004C960000}"/>
    <cellStyle name="常规 3 2 5 2 3 2 2" xfId="38477" xr:uid="{00000000-0005-0000-0000-00004D960000}"/>
    <cellStyle name="常规 3 2 5 2 4" xfId="38478" xr:uid="{00000000-0005-0000-0000-00004E960000}"/>
    <cellStyle name="常规 3 2 5 2 4 2" xfId="38479" xr:uid="{00000000-0005-0000-0000-00004F960000}"/>
    <cellStyle name="常规 3 2 5 2 4 2 2" xfId="38480" xr:uid="{00000000-0005-0000-0000-000050960000}"/>
    <cellStyle name="常规 3 2 5 2 5" xfId="38481" xr:uid="{00000000-0005-0000-0000-000051960000}"/>
    <cellStyle name="常规 3 2 5 2 5 2" xfId="38482" xr:uid="{00000000-0005-0000-0000-000052960000}"/>
    <cellStyle name="常规 3 2 5 2 5 3" xfId="38483" xr:uid="{00000000-0005-0000-0000-000053960000}"/>
    <cellStyle name="常规 3 2 5 2 6" xfId="38484" xr:uid="{00000000-0005-0000-0000-000054960000}"/>
    <cellStyle name="常规 3 2 5 3" xfId="38485" xr:uid="{00000000-0005-0000-0000-000055960000}"/>
    <cellStyle name="常规 3 2 5 3 2" xfId="38486" xr:uid="{00000000-0005-0000-0000-000056960000}"/>
    <cellStyle name="常规 3 2 5 3 2 2" xfId="38487" xr:uid="{00000000-0005-0000-0000-000057960000}"/>
    <cellStyle name="常规 3 2 5 4" xfId="38488" xr:uid="{00000000-0005-0000-0000-000058960000}"/>
    <cellStyle name="常规 3 2 5 4 2" xfId="38489" xr:uid="{00000000-0005-0000-0000-000059960000}"/>
    <cellStyle name="常规 3 2 5 4 2 2" xfId="38490" xr:uid="{00000000-0005-0000-0000-00005A960000}"/>
    <cellStyle name="常规 3 2 5 5" xfId="38491" xr:uid="{00000000-0005-0000-0000-00005B960000}"/>
    <cellStyle name="常规 3 2 5 5 2" xfId="38492" xr:uid="{00000000-0005-0000-0000-00005C960000}"/>
    <cellStyle name="常规 3 2 5 5 2 2" xfId="38493" xr:uid="{00000000-0005-0000-0000-00005D960000}"/>
    <cellStyle name="常规 3 2 5 6" xfId="38494" xr:uid="{00000000-0005-0000-0000-00005E960000}"/>
    <cellStyle name="常规 3 2 5 7" xfId="38495" xr:uid="{00000000-0005-0000-0000-00005F960000}"/>
    <cellStyle name="常规 3 2 5 7 2" xfId="38496" xr:uid="{00000000-0005-0000-0000-000060960000}"/>
    <cellStyle name="常规 3 2 5 7 3" xfId="38497" xr:uid="{00000000-0005-0000-0000-000061960000}"/>
    <cellStyle name="常规 3 2 5 8" xfId="38498" xr:uid="{00000000-0005-0000-0000-000062960000}"/>
    <cellStyle name="常规 3 2 5 8 2" xfId="38499" xr:uid="{00000000-0005-0000-0000-000063960000}"/>
    <cellStyle name="常规 3 2 6" xfId="38500" xr:uid="{00000000-0005-0000-0000-000064960000}"/>
    <cellStyle name="常规 3 2 6 2" xfId="38501" xr:uid="{00000000-0005-0000-0000-000065960000}"/>
    <cellStyle name="常规 3 2 6 2 2" xfId="38502" xr:uid="{00000000-0005-0000-0000-000066960000}"/>
    <cellStyle name="常规 3 2 6 2 3" xfId="38503" xr:uid="{00000000-0005-0000-0000-000067960000}"/>
    <cellStyle name="常规 3 2 6 2 3 2" xfId="38504" xr:uid="{00000000-0005-0000-0000-000068960000}"/>
    <cellStyle name="常规 3 2 6 3" xfId="38505" xr:uid="{00000000-0005-0000-0000-000069960000}"/>
    <cellStyle name="常规 3 2 6 3 2" xfId="38506" xr:uid="{00000000-0005-0000-0000-00006A960000}"/>
    <cellStyle name="常规 3 2 6 3 2 2" xfId="38507" xr:uid="{00000000-0005-0000-0000-00006B960000}"/>
    <cellStyle name="常规 3 2 6 4" xfId="38508" xr:uid="{00000000-0005-0000-0000-00006C960000}"/>
    <cellStyle name="常规 3 2 6 4 2" xfId="38509" xr:uid="{00000000-0005-0000-0000-00006D960000}"/>
    <cellStyle name="常规 3 2 6 4 2 2" xfId="38510" xr:uid="{00000000-0005-0000-0000-00006E960000}"/>
    <cellStyle name="常规 3 2 6 5" xfId="38511" xr:uid="{00000000-0005-0000-0000-00006F960000}"/>
    <cellStyle name="常规 3 2 6 5 2" xfId="38512" xr:uid="{00000000-0005-0000-0000-000070960000}"/>
    <cellStyle name="常规 3 2 6 6" xfId="38513" xr:uid="{00000000-0005-0000-0000-000071960000}"/>
    <cellStyle name="常规 3 2 7" xfId="38514" xr:uid="{00000000-0005-0000-0000-000072960000}"/>
    <cellStyle name="常规 3 2 7 2" xfId="38515" xr:uid="{00000000-0005-0000-0000-000073960000}"/>
    <cellStyle name="常规 3 2 7 2 2" xfId="38516" xr:uid="{00000000-0005-0000-0000-000074960000}"/>
    <cellStyle name="常规 3 2 7 3" xfId="38517" xr:uid="{00000000-0005-0000-0000-000075960000}"/>
    <cellStyle name="常规 3 2 7 4" xfId="38518" xr:uid="{00000000-0005-0000-0000-000076960000}"/>
    <cellStyle name="常规 3 2 7 5" xfId="38519" xr:uid="{00000000-0005-0000-0000-000077960000}"/>
    <cellStyle name="常规 3 2 7 5 2" xfId="38520" xr:uid="{00000000-0005-0000-0000-000078960000}"/>
    <cellStyle name="常规 3 2 7 6" xfId="38521" xr:uid="{00000000-0005-0000-0000-000079960000}"/>
    <cellStyle name="常规 3 2 8" xfId="38522" xr:uid="{00000000-0005-0000-0000-00007A960000}"/>
    <cellStyle name="常规 3 2 8 2" xfId="38523" xr:uid="{00000000-0005-0000-0000-00007B960000}"/>
    <cellStyle name="常规 3 2 8 2 2" xfId="38524" xr:uid="{00000000-0005-0000-0000-00007C960000}"/>
    <cellStyle name="常规 3 2 8 2 2 2" xfId="38525" xr:uid="{00000000-0005-0000-0000-00007D960000}"/>
    <cellStyle name="常规 3 2 8 2 2 2 2" xfId="38526" xr:uid="{00000000-0005-0000-0000-00007E960000}"/>
    <cellStyle name="常规 3 2 8 2 3" xfId="38527" xr:uid="{00000000-0005-0000-0000-00007F960000}"/>
    <cellStyle name="常规 3 2 8 2 3 2" xfId="38528" xr:uid="{00000000-0005-0000-0000-000080960000}"/>
    <cellStyle name="常规 3 2 8 2 4" xfId="38529" xr:uid="{00000000-0005-0000-0000-000081960000}"/>
    <cellStyle name="常规 3 2 8 2 4 2" xfId="38530" xr:uid="{00000000-0005-0000-0000-000082960000}"/>
    <cellStyle name="常规 3 2 8 2 5" xfId="38531" xr:uid="{00000000-0005-0000-0000-000083960000}"/>
    <cellStyle name="常规 3 2 8 3" xfId="38532" xr:uid="{00000000-0005-0000-0000-000084960000}"/>
    <cellStyle name="常规 3 2 8 4" xfId="38533" xr:uid="{00000000-0005-0000-0000-000085960000}"/>
    <cellStyle name="常规 3 2 8 4 2" xfId="38534" xr:uid="{00000000-0005-0000-0000-000086960000}"/>
    <cellStyle name="常规 3 2 8 4 3" xfId="38535" xr:uid="{00000000-0005-0000-0000-000087960000}"/>
    <cellStyle name="常规 3 2 8 5" xfId="38536" xr:uid="{00000000-0005-0000-0000-000088960000}"/>
    <cellStyle name="常规 3 2 8 5 2" xfId="38537" xr:uid="{00000000-0005-0000-0000-000089960000}"/>
    <cellStyle name="常规 3 2 9" xfId="38538" xr:uid="{00000000-0005-0000-0000-00008A960000}"/>
    <cellStyle name="常规 3 2 9 2" xfId="38539" xr:uid="{00000000-0005-0000-0000-00008B960000}"/>
    <cellStyle name="常规 3 2 9 2 2" xfId="38540" xr:uid="{00000000-0005-0000-0000-00008C960000}"/>
    <cellStyle name="常规 3 2 9 2 2 2" xfId="38541" xr:uid="{00000000-0005-0000-0000-00008D960000}"/>
    <cellStyle name="常规 3 2 9 2 2 2 2" xfId="38542" xr:uid="{00000000-0005-0000-0000-00008E960000}"/>
    <cellStyle name="常规 3 2 9 2 3" xfId="38543" xr:uid="{00000000-0005-0000-0000-00008F960000}"/>
    <cellStyle name="常规 3 2 9 2 3 2" xfId="38544" xr:uid="{00000000-0005-0000-0000-000090960000}"/>
    <cellStyle name="常规 3 2 9 2 4" xfId="38545" xr:uid="{00000000-0005-0000-0000-000091960000}"/>
    <cellStyle name="常规 3 2 9 2 4 2" xfId="38546" xr:uid="{00000000-0005-0000-0000-000092960000}"/>
    <cellStyle name="常规 3 2 9 2 5" xfId="38547" xr:uid="{00000000-0005-0000-0000-000093960000}"/>
    <cellStyle name="常规 3 2 9 3" xfId="38548" xr:uid="{00000000-0005-0000-0000-000094960000}"/>
    <cellStyle name="常规 3 2 9 3 2" xfId="38549" xr:uid="{00000000-0005-0000-0000-000095960000}"/>
    <cellStyle name="常规 3 2 9 3 2 2" xfId="38550" xr:uid="{00000000-0005-0000-0000-000096960000}"/>
    <cellStyle name="常规 3 2 9 4" xfId="38551" xr:uid="{00000000-0005-0000-0000-000097960000}"/>
    <cellStyle name="常规 3 2 9 4 2" xfId="38552" xr:uid="{00000000-0005-0000-0000-000098960000}"/>
    <cellStyle name="常规 3 2 9 4 2 2" xfId="38553" xr:uid="{00000000-0005-0000-0000-000099960000}"/>
    <cellStyle name="常规 3 2 9 5" xfId="38554" xr:uid="{00000000-0005-0000-0000-00009A960000}"/>
    <cellStyle name="常规 3 2 9 5 2" xfId="38555" xr:uid="{00000000-0005-0000-0000-00009B960000}"/>
    <cellStyle name="常规 3 2 9 6" xfId="38556" xr:uid="{00000000-0005-0000-0000-00009C960000}"/>
    <cellStyle name="常规 3 20" xfId="38557" xr:uid="{00000000-0005-0000-0000-00009D960000}"/>
    <cellStyle name="常规 3 20 2" xfId="38558" xr:uid="{00000000-0005-0000-0000-00009E960000}"/>
    <cellStyle name="常规 3 20 3" xfId="38559" xr:uid="{00000000-0005-0000-0000-00009F960000}"/>
    <cellStyle name="常规 3 21" xfId="38560" xr:uid="{00000000-0005-0000-0000-0000A0960000}"/>
    <cellStyle name="常规 3 21 2" xfId="38561" xr:uid="{00000000-0005-0000-0000-0000A1960000}"/>
    <cellStyle name="常规 3 21 3" xfId="38562" xr:uid="{00000000-0005-0000-0000-0000A2960000}"/>
    <cellStyle name="常规 3 3" xfId="38563" xr:uid="{00000000-0005-0000-0000-0000A3960000}"/>
    <cellStyle name="常规 3 3 10" xfId="38564" xr:uid="{00000000-0005-0000-0000-0000A4960000}"/>
    <cellStyle name="常规 3 3 11" xfId="38565" xr:uid="{00000000-0005-0000-0000-0000A5960000}"/>
    <cellStyle name="常规 3 3 11 2" xfId="38566" xr:uid="{00000000-0005-0000-0000-0000A6960000}"/>
    <cellStyle name="常规 3 3 11 3" xfId="38567" xr:uid="{00000000-0005-0000-0000-0000A7960000}"/>
    <cellStyle name="常规 3 3 12" xfId="38568" xr:uid="{00000000-0005-0000-0000-0000A8960000}"/>
    <cellStyle name="常规 3 3 12 2" xfId="38569" xr:uid="{00000000-0005-0000-0000-0000A9960000}"/>
    <cellStyle name="常规 3 3 2" xfId="38570" xr:uid="{00000000-0005-0000-0000-0000AA960000}"/>
    <cellStyle name="常规 3 3 2 10" xfId="38571" xr:uid="{00000000-0005-0000-0000-0000AB960000}"/>
    <cellStyle name="常规 3 3 2 10 2" xfId="38572" xr:uid="{00000000-0005-0000-0000-0000AC960000}"/>
    <cellStyle name="常规 3 3 2 2" xfId="38573" xr:uid="{00000000-0005-0000-0000-0000AD960000}"/>
    <cellStyle name="常规 3 3 2 2 2" xfId="38574" xr:uid="{00000000-0005-0000-0000-0000AE960000}"/>
    <cellStyle name="常规 3 3 2 2 2 2" xfId="38575" xr:uid="{00000000-0005-0000-0000-0000AF960000}"/>
    <cellStyle name="常规 3 3 2 2 2 2 2" xfId="38576" xr:uid="{00000000-0005-0000-0000-0000B0960000}"/>
    <cellStyle name="常规 3 3 2 2 2 2 2 2" xfId="38577" xr:uid="{00000000-0005-0000-0000-0000B1960000}"/>
    <cellStyle name="常规 3 3 2 2 2 2 2 2 2" xfId="38578" xr:uid="{00000000-0005-0000-0000-0000B2960000}"/>
    <cellStyle name="常规 3 3 2 2 2 2 3" xfId="38579" xr:uid="{00000000-0005-0000-0000-0000B3960000}"/>
    <cellStyle name="常规 3 3 2 2 2 2 3 2" xfId="38580" xr:uid="{00000000-0005-0000-0000-0000B4960000}"/>
    <cellStyle name="常规 3 3 2 2 2 2 3 2 2" xfId="38581" xr:uid="{00000000-0005-0000-0000-0000B5960000}"/>
    <cellStyle name="常规 3 3 2 2 2 2 4" xfId="38582" xr:uid="{00000000-0005-0000-0000-0000B6960000}"/>
    <cellStyle name="常规 3 3 2 2 2 2 4 2" xfId="38583" xr:uid="{00000000-0005-0000-0000-0000B7960000}"/>
    <cellStyle name="常规 3 3 2 2 2 2 4 2 2" xfId="38584" xr:uid="{00000000-0005-0000-0000-0000B8960000}"/>
    <cellStyle name="常规 3 3 2 2 2 2 5" xfId="38585" xr:uid="{00000000-0005-0000-0000-0000B9960000}"/>
    <cellStyle name="常规 3 3 2 2 2 2 5 2" xfId="38586" xr:uid="{00000000-0005-0000-0000-0000BA960000}"/>
    <cellStyle name="常规 3 3 2 2 2 2 5 3" xfId="38587" xr:uid="{00000000-0005-0000-0000-0000BB960000}"/>
    <cellStyle name="常规 3 3 2 2 2 2 6" xfId="38588" xr:uid="{00000000-0005-0000-0000-0000BC960000}"/>
    <cellStyle name="常规 3 3 2 2 2 3" xfId="38589" xr:uid="{00000000-0005-0000-0000-0000BD960000}"/>
    <cellStyle name="常规 3 3 2 2 2 3 2" xfId="38590" xr:uid="{00000000-0005-0000-0000-0000BE960000}"/>
    <cellStyle name="常规 3 3 2 2 2 3 2 2" xfId="38591" xr:uid="{00000000-0005-0000-0000-0000BF960000}"/>
    <cellStyle name="常规 3 3 2 2 2 3 2 2 2" xfId="38592" xr:uid="{00000000-0005-0000-0000-0000C0960000}"/>
    <cellStyle name="常规 3 3 2 2 2 3 3" xfId="38593" xr:uid="{00000000-0005-0000-0000-0000C1960000}"/>
    <cellStyle name="常规 3 3 2 2 2 3 3 2" xfId="38594" xr:uid="{00000000-0005-0000-0000-0000C2960000}"/>
    <cellStyle name="常规 3 3 2 2 2 3 3 2 2" xfId="38595" xr:uid="{00000000-0005-0000-0000-0000C3960000}"/>
    <cellStyle name="常规 3 3 2 2 2 3 4" xfId="38596" xr:uid="{00000000-0005-0000-0000-0000C4960000}"/>
    <cellStyle name="常规 3 3 2 2 2 3 4 2" xfId="38597" xr:uid="{00000000-0005-0000-0000-0000C5960000}"/>
    <cellStyle name="常规 3 3 2 2 2 3 5" xfId="38598" xr:uid="{00000000-0005-0000-0000-0000C6960000}"/>
    <cellStyle name="常规 3 3 2 2 2 4" xfId="38599" xr:uid="{00000000-0005-0000-0000-0000C7960000}"/>
    <cellStyle name="常规 3 3 2 2 2 4 2" xfId="38600" xr:uid="{00000000-0005-0000-0000-0000C8960000}"/>
    <cellStyle name="常规 3 3 2 2 2 4 2 2" xfId="38601" xr:uid="{00000000-0005-0000-0000-0000C9960000}"/>
    <cellStyle name="常规 3 3 2 2 2 5" xfId="38602" xr:uid="{00000000-0005-0000-0000-0000CA960000}"/>
    <cellStyle name="常规 3 3 2 2 2 5 2" xfId="38603" xr:uid="{00000000-0005-0000-0000-0000CB960000}"/>
    <cellStyle name="常规 3 3 2 2 2 5 2 2" xfId="38604" xr:uid="{00000000-0005-0000-0000-0000CC960000}"/>
    <cellStyle name="常规 3 3 2 2 2 6" xfId="38605" xr:uid="{00000000-0005-0000-0000-0000CD960000}"/>
    <cellStyle name="常规 3 3 2 2 2 7" xfId="38606" xr:uid="{00000000-0005-0000-0000-0000CE960000}"/>
    <cellStyle name="常规 3 3 2 2 2 7 2" xfId="38607" xr:uid="{00000000-0005-0000-0000-0000CF960000}"/>
    <cellStyle name="常规 3 3 2 2 2 7 3" xfId="38608" xr:uid="{00000000-0005-0000-0000-0000D0960000}"/>
    <cellStyle name="常规 3 3 2 2 2 8" xfId="38609" xr:uid="{00000000-0005-0000-0000-0000D1960000}"/>
    <cellStyle name="常规 3 3 2 2 2 8 2" xfId="38610" xr:uid="{00000000-0005-0000-0000-0000D2960000}"/>
    <cellStyle name="常规 3 3 2 2 3" xfId="38611" xr:uid="{00000000-0005-0000-0000-0000D3960000}"/>
    <cellStyle name="常规 3 3 2 2 3 2" xfId="38612" xr:uid="{00000000-0005-0000-0000-0000D4960000}"/>
    <cellStyle name="常规 3 3 2 2 3 2 2" xfId="38613" xr:uid="{00000000-0005-0000-0000-0000D5960000}"/>
    <cellStyle name="常规 3 3 2 2 3 2 3" xfId="38614" xr:uid="{00000000-0005-0000-0000-0000D6960000}"/>
    <cellStyle name="常规 3 3 2 2 3 2 4" xfId="38615" xr:uid="{00000000-0005-0000-0000-0000D7960000}"/>
    <cellStyle name="常规 3 3 2 2 3 2 5" xfId="38616" xr:uid="{00000000-0005-0000-0000-0000D8960000}"/>
    <cellStyle name="常规 3 3 2 2 3 2 5 2" xfId="38617" xr:uid="{00000000-0005-0000-0000-0000D9960000}"/>
    <cellStyle name="常规 3 3 2 2 3 3" xfId="38618" xr:uid="{00000000-0005-0000-0000-0000DA960000}"/>
    <cellStyle name="常规 3 3 2 2 3 3 2" xfId="38619" xr:uid="{00000000-0005-0000-0000-0000DB960000}"/>
    <cellStyle name="常规 3 3 2 2 3 3 2 2" xfId="38620" xr:uid="{00000000-0005-0000-0000-0000DC960000}"/>
    <cellStyle name="常规 3 3 2 2 3 4" xfId="38621" xr:uid="{00000000-0005-0000-0000-0000DD960000}"/>
    <cellStyle name="常规 3 3 2 2 3 4 2" xfId="38622" xr:uid="{00000000-0005-0000-0000-0000DE960000}"/>
    <cellStyle name="常规 3 3 2 2 3 4 2 2" xfId="38623" xr:uid="{00000000-0005-0000-0000-0000DF960000}"/>
    <cellStyle name="常规 3 3 2 2 3 5" xfId="38624" xr:uid="{00000000-0005-0000-0000-0000E0960000}"/>
    <cellStyle name="常规 3 3 2 2 3 5 2" xfId="38625" xr:uid="{00000000-0005-0000-0000-0000E1960000}"/>
    <cellStyle name="常规 3 3 2 2 3 5 3" xfId="38626" xr:uid="{00000000-0005-0000-0000-0000E2960000}"/>
    <cellStyle name="常规 3 3 2 2 3 6" xfId="38627" xr:uid="{00000000-0005-0000-0000-0000E3960000}"/>
    <cellStyle name="常规 3 3 2 2 3 6 2" xfId="38628" xr:uid="{00000000-0005-0000-0000-0000E4960000}"/>
    <cellStyle name="常规 3 3 2 2 3 7" xfId="38629" xr:uid="{00000000-0005-0000-0000-0000E5960000}"/>
    <cellStyle name="常规 3 3 2 2 4" xfId="38630" xr:uid="{00000000-0005-0000-0000-0000E6960000}"/>
    <cellStyle name="常规 3 3 2 2 4 2" xfId="38631" xr:uid="{00000000-0005-0000-0000-0000E7960000}"/>
    <cellStyle name="常规 3 3 2 2 4 3" xfId="38632" xr:uid="{00000000-0005-0000-0000-0000E8960000}"/>
    <cellStyle name="常规 3 3 2 2 4 4" xfId="38633" xr:uid="{00000000-0005-0000-0000-0000E9960000}"/>
    <cellStyle name="常规 3 3 2 2 4 5" xfId="38634" xr:uid="{00000000-0005-0000-0000-0000EA960000}"/>
    <cellStyle name="常规 3 3 2 2 4 5 2" xfId="38635" xr:uid="{00000000-0005-0000-0000-0000EB960000}"/>
    <cellStyle name="常规 3 3 2 2 5" xfId="38636" xr:uid="{00000000-0005-0000-0000-0000EC960000}"/>
    <cellStyle name="常规 3 3 2 2 5 2" xfId="38637" xr:uid="{00000000-0005-0000-0000-0000ED960000}"/>
    <cellStyle name="常规 3 3 2 2 5 2 2" xfId="38638" xr:uid="{00000000-0005-0000-0000-0000EE960000}"/>
    <cellStyle name="常规 3 3 2 2 6" xfId="38639" xr:uid="{00000000-0005-0000-0000-0000EF960000}"/>
    <cellStyle name="常规 3 3 2 2 6 2" xfId="38640" xr:uid="{00000000-0005-0000-0000-0000F0960000}"/>
    <cellStyle name="常规 3 3 2 2 6 2 2" xfId="38641" xr:uid="{00000000-0005-0000-0000-0000F1960000}"/>
    <cellStyle name="常规 3 3 2 2 7" xfId="38642" xr:uid="{00000000-0005-0000-0000-0000F2960000}"/>
    <cellStyle name="常规 3 3 2 2 7 2" xfId="38643" xr:uid="{00000000-0005-0000-0000-0000F3960000}"/>
    <cellStyle name="常规 3 3 2 2 7 2 2" xfId="38644" xr:uid="{00000000-0005-0000-0000-0000F4960000}"/>
    <cellStyle name="常规 3 3 2 2 8" xfId="38645" xr:uid="{00000000-0005-0000-0000-0000F5960000}"/>
    <cellStyle name="常规 3 3 2 2 8 2" xfId="38646" xr:uid="{00000000-0005-0000-0000-0000F6960000}"/>
    <cellStyle name="常规 3 3 2 2 8 3" xfId="38647" xr:uid="{00000000-0005-0000-0000-0000F7960000}"/>
    <cellStyle name="常规 3 3 2 2 9" xfId="38648" xr:uid="{00000000-0005-0000-0000-0000F8960000}"/>
    <cellStyle name="常规 3 3 2 2 9 2" xfId="38649" xr:uid="{00000000-0005-0000-0000-0000F9960000}"/>
    <cellStyle name="常规 3 3 2 3" xfId="38650" xr:uid="{00000000-0005-0000-0000-0000FA960000}"/>
    <cellStyle name="常规 3 3 2 3 2" xfId="38651" xr:uid="{00000000-0005-0000-0000-0000FB960000}"/>
    <cellStyle name="常规 3 3 2 3 2 2" xfId="38652" xr:uid="{00000000-0005-0000-0000-0000FC960000}"/>
    <cellStyle name="常规 3 3 2 3 2 2 2" xfId="38653" xr:uid="{00000000-0005-0000-0000-0000FD960000}"/>
    <cellStyle name="常规 3 3 2 3 2 2 2 2" xfId="38654" xr:uid="{00000000-0005-0000-0000-0000FE960000}"/>
    <cellStyle name="常规 3 3 2 3 2 3" xfId="38655" xr:uid="{00000000-0005-0000-0000-0000FF960000}"/>
    <cellStyle name="常规 3 3 2 3 2 3 2" xfId="38656" xr:uid="{00000000-0005-0000-0000-000000970000}"/>
    <cellStyle name="常规 3 3 2 3 2 3 2 2" xfId="38657" xr:uid="{00000000-0005-0000-0000-000001970000}"/>
    <cellStyle name="常规 3 3 2 3 2 4" xfId="38658" xr:uid="{00000000-0005-0000-0000-000002970000}"/>
    <cellStyle name="常规 3 3 2 3 2 4 2" xfId="38659" xr:uid="{00000000-0005-0000-0000-000003970000}"/>
    <cellStyle name="常规 3 3 2 3 2 4 2 2" xfId="38660" xr:uid="{00000000-0005-0000-0000-000004970000}"/>
    <cellStyle name="常规 3 3 2 3 2 5" xfId="38661" xr:uid="{00000000-0005-0000-0000-000005970000}"/>
    <cellStyle name="常规 3 3 2 3 2 5 2" xfId="38662" xr:uid="{00000000-0005-0000-0000-000006970000}"/>
    <cellStyle name="常规 3 3 2 3 2 5 3" xfId="38663" xr:uid="{00000000-0005-0000-0000-000007970000}"/>
    <cellStyle name="常规 3 3 2 3 2 6" xfId="38664" xr:uid="{00000000-0005-0000-0000-000008970000}"/>
    <cellStyle name="常规 3 3 2 3 3" xfId="38665" xr:uid="{00000000-0005-0000-0000-000009970000}"/>
    <cellStyle name="常规 3 3 2 3 3 2" xfId="38666" xr:uid="{00000000-0005-0000-0000-00000A970000}"/>
    <cellStyle name="常规 3 3 2 3 3 2 2" xfId="38667" xr:uid="{00000000-0005-0000-0000-00000B970000}"/>
    <cellStyle name="常规 3 3 2 3 3 2 2 2" xfId="38668" xr:uid="{00000000-0005-0000-0000-00000C970000}"/>
    <cellStyle name="常规 3 3 2 3 3 3" xfId="38669" xr:uid="{00000000-0005-0000-0000-00000D970000}"/>
    <cellStyle name="常规 3 3 2 3 3 3 2" xfId="38670" xr:uid="{00000000-0005-0000-0000-00000E970000}"/>
    <cellStyle name="常规 3 3 2 3 3 3 2 2" xfId="38671" xr:uid="{00000000-0005-0000-0000-00000F970000}"/>
    <cellStyle name="常规 3 3 2 3 3 4" xfId="38672" xr:uid="{00000000-0005-0000-0000-000010970000}"/>
    <cellStyle name="常规 3 3 2 3 3 4 2" xfId="38673" xr:uid="{00000000-0005-0000-0000-000011970000}"/>
    <cellStyle name="常规 3 3 2 3 3 5" xfId="38674" xr:uid="{00000000-0005-0000-0000-000012970000}"/>
    <cellStyle name="常规 3 3 2 3 4" xfId="38675" xr:uid="{00000000-0005-0000-0000-000013970000}"/>
    <cellStyle name="常规 3 3 2 3 4 2" xfId="38676" xr:uid="{00000000-0005-0000-0000-000014970000}"/>
    <cellStyle name="常规 3 3 2 3 4 2 2" xfId="38677" xr:uid="{00000000-0005-0000-0000-000015970000}"/>
    <cellStyle name="常规 3 3 2 3 5" xfId="38678" xr:uid="{00000000-0005-0000-0000-000016970000}"/>
    <cellStyle name="常规 3 3 2 3 5 2" xfId="38679" xr:uid="{00000000-0005-0000-0000-000017970000}"/>
    <cellStyle name="常规 3 3 2 3 5 2 2" xfId="38680" xr:uid="{00000000-0005-0000-0000-000018970000}"/>
    <cellStyle name="常规 3 3 2 3 6" xfId="38681" xr:uid="{00000000-0005-0000-0000-000019970000}"/>
    <cellStyle name="常规 3 3 2 3 7" xfId="38682" xr:uid="{00000000-0005-0000-0000-00001A970000}"/>
    <cellStyle name="常规 3 3 2 3 7 2" xfId="38683" xr:uid="{00000000-0005-0000-0000-00001B970000}"/>
    <cellStyle name="常规 3 3 2 3 7 3" xfId="38684" xr:uid="{00000000-0005-0000-0000-00001C970000}"/>
    <cellStyle name="常规 3 3 2 3 8" xfId="38685" xr:uid="{00000000-0005-0000-0000-00001D970000}"/>
    <cellStyle name="常规 3 3 2 3 8 2" xfId="38686" xr:uid="{00000000-0005-0000-0000-00001E970000}"/>
    <cellStyle name="常规 3 3 2 4" xfId="38687" xr:uid="{00000000-0005-0000-0000-00001F970000}"/>
    <cellStyle name="常规 3 3 2 4 2" xfId="38688" xr:uid="{00000000-0005-0000-0000-000020970000}"/>
    <cellStyle name="常规 3 3 2 4 2 2" xfId="38689" xr:uid="{00000000-0005-0000-0000-000021970000}"/>
    <cellStyle name="常规 3 3 2 4 2 3" xfId="38690" xr:uid="{00000000-0005-0000-0000-000022970000}"/>
    <cellStyle name="常规 3 3 2 4 2 4" xfId="38691" xr:uid="{00000000-0005-0000-0000-000023970000}"/>
    <cellStyle name="常规 3 3 2 4 2 5" xfId="38692" xr:uid="{00000000-0005-0000-0000-000024970000}"/>
    <cellStyle name="常规 3 3 2 4 2 5 2" xfId="38693" xr:uid="{00000000-0005-0000-0000-000025970000}"/>
    <cellStyle name="常规 3 3 2 4 3" xfId="38694" xr:uid="{00000000-0005-0000-0000-000026970000}"/>
    <cellStyle name="常规 3 3 2 4 3 2" xfId="38695" xr:uid="{00000000-0005-0000-0000-000027970000}"/>
    <cellStyle name="常规 3 3 2 4 3 2 2" xfId="38696" xr:uid="{00000000-0005-0000-0000-000028970000}"/>
    <cellStyle name="常规 3 3 2 4 4" xfId="38697" xr:uid="{00000000-0005-0000-0000-000029970000}"/>
    <cellStyle name="常规 3 3 2 4 4 2" xfId="38698" xr:uid="{00000000-0005-0000-0000-00002A970000}"/>
    <cellStyle name="常规 3 3 2 4 4 2 2" xfId="38699" xr:uid="{00000000-0005-0000-0000-00002B970000}"/>
    <cellStyle name="常规 3 3 2 4 5" xfId="38700" xr:uid="{00000000-0005-0000-0000-00002C970000}"/>
    <cellStyle name="常规 3 3 2 4 5 2" xfId="38701" xr:uid="{00000000-0005-0000-0000-00002D970000}"/>
    <cellStyle name="常规 3 3 2 4 5 3" xfId="38702" xr:uid="{00000000-0005-0000-0000-00002E970000}"/>
    <cellStyle name="常规 3 3 2 4 6" xfId="38703" xr:uid="{00000000-0005-0000-0000-00002F970000}"/>
    <cellStyle name="常规 3 3 2 4 6 2" xfId="38704" xr:uid="{00000000-0005-0000-0000-000030970000}"/>
    <cellStyle name="常规 3 3 2 4 7" xfId="38705" xr:uid="{00000000-0005-0000-0000-000031970000}"/>
    <cellStyle name="常规 3 3 2 5" xfId="38706" xr:uid="{00000000-0005-0000-0000-000032970000}"/>
    <cellStyle name="常规 3 3 2 5 2" xfId="38707" xr:uid="{00000000-0005-0000-0000-000033970000}"/>
    <cellStyle name="常规 3 3 2 5 3" xfId="38708" xr:uid="{00000000-0005-0000-0000-000034970000}"/>
    <cellStyle name="常规 3 3 2 5 4" xfId="38709" xr:uid="{00000000-0005-0000-0000-000035970000}"/>
    <cellStyle name="常规 3 3 2 5 5" xfId="38710" xr:uid="{00000000-0005-0000-0000-000036970000}"/>
    <cellStyle name="常规 3 3 2 5 5 2" xfId="38711" xr:uid="{00000000-0005-0000-0000-000037970000}"/>
    <cellStyle name="常规 3 3 2 6" xfId="38712" xr:uid="{00000000-0005-0000-0000-000038970000}"/>
    <cellStyle name="常规 3 3 2 6 2" xfId="38713" xr:uid="{00000000-0005-0000-0000-000039970000}"/>
    <cellStyle name="常规 3 3 2 6 2 2" xfId="38714" xr:uid="{00000000-0005-0000-0000-00003A970000}"/>
    <cellStyle name="常规 3 3 2 7" xfId="38715" xr:uid="{00000000-0005-0000-0000-00003B970000}"/>
    <cellStyle name="常规 3 3 2 7 2" xfId="38716" xr:uid="{00000000-0005-0000-0000-00003C970000}"/>
    <cellStyle name="常规 3 3 2 7 2 2" xfId="38717" xr:uid="{00000000-0005-0000-0000-00003D970000}"/>
    <cellStyle name="常规 3 3 2 8" xfId="38718" xr:uid="{00000000-0005-0000-0000-00003E970000}"/>
    <cellStyle name="常规 3 3 2 8 2" xfId="38719" xr:uid="{00000000-0005-0000-0000-00003F970000}"/>
    <cellStyle name="常规 3 3 2 8 2 2" xfId="38720" xr:uid="{00000000-0005-0000-0000-000040970000}"/>
    <cellStyle name="常规 3 3 2 9" xfId="38721" xr:uid="{00000000-0005-0000-0000-000041970000}"/>
    <cellStyle name="常规 3 3 2 9 2" xfId="38722" xr:uid="{00000000-0005-0000-0000-000042970000}"/>
    <cellStyle name="常规 3 3 2 9 3" xfId="38723" xr:uid="{00000000-0005-0000-0000-000043970000}"/>
    <cellStyle name="常规 3 3 3" xfId="38724" xr:uid="{00000000-0005-0000-0000-000044970000}"/>
    <cellStyle name="常规 3 3 3 2" xfId="38725" xr:uid="{00000000-0005-0000-0000-000045970000}"/>
    <cellStyle name="常规 3 3 3 2 2" xfId="38726" xr:uid="{00000000-0005-0000-0000-000046970000}"/>
    <cellStyle name="常规 3 3 3 2 2 2" xfId="38727" xr:uid="{00000000-0005-0000-0000-000047970000}"/>
    <cellStyle name="常规 3 3 3 2 2 2 2" xfId="38728" xr:uid="{00000000-0005-0000-0000-000048970000}"/>
    <cellStyle name="常规 3 3 3 2 3" xfId="38729" xr:uid="{00000000-0005-0000-0000-000049970000}"/>
    <cellStyle name="常规 3 3 3 2 3 2" xfId="38730" xr:uid="{00000000-0005-0000-0000-00004A970000}"/>
    <cellStyle name="常规 3 3 3 2 3 2 2" xfId="38731" xr:uid="{00000000-0005-0000-0000-00004B970000}"/>
    <cellStyle name="常规 3 3 3 2 4" xfId="38732" xr:uid="{00000000-0005-0000-0000-00004C970000}"/>
    <cellStyle name="常规 3 3 3 2 4 2" xfId="38733" xr:uid="{00000000-0005-0000-0000-00004D970000}"/>
    <cellStyle name="常规 3 3 3 2 4 2 2" xfId="38734" xr:uid="{00000000-0005-0000-0000-00004E970000}"/>
    <cellStyle name="常规 3 3 3 2 5" xfId="38735" xr:uid="{00000000-0005-0000-0000-00004F970000}"/>
    <cellStyle name="常规 3 3 3 2 5 2" xfId="38736" xr:uid="{00000000-0005-0000-0000-000050970000}"/>
    <cellStyle name="常规 3 3 3 2 5 3" xfId="38737" xr:uid="{00000000-0005-0000-0000-000051970000}"/>
    <cellStyle name="常规 3 3 3 2 6" xfId="38738" xr:uid="{00000000-0005-0000-0000-000052970000}"/>
    <cellStyle name="常规 3 3 3 3" xfId="38739" xr:uid="{00000000-0005-0000-0000-000053970000}"/>
    <cellStyle name="常规 3 3 3 3 2" xfId="38740" xr:uid="{00000000-0005-0000-0000-000054970000}"/>
    <cellStyle name="常规 3 3 3 3 2 2" xfId="38741" xr:uid="{00000000-0005-0000-0000-000055970000}"/>
    <cellStyle name="常规 3 3 3 3 2 2 2" xfId="38742" xr:uid="{00000000-0005-0000-0000-000056970000}"/>
    <cellStyle name="常规 3 3 3 3 3" xfId="38743" xr:uid="{00000000-0005-0000-0000-000057970000}"/>
    <cellStyle name="常规 3 3 3 3 3 2" xfId="38744" xr:uid="{00000000-0005-0000-0000-000058970000}"/>
    <cellStyle name="常规 3 3 3 3 3 2 2" xfId="38745" xr:uid="{00000000-0005-0000-0000-000059970000}"/>
    <cellStyle name="常规 3 3 3 3 4" xfId="38746" xr:uid="{00000000-0005-0000-0000-00005A970000}"/>
    <cellStyle name="常规 3 3 3 3 4 2" xfId="38747" xr:uid="{00000000-0005-0000-0000-00005B970000}"/>
    <cellStyle name="常规 3 3 3 3 5" xfId="38748" xr:uid="{00000000-0005-0000-0000-00005C970000}"/>
    <cellStyle name="常规 3 3 3 4" xfId="38749" xr:uid="{00000000-0005-0000-0000-00005D970000}"/>
    <cellStyle name="常规 3 3 3 4 2" xfId="38750" xr:uid="{00000000-0005-0000-0000-00005E970000}"/>
    <cellStyle name="常规 3 3 3 4 2 2" xfId="38751" xr:uid="{00000000-0005-0000-0000-00005F970000}"/>
    <cellStyle name="常规 3 3 3 5" xfId="38752" xr:uid="{00000000-0005-0000-0000-000060970000}"/>
    <cellStyle name="常规 3 3 3 5 2" xfId="38753" xr:uid="{00000000-0005-0000-0000-000061970000}"/>
    <cellStyle name="常规 3 3 3 5 2 2" xfId="38754" xr:uid="{00000000-0005-0000-0000-000062970000}"/>
    <cellStyle name="常规 3 3 3 6" xfId="38755" xr:uid="{00000000-0005-0000-0000-000063970000}"/>
    <cellStyle name="常规 3 3 3 7" xfId="38756" xr:uid="{00000000-0005-0000-0000-000064970000}"/>
    <cellStyle name="常规 3 3 3 7 2" xfId="38757" xr:uid="{00000000-0005-0000-0000-000065970000}"/>
    <cellStyle name="常规 3 3 3 7 3" xfId="38758" xr:uid="{00000000-0005-0000-0000-000066970000}"/>
    <cellStyle name="常规 3 3 3 8" xfId="38759" xr:uid="{00000000-0005-0000-0000-000067970000}"/>
    <cellStyle name="常规 3 3 3 8 2" xfId="38760" xr:uid="{00000000-0005-0000-0000-000068970000}"/>
    <cellStyle name="常规 3 3 4" xfId="38761" xr:uid="{00000000-0005-0000-0000-000069970000}"/>
    <cellStyle name="常规 3 3 4 2" xfId="38762" xr:uid="{00000000-0005-0000-0000-00006A970000}"/>
    <cellStyle name="常规 3 3 4 2 2" xfId="38763" xr:uid="{00000000-0005-0000-0000-00006B970000}"/>
    <cellStyle name="常规 3 3 4 2 2 2" xfId="38764" xr:uid="{00000000-0005-0000-0000-00006C970000}"/>
    <cellStyle name="常规 3 3 4 2 2 2 2" xfId="38765" xr:uid="{00000000-0005-0000-0000-00006D970000}"/>
    <cellStyle name="常规 3 3 4 2 3" xfId="38766" xr:uid="{00000000-0005-0000-0000-00006E970000}"/>
    <cellStyle name="常规 3 3 4 2 3 2" xfId="38767" xr:uid="{00000000-0005-0000-0000-00006F970000}"/>
    <cellStyle name="常规 3 3 4 2 3 2 2" xfId="38768" xr:uid="{00000000-0005-0000-0000-000070970000}"/>
    <cellStyle name="常规 3 3 4 2 4" xfId="38769" xr:uid="{00000000-0005-0000-0000-000071970000}"/>
    <cellStyle name="常规 3 3 4 2 4 2" xfId="38770" xr:uid="{00000000-0005-0000-0000-000072970000}"/>
    <cellStyle name="常规 3 3 4 2 4 2 2" xfId="38771" xr:uid="{00000000-0005-0000-0000-000073970000}"/>
    <cellStyle name="常规 3 3 4 2 5" xfId="38772" xr:uid="{00000000-0005-0000-0000-000074970000}"/>
    <cellStyle name="常规 3 3 4 2 5 2" xfId="38773" xr:uid="{00000000-0005-0000-0000-000075970000}"/>
    <cellStyle name="常规 3 3 4 2 5 3" xfId="38774" xr:uid="{00000000-0005-0000-0000-000076970000}"/>
    <cellStyle name="常规 3 3 4 2 6" xfId="38775" xr:uid="{00000000-0005-0000-0000-000077970000}"/>
    <cellStyle name="常规 3 3 4 3" xfId="38776" xr:uid="{00000000-0005-0000-0000-000078970000}"/>
    <cellStyle name="常规 3 3 4 3 2" xfId="38777" xr:uid="{00000000-0005-0000-0000-000079970000}"/>
    <cellStyle name="常规 3 3 4 3 2 2" xfId="38778" xr:uid="{00000000-0005-0000-0000-00007A970000}"/>
    <cellStyle name="常规 3 3 4 4" xfId="38779" xr:uid="{00000000-0005-0000-0000-00007B970000}"/>
    <cellStyle name="常规 3 3 4 4 2" xfId="38780" xr:uid="{00000000-0005-0000-0000-00007C970000}"/>
    <cellStyle name="常规 3 3 4 4 2 2" xfId="38781" xr:uid="{00000000-0005-0000-0000-00007D970000}"/>
    <cellStyle name="常规 3 3 4 5" xfId="38782" xr:uid="{00000000-0005-0000-0000-00007E970000}"/>
    <cellStyle name="常规 3 3 4 5 2" xfId="38783" xr:uid="{00000000-0005-0000-0000-00007F970000}"/>
    <cellStyle name="常规 3 3 4 5 2 2" xfId="38784" xr:uid="{00000000-0005-0000-0000-000080970000}"/>
    <cellStyle name="常规 3 3 4 6" xfId="38785" xr:uid="{00000000-0005-0000-0000-000081970000}"/>
    <cellStyle name="常规 3 3 4 7" xfId="38786" xr:uid="{00000000-0005-0000-0000-000082970000}"/>
    <cellStyle name="常规 3 3 4 7 2" xfId="38787" xr:uid="{00000000-0005-0000-0000-000083970000}"/>
    <cellStyle name="常规 3 3 4 7 3" xfId="38788" xr:uid="{00000000-0005-0000-0000-000084970000}"/>
    <cellStyle name="常规 3 3 4 8" xfId="38789" xr:uid="{00000000-0005-0000-0000-000085970000}"/>
    <cellStyle name="常规 3 3 4 8 2" xfId="38790" xr:uid="{00000000-0005-0000-0000-000086970000}"/>
    <cellStyle name="常规 3 3 5" xfId="38791" xr:uid="{00000000-0005-0000-0000-000087970000}"/>
    <cellStyle name="常规 3 3 5 2" xfId="38792" xr:uid="{00000000-0005-0000-0000-000088970000}"/>
    <cellStyle name="常规 3 3 5 2 2" xfId="38793" xr:uid="{00000000-0005-0000-0000-000089970000}"/>
    <cellStyle name="常规 3 3 5 2 3" xfId="38794" xr:uid="{00000000-0005-0000-0000-00008A970000}"/>
    <cellStyle name="常规 3 3 5 2 4" xfId="38795" xr:uid="{00000000-0005-0000-0000-00008B970000}"/>
    <cellStyle name="常规 3 3 5 2 4 2" xfId="38796" xr:uid="{00000000-0005-0000-0000-00008C970000}"/>
    <cellStyle name="常规 3 3 5 2 4 3" xfId="38797" xr:uid="{00000000-0005-0000-0000-00008D970000}"/>
    <cellStyle name="常规 3 3 5 2 5" xfId="38798" xr:uid="{00000000-0005-0000-0000-00008E970000}"/>
    <cellStyle name="常规 3 3 5 2 5 2" xfId="38799" xr:uid="{00000000-0005-0000-0000-00008F970000}"/>
    <cellStyle name="常规 3 3 5 3" xfId="38800" xr:uid="{00000000-0005-0000-0000-000090970000}"/>
    <cellStyle name="常规 3 3 5 3 2" xfId="38801" xr:uid="{00000000-0005-0000-0000-000091970000}"/>
    <cellStyle name="常规 3 3 5 3 2 2" xfId="38802" xr:uid="{00000000-0005-0000-0000-000092970000}"/>
    <cellStyle name="常规 3 3 5 4" xfId="38803" xr:uid="{00000000-0005-0000-0000-000093970000}"/>
    <cellStyle name="常规 3 3 5 4 2" xfId="38804" xr:uid="{00000000-0005-0000-0000-000094970000}"/>
    <cellStyle name="常规 3 3 5 4 2 2" xfId="38805" xr:uid="{00000000-0005-0000-0000-000095970000}"/>
    <cellStyle name="常规 3 3 5 5" xfId="38806" xr:uid="{00000000-0005-0000-0000-000096970000}"/>
    <cellStyle name="常规 3 3 5 6" xfId="38807" xr:uid="{00000000-0005-0000-0000-000097970000}"/>
    <cellStyle name="常规 3 3 5 6 2" xfId="38808" xr:uid="{00000000-0005-0000-0000-000098970000}"/>
    <cellStyle name="常规 3 3 5 6 3" xfId="38809" xr:uid="{00000000-0005-0000-0000-000099970000}"/>
    <cellStyle name="常规 3 3 5 7" xfId="38810" xr:uid="{00000000-0005-0000-0000-00009A970000}"/>
    <cellStyle name="常规 3 3 5 7 2" xfId="38811" xr:uid="{00000000-0005-0000-0000-00009B970000}"/>
    <cellStyle name="常规 3 3 6" xfId="38812" xr:uid="{00000000-0005-0000-0000-00009C970000}"/>
    <cellStyle name="常规 3 3 6 2" xfId="38813" xr:uid="{00000000-0005-0000-0000-00009D970000}"/>
    <cellStyle name="常规 3 3 6 2 2" xfId="38814" xr:uid="{00000000-0005-0000-0000-00009E970000}"/>
    <cellStyle name="常规 3 3 6 2 2 2" xfId="38815" xr:uid="{00000000-0005-0000-0000-00009F970000}"/>
    <cellStyle name="常规 3 3 6 2 2 2 2" xfId="38816" xr:uid="{00000000-0005-0000-0000-0000A0970000}"/>
    <cellStyle name="常规 3 3 6 2 3" xfId="38817" xr:uid="{00000000-0005-0000-0000-0000A1970000}"/>
    <cellStyle name="常规 3 3 6 2 3 2" xfId="38818" xr:uid="{00000000-0005-0000-0000-0000A2970000}"/>
    <cellStyle name="常规 3 3 6 2 4" xfId="38819" xr:uid="{00000000-0005-0000-0000-0000A3970000}"/>
    <cellStyle name="常规 3 3 6 2 4 2" xfId="38820" xr:uid="{00000000-0005-0000-0000-0000A4970000}"/>
    <cellStyle name="常规 3 3 6 2 5" xfId="38821" xr:uid="{00000000-0005-0000-0000-0000A5970000}"/>
    <cellStyle name="常规 3 3 6 3" xfId="38822" xr:uid="{00000000-0005-0000-0000-0000A6970000}"/>
    <cellStyle name="常规 3 3 6 4" xfId="38823" xr:uid="{00000000-0005-0000-0000-0000A7970000}"/>
    <cellStyle name="常规 3 3 6 4 2" xfId="38824" xr:uid="{00000000-0005-0000-0000-0000A8970000}"/>
    <cellStyle name="常规 3 3 6 4 3" xfId="38825" xr:uid="{00000000-0005-0000-0000-0000A9970000}"/>
    <cellStyle name="常规 3 3 6 5" xfId="38826" xr:uid="{00000000-0005-0000-0000-0000AA970000}"/>
    <cellStyle name="常规 3 3 6 5 2" xfId="38827" xr:uid="{00000000-0005-0000-0000-0000AB970000}"/>
    <cellStyle name="常规 3 3 7" xfId="38828" xr:uid="{00000000-0005-0000-0000-0000AC970000}"/>
    <cellStyle name="常规 3 3 7 2" xfId="38829" xr:uid="{00000000-0005-0000-0000-0000AD970000}"/>
    <cellStyle name="常规 3 3 7 2 2" xfId="38830" xr:uid="{00000000-0005-0000-0000-0000AE970000}"/>
    <cellStyle name="常规 3 3 7 2 2 2" xfId="38831" xr:uid="{00000000-0005-0000-0000-0000AF970000}"/>
    <cellStyle name="常规 3 3 7 3" xfId="38832" xr:uid="{00000000-0005-0000-0000-0000B0970000}"/>
    <cellStyle name="常规 3 3 7 3 2" xfId="38833" xr:uid="{00000000-0005-0000-0000-0000B1970000}"/>
    <cellStyle name="常规 3 3 7 3 2 2" xfId="38834" xr:uid="{00000000-0005-0000-0000-0000B2970000}"/>
    <cellStyle name="常规 3 3 7 4" xfId="38835" xr:uid="{00000000-0005-0000-0000-0000B3970000}"/>
    <cellStyle name="常规 3 3 7 4 2" xfId="38836" xr:uid="{00000000-0005-0000-0000-0000B4970000}"/>
    <cellStyle name="常规 3 3 7 5" xfId="38837" xr:uid="{00000000-0005-0000-0000-0000B5970000}"/>
    <cellStyle name="常规 3 3 8" xfId="38838" xr:uid="{00000000-0005-0000-0000-0000B6970000}"/>
    <cellStyle name="常规 3 3 8 2" xfId="38839" xr:uid="{00000000-0005-0000-0000-0000B7970000}"/>
    <cellStyle name="常规 3 3 8 2 2" xfId="38840" xr:uid="{00000000-0005-0000-0000-0000B8970000}"/>
    <cellStyle name="常规 3 3 9" xfId="38841" xr:uid="{00000000-0005-0000-0000-0000B9970000}"/>
    <cellStyle name="常规 3 4" xfId="38842" xr:uid="{00000000-0005-0000-0000-0000BA970000}"/>
    <cellStyle name="常规 3 4 10" xfId="38843" xr:uid="{00000000-0005-0000-0000-0000BB970000}"/>
    <cellStyle name="常规 3 4 10 2" xfId="38844" xr:uid="{00000000-0005-0000-0000-0000BC970000}"/>
    <cellStyle name="常规 3 4 10 3" xfId="38845" xr:uid="{00000000-0005-0000-0000-0000BD970000}"/>
    <cellStyle name="常规 3 4 11" xfId="38846" xr:uid="{00000000-0005-0000-0000-0000BE970000}"/>
    <cellStyle name="常规 3 4 11 2" xfId="38847" xr:uid="{00000000-0005-0000-0000-0000BF970000}"/>
    <cellStyle name="常规 3 4 2" xfId="38848" xr:uid="{00000000-0005-0000-0000-0000C0970000}"/>
    <cellStyle name="常规 3 4 2 10" xfId="38849" xr:uid="{00000000-0005-0000-0000-0000C1970000}"/>
    <cellStyle name="常规 3 4 2 10 2" xfId="38850" xr:uid="{00000000-0005-0000-0000-0000C2970000}"/>
    <cellStyle name="常规 3 4 2 2" xfId="38851" xr:uid="{00000000-0005-0000-0000-0000C3970000}"/>
    <cellStyle name="常规 3 4 2 2 2" xfId="38852" xr:uid="{00000000-0005-0000-0000-0000C4970000}"/>
    <cellStyle name="常规 3 4 2 2 2 2" xfId="38853" xr:uid="{00000000-0005-0000-0000-0000C5970000}"/>
    <cellStyle name="常规 3 4 2 2 2 2 2" xfId="38854" xr:uid="{00000000-0005-0000-0000-0000C6970000}"/>
    <cellStyle name="常规 3 4 2 2 2 2 2 2" xfId="38855" xr:uid="{00000000-0005-0000-0000-0000C7970000}"/>
    <cellStyle name="常规 3 4 2 2 2 2 2 2 2" xfId="38856" xr:uid="{00000000-0005-0000-0000-0000C8970000}"/>
    <cellStyle name="常规 3 4 2 2 2 2 3" xfId="38857" xr:uid="{00000000-0005-0000-0000-0000C9970000}"/>
    <cellStyle name="常规 3 4 2 2 2 2 3 2" xfId="38858" xr:uid="{00000000-0005-0000-0000-0000CA970000}"/>
    <cellStyle name="常规 3 4 2 2 2 2 3 2 2" xfId="38859" xr:uid="{00000000-0005-0000-0000-0000CB970000}"/>
    <cellStyle name="常规 3 4 2 2 2 2 4" xfId="38860" xr:uid="{00000000-0005-0000-0000-0000CC970000}"/>
    <cellStyle name="常规 3 4 2 2 2 2 4 2" xfId="38861" xr:uid="{00000000-0005-0000-0000-0000CD970000}"/>
    <cellStyle name="常规 3 4 2 2 2 2 4 2 2" xfId="38862" xr:uid="{00000000-0005-0000-0000-0000CE970000}"/>
    <cellStyle name="常规 3 4 2 2 2 2 5" xfId="38863" xr:uid="{00000000-0005-0000-0000-0000CF970000}"/>
    <cellStyle name="常规 3 4 2 2 2 2 5 2" xfId="38864" xr:uid="{00000000-0005-0000-0000-0000D0970000}"/>
    <cellStyle name="常规 3 4 2 2 2 2 5 3" xfId="38865" xr:uid="{00000000-0005-0000-0000-0000D1970000}"/>
    <cellStyle name="常规 3 4 2 2 2 2 6" xfId="38866" xr:uid="{00000000-0005-0000-0000-0000D2970000}"/>
    <cellStyle name="常规 3 4 2 2 2 3" xfId="38867" xr:uid="{00000000-0005-0000-0000-0000D3970000}"/>
    <cellStyle name="常规 3 4 2 2 2 3 2" xfId="38868" xr:uid="{00000000-0005-0000-0000-0000D4970000}"/>
    <cellStyle name="常规 3 4 2 2 2 3 2 2" xfId="38869" xr:uid="{00000000-0005-0000-0000-0000D5970000}"/>
    <cellStyle name="常规 3 4 2 2 2 3 2 2 2" xfId="38870" xr:uid="{00000000-0005-0000-0000-0000D6970000}"/>
    <cellStyle name="常规 3 4 2 2 2 3 3" xfId="38871" xr:uid="{00000000-0005-0000-0000-0000D7970000}"/>
    <cellStyle name="常规 3 4 2 2 2 3 3 2" xfId="38872" xr:uid="{00000000-0005-0000-0000-0000D8970000}"/>
    <cellStyle name="常规 3 4 2 2 2 3 3 2 2" xfId="38873" xr:uid="{00000000-0005-0000-0000-0000D9970000}"/>
    <cellStyle name="常规 3 4 2 2 2 3 4" xfId="38874" xr:uid="{00000000-0005-0000-0000-0000DA970000}"/>
    <cellStyle name="常规 3 4 2 2 2 3 4 2" xfId="38875" xr:uid="{00000000-0005-0000-0000-0000DB970000}"/>
    <cellStyle name="常规 3 4 2 2 2 3 5" xfId="38876" xr:uid="{00000000-0005-0000-0000-0000DC970000}"/>
    <cellStyle name="常规 3 4 2 2 2 4" xfId="38877" xr:uid="{00000000-0005-0000-0000-0000DD970000}"/>
    <cellStyle name="常规 3 4 2 2 2 4 2" xfId="38878" xr:uid="{00000000-0005-0000-0000-0000DE970000}"/>
    <cellStyle name="常规 3 4 2 2 2 4 2 2" xfId="38879" xr:uid="{00000000-0005-0000-0000-0000DF970000}"/>
    <cellStyle name="常规 3 4 2 2 2 5" xfId="38880" xr:uid="{00000000-0005-0000-0000-0000E0970000}"/>
    <cellStyle name="常规 3 4 2 2 2 5 2" xfId="38881" xr:uid="{00000000-0005-0000-0000-0000E1970000}"/>
    <cellStyle name="常规 3 4 2 2 2 5 2 2" xfId="38882" xr:uid="{00000000-0005-0000-0000-0000E2970000}"/>
    <cellStyle name="常规 3 4 2 2 2 6" xfId="38883" xr:uid="{00000000-0005-0000-0000-0000E3970000}"/>
    <cellStyle name="常规 3 4 2 2 2 7" xfId="38884" xr:uid="{00000000-0005-0000-0000-0000E4970000}"/>
    <cellStyle name="常规 3 4 2 2 2 7 2" xfId="38885" xr:uid="{00000000-0005-0000-0000-0000E5970000}"/>
    <cellStyle name="常规 3 4 2 2 2 7 3" xfId="38886" xr:uid="{00000000-0005-0000-0000-0000E6970000}"/>
    <cellStyle name="常规 3 4 2 2 2 8" xfId="38887" xr:uid="{00000000-0005-0000-0000-0000E7970000}"/>
    <cellStyle name="常规 3 4 2 2 2 8 2" xfId="38888" xr:uid="{00000000-0005-0000-0000-0000E8970000}"/>
    <cellStyle name="常规 3 4 2 2 3" xfId="38889" xr:uid="{00000000-0005-0000-0000-0000E9970000}"/>
    <cellStyle name="常规 3 4 2 2 3 2" xfId="38890" xr:uid="{00000000-0005-0000-0000-0000EA970000}"/>
    <cellStyle name="常规 3 4 2 2 3 2 2" xfId="38891" xr:uid="{00000000-0005-0000-0000-0000EB970000}"/>
    <cellStyle name="常规 3 4 2 2 3 2 3" xfId="38892" xr:uid="{00000000-0005-0000-0000-0000EC970000}"/>
    <cellStyle name="常规 3 4 2 2 3 2 4" xfId="38893" xr:uid="{00000000-0005-0000-0000-0000ED970000}"/>
    <cellStyle name="常规 3 4 2 2 3 2 5" xfId="38894" xr:uid="{00000000-0005-0000-0000-0000EE970000}"/>
    <cellStyle name="常规 3 4 2 2 3 2 5 2" xfId="38895" xr:uid="{00000000-0005-0000-0000-0000EF970000}"/>
    <cellStyle name="常规 3 4 2 2 3 3" xfId="38896" xr:uid="{00000000-0005-0000-0000-0000F0970000}"/>
    <cellStyle name="常规 3 4 2 2 3 3 2" xfId="38897" xr:uid="{00000000-0005-0000-0000-0000F1970000}"/>
    <cellStyle name="常规 3 4 2 2 3 3 2 2" xfId="38898" xr:uid="{00000000-0005-0000-0000-0000F2970000}"/>
    <cellStyle name="常规 3 4 2 2 3 4" xfId="38899" xr:uid="{00000000-0005-0000-0000-0000F3970000}"/>
    <cellStyle name="常规 3 4 2 2 3 4 2" xfId="38900" xr:uid="{00000000-0005-0000-0000-0000F4970000}"/>
    <cellStyle name="常规 3 4 2 2 3 4 2 2" xfId="38901" xr:uid="{00000000-0005-0000-0000-0000F5970000}"/>
    <cellStyle name="常规 3 4 2 2 3 5" xfId="38902" xr:uid="{00000000-0005-0000-0000-0000F6970000}"/>
    <cellStyle name="常规 3 4 2 2 3 5 2" xfId="38903" xr:uid="{00000000-0005-0000-0000-0000F7970000}"/>
    <cellStyle name="常规 3 4 2 2 3 5 3" xfId="38904" xr:uid="{00000000-0005-0000-0000-0000F8970000}"/>
    <cellStyle name="常规 3 4 2 2 3 6" xfId="38905" xr:uid="{00000000-0005-0000-0000-0000F9970000}"/>
    <cellStyle name="常规 3 4 2 2 3 6 2" xfId="38906" xr:uid="{00000000-0005-0000-0000-0000FA970000}"/>
    <cellStyle name="常规 3 4 2 2 3 7" xfId="38907" xr:uid="{00000000-0005-0000-0000-0000FB970000}"/>
    <cellStyle name="常规 3 4 2 2 4" xfId="38908" xr:uid="{00000000-0005-0000-0000-0000FC970000}"/>
    <cellStyle name="常规 3 4 2 2 4 2" xfId="38909" xr:uid="{00000000-0005-0000-0000-0000FD970000}"/>
    <cellStyle name="常规 3 4 2 2 4 3" xfId="38910" xr:uid="{00000000-0005-0000-0000-0000FE970000}"/>
    <cellStyle name="常规 3 4 2 2 4 4" xfId="38911" xr:uid="{00000000-0005-0000-0000-0000FF970000}"/>
    <cellStyle name="常规 3 4 2 2 4 5" xfId="38912" xr:uid="{00000000-0005-0000-0000-000000980000}"/>
    <cellStyle name="常规 3 4 2 2 4 5 2" xfId="38913" xr:uid="{00000000-0005-0000-0000-000001980000}"/>
    <cellStyle name="常规 3 4 2 2 5" xfId="38914" xr:uid="{00000000-0005-0000-0000-000002980000}"/>
    <cellStyle name="常规 3 4 2 2 5 2" xfId="38915" xr:uid="{00000000-0005-0000-0000-000003980000}"/>
    <cellStyle name="常规 3 4 2 2 5 2 2" xfId="38916" xr:uid="{00000000-0005-0000-0000-000004980000}"/>
    <cellStyle name="常规 3 4 2 2 6" xfId="38917" xr:uid="{00000000-0005-0000-0000-000005980000}"/>
    <cellStyle name="常规 3 4 2 2 6 2" xfId="38918" xr:uid="{00000000-0005-0000-0000-000006980000}"/>
    <cellStyle name="常规 3 4 2 2 6 2 2" xfId="38919" xr:uid="{00000000-0005-0000-0000-000007980000}"/>
    <cellStyle name="常规 3 4 2 2 7" xfId="38920" xr:uid="{00000000-0005-0000-0000-000008980000}"/>
    <cellStyle name="常规 3 4 2 2 7 2" xfId="38921" xr:uid="{00000000-0005-0000-0000-000009980000}"/>
    <cellStyle name="常规 3 4 2 2 7 2 2" xfId="38922" xr:uid="{00000000-0005-0000-0000-00000A980000}"/>
    <cellStyle name="常规 3 4 2 2 8" xfId="38923" xr:uid="{00000000-0005-0000-0000-00000B980000}"/>
    <cellStyle name="常规 3 4 2 2 8 2" xfId="38924" xr:uid="{00000000-0005-0000-0000-00000C980000}"/>
    <cellStyle name="常规 3 4 2 2 8 3" xfId="38925" xr:uid="{00000000-0005-0000-0000-00000D980000}"/>
    <cellStyle name="常规 3 4 2 2 9" xfId="38926" xr:uid="{00000000-0005-0000-0000-00000E980000}"/>
    <cellStyle name="常规 3 4 2 2 9 2" xfId="38927" xr:uid="{00000000-0005-0000-0000-00000F980000}"/>
    <cellStyle name="常规 3 4 2 3" xfId="38928" xr:uid="{00000000-0005-0000-0000-000010980000}"/>
    <cellStyle name="常规 3 4 2 3 2" xfId="38929" xr:uid="{00000000-0005-0000-0000-000011980000}"/>
    <cellStyle name="常规 3 4 2 3 2 2" xfId="38930" xr:uid="{00000000-0005-0000-0000-000012980000}"/>
    <cellStyle name="常规 3 4 2 3 2 2 2" xfId="38931" xr:uid="{00000000-0005-0000-0000-000013980000}"/>
    <cellStyle name="常规 3 4 2 3 2 2 2 2" xfId="38932" xr:uid="{00000000-0005-0000-0000-000014980000}"/>
    <cellStyle name="常规 3 4 2 3 2 3" xfId="38933" xr:uid="{00000000-0005-0000-0000-000015980000}"/>
    <cellStyle name="常规 3 4 2 3 2 3 2" xfId="38934" xr:uid="{00000000-0005-0000-0000-000016980000}"/>
    <cellStyle name="常规 3 4 2 3 2 3 2 2" xfId="38935" xr:uid="{00000000-0005-0000-0000-000017980000}"/>
    <cellStyle name="常规 3 4 2 3 2 4" xfId="38936" xr:uid="{00000000-0005-0000-0000-000018980000}"/>
    <cellStyle name="常规 3 4 2 3 2 4 2" xfId="38937" xr:uid="{00000000-0005-0000-0000-000019980000}"/>
    <cellStyle name="常规 3 4 2 3 2 4 2 2" xfId="38938" xr:uid="{00000000-0005-0000-0000-00001A980000}"/>
    <cellStyle name="常规 3 4 2 3 2 5" xfId="38939" xr:uid="{00000000-0005-0000-0000-00001B980000}"/>
    <cellStyle name="常规 3 4 2 3 2 5 2" xfId="38940" xr:uid="{00000000-0005-0000-0000-00001C980000}"/>
    <cellStyle name="常规 3 4 2 3 2 5 3" xfId="38941" xr:uid="{00000000-0005-0000-0000-00001D980000}"/>
    <cellStyle name="常规 3 4 2 3 2 6" xfId="38942" xr:uid="{00000000-0005-0000-0000-00001E980000}"/>
    <cellStyle name="常规 3 4 2 3 3" xfId="38943" xr:uid="{00000000-0005-0000-0000-00001F980000}"/>
    <cellStyle name="常规 3 4 2 3 3 2" xfId="38944" xr:uid="{00000000-0005-0000-0000-000020980000}"/>
    <cellStyle name="常规 3 4 2 3 3 2 2" xfId="38945" xr:uid="{00000000-0005-0000-0000-000021980000}"/>
    <cellStyle name="常规 3 4 2 3 3 2 2 2" xfId="38946" xr:uid="{00000000-0005-0000-0000-000022980000}"/>
    <cellStyle name="常规 3 4 2 3 3 3" xfId="38947" xr:uid="{00000000-0005-0000-0000-000023980000}"/>
    <cellStyle name="常规 3 4 2 3 3 3 2" xfId="38948" xr:uid="{00000000-0005-0000-0000-000024980000}"/>
    <cellStyle name="常规 3 4 2 3 3 3 2 2" xfId="38949" xr:uid="{00000000-0005-0000-0000-000025980000}"/>
    <cellStyle name="常规 3 4 2 3 3 4" xfId="38950" xr:uid="{00000000-0005-0000-0000-000026980000}"/>
    <cellStyle name="常规 3 4 2 3 3 4 2" xfId="38951" xr:uid="{00000000-0005-0000-0000-000027980000}"/>
    <cellStyle name="常规 3 4 2 3 3 5" xfId="38952" xr:uid="{00000000-0005-0000-0000-000028980000}"/>
    <cellStyle name="常规 3 4 2 3 4" xfId="38953" xr:uid="{00000000-0005-0000-0000-000029980000}"/>
    <cellStyle name="常规 3 4 2 3 4 2" xfId="38954" xr:uid="{00000000-0005-0000-0000-00002A980000}"/>
    <cellStyle name="常规 3 4 2 3 4 2 2" xfId="38955" xr:uid="{00000000-0005-0000-0000-00002B980000}"/>
    <cellStyle name="常规 3 4 2 3 5" xfId="38956" xr:uid="{00000000-0005-0000-0000-00002C980000}"/>
    <cellStyle name="常规 3 4 2 3 5 2" xfId="38957" xr:uid="{00000000-0005-0000-0000-00002D980000}"/>
    <cellStyle name="常规 3 4 2 3 5 2 2" xfId="38958" xr:uid="{00000000-0005-0000-0000-00002E980000}"/>
    <cellStyle name="常规 3 4 2 3 6" xfId="38959" xr:uid="{00000000-0005-0000-0000-00002F980000}"/>
    <cellStyle name="常规 3 4 2 3 7" xfId="38960" xr:uid="{00000000-0005-0000-0000-000030980000}"/>
    <cellStyle name="常规 3 4 2 3 7 2" xfId="38961" xr:uid="{00000000-0005-0000-0000-000031980000}"/>
    <cellStyle name="常规 3 4 2 3 7 3" xfId="38962" xr:uid="{00000000-0005-0000-0000-000032980000}"/>
    <cellStyle name="常规 3 4 2 3 8" xfId="38963" xr:uid="{00000000-0005-0000-0000-000033980000}"/>
    <cellStyle name="常规 3 4 2 3 8 2" xfId="38964" xr:uid="{00000000-0005-0000-0000-000034980000}"/>
    <cellStyle name="常规 3 4 2 4" xfId="38965" xr:uid="{00000000-0005-0000-0000-000035980000}"/>
    <cellStyle name="常规 3 4 2 4 2" xfId="38966" xr:uid="{00000000-0005-0000-0000-000036980000}"/>
    <cellStyle name="常规 3 4 2 4 2 2" xfId="38967" xr:uid="{00000000-0005-0000-0000-000037980000}"/>
    <cellStyle name="常规 3 4 2 4 2 3" xfId="38968" xr:uid="{00000000-0005-0000-0000-000038980000}"/>
    <cellStyle name="常规 3 4 2 4 2 4" xfId="38969" xr:uid="{00000000-0005-0000-0000-000039980000}"/>
    <cellStyle name="常规 3 4 2 4 2 5" xfId="38970" xr:uid="{00000000-0005-0000-0000-00003A980000}"/>
    <cellStyle name="常规 3 4 2 4 2 5 2" xfId="38971" xr:uid="{00000000-0005-0000-0000-00003B980000}"/>
    <cellStyle name="常规 3 4 2 4 3" xfId="38972" xr:uid="{00000000-0005-0000-0000-00003C980000}"/>
    <cellStyle name="常规 3 4 2 4 3 2" xfId="38973" xr:uid="{00000000-0005-0000-0000-00003D980000}"/>
    <cellStyle name="常规 3 4 2 4 3 2 2" xfId="38974" xr:uid="{00000000-0005-0000-0000-00003E980000}"/>
    <cellStyle name="常规 3 4 2 4 4" xfId="38975" xr:uid="{00000000-0005-0000-0000-00003F980000}"/>
    <cellStyle name="常规 3 4 2 4 4 2" xfId="38976" xr:uid="{00000000-0005-0000-0000-000040980000}"/>
    <cellStyle name="常规 3 4 2 4 4 2 2" xfId="38977" xr:uid="{00000000-0005-0000-0000-000041980000}"/>
    <cellStyle name="常规 3 4 2 4 5" xfId="38978" xr:uid="{00000000-0005-0000-0000-000042980000}"/>
    <cellStyle name="常规 3 4 2 4 5 2" xfId="38979" xr:uid="{00000000-0005-0000-0000-000043980000}"/>
    <cellStyle name="常规 3 4 2 4 5 3" xfId="38980" xr:uid="{00000000-0005-0000-0000-000044980000}"/>
    <cellStyle name="常规 3 4 2 4 6" xfId="38981" xr:uid="{00000000-0005-0000-0000-000045980000}"/>
    <cellStyle name="常规 3 4 2 4 6 2" xfId="38982" xr:uid="{00000000-0005-0000-0000-000046980000}"/>
    <cellStyle name="常规 3 4 2 4 7" xfId="38983" xr:uid="{00000000-0005-0000-0000-000047980000}"/>
    <cellStyle name="常规 3 4 2 5" xfId="38984" xr:uid="{00000000-0005-0000-0000-000048980000}"/>
    <cellStyle name="常规 3 4 2 5 2" xfId="38985" xr:uid="{00000000-0005-0000-0000-000049980000}"/>
    <cellStyle name="常规 3 4 2 5 3" xfId="38986" xr:uid="{00000000-0005-0000-0000-00004A980000}"/>
    <cellStyle name="常规 3 4 2 5 4" xfId="38987" xr:uid="{00000000-0005-0000-0000-00004B980000}"/>
    <cellStyle name="常规 3 4 2 5 5" xfId="38988" xr:uid="{00000000-0005-0000-0000-00004C980000}"/>
    <cellStyle name="常规 3 4 2 5 5 2" xfId="38989" xr:uid="{00000000-0005-0000-0000-00004D980000}"/>
    <cellStyle name="常规 3 4 2 6" xfId="38990" xr:uid="{00000000-0005-0000-0000-00004E980000}"/>
    <cellStyle name="常规 3 4 2 6 2" xfId="38991" xr:uid="{00000000-0005-0000-0000-00004F980000}"/>
    <cellStyle name="常规 3 4 2 6 2 2" xfId="38992" xr:uid="{00000000-0005-0000-0000-000050980000}"/>
    <cellStyle name="常规 3 4 2 7" xfId="38993" xr:uid="{00000000-0005-0000-0000-000051980000}"/>
    <cellStyle name="常规 3 4 2 7 2" xfId="38994" xr:uid="{00000000-0005-0000-0000-000052980000}"/>
    <cellStyle name="常规 3 4 2 7 2 2" xfId="38995" xr:uid="{00000000-0005-0000-0000-000053980000}"/>
    <cellStyle name="常规 3 4 2 8" xfId="38996" xr:uid="{00000000-0005-0000-0000-000054980000}"/>
    <cellStyle name="常规 3 4 2 8 2" xfId="38997" xr:uid="{00000000-0005-0000-0000-000055980000}"/>
    <cellStyle name="常规 3 4 2 8 2 2" xfId="38998" xr:uid="{00000000-0005-0000-0000-000056980000}"/>
    <cellStyle name="常规 3 4 2 9" xfId="38999" xr:uid="{00000000-0005-0000-0000-000057980000}"/>
    <cellStyle name="常规 3 4 2 9 2" xfId="39000" xr:uid="{00000000-0005-0000-0000-000058980000}"/>
    <cellStyle name="常规 3 4 2 9 3" xfId="39001" xr:uid="{00000000-0005-0000-0000-000059980000}"/>
    <cellStyle name="常规 3 4 3" xfId="39002" xr:uid="{00000000-0005-0000-0000-00005A980000}"/>
    <cellStyle name="常规 3 4 3 2" xfId="39003" xr:uid="{00000000-0005-0000-0000-00005B980000}"/>
    <cellStyle name="常规 3 4 3 2 2" xfId="39004" xr:uid="{00000000-0005-0000-0000-00005C980000}"/>
    <cellStyle name="常规 3 4 3 2 2 2" xfId="39005" xr:uid="{00000000-0005-0000-0000-00005D980000}"/>
    <cellStyle name="常规 3 4 3 2 2 2 2" xfId="39006" xr:uid="{00000000-0005-0000-0000-00005E980000}"/>
    <cellStyle name="常规 3 4 3 2 3" xfId="39007" xr:uid="{00000000-0005-0000-0000-00005F980000}"/>
    <cellStyle name="常规 3 4 3 2 3 2" xfId="39008" xr:uid="{00000000-0005-0000-0000-000060980000}"/>
    <cellStyle name="常规 3 4 3 2 3 2 2" xfId="39009" xr:uid="{00000000-0005-0000-0000-000061980000}"/>
    <cellStyle name="常规 3 4 3 2 4" xfId="39010" xr:uid="{00000000-0005-0000-0000-000062980000}"/>
    <cellStyle name="常规 3 4 3 2 4 2" xfId="39011" xr:uid="{00000000-0005-0000-0000-000063980000}"/>
    <cellStyle name="常规 3 4 3 2 4 2 2" xfId="39012" xr:uid="{00000000-0005-0000-0000-000064980000}"/>
    <cellStyle name="常规 3 4 3 2 5" xfId="39013" xr:uid="{00000000-0005-0000-0000-000065980000}"/>
    <cellStyle name="常规 3 4 3 2 5 2" xfId="39014" xr:uid="{00000000-0005-0000-0000-000066980000}"/>
    <cellStyle name="常规 3 4 3 2 5 3" xfId="39015" xr:uid="{00000000-0005-0000-0000-000067980000}"/>
    <cellStyle name="常规 3 4 3 2 6" xfId="39016" xr:uid="{00000000-0005-0000-0000-000068980000}"/>
    <cellStyle name="常规 3 4 3 3" xfId="39017" xr:uid="{00000000-0005-0000-0000-000069980000}"/>
    <cellStyle name="常规 3 4 3 3 2" xfId="39018" xr:uid="{00000000-0005-0000-0000-00006A980000}"/>
    <cellStyle name="常规 3 4 3 3 2 2" xfId="39019" xr:uid="{00000000-0005-0000-0000-00006B980000}"/>
    <cellStyle name="常规 3 4 3 3 2 2 2" xfId="39020" xr:uid="{00000000-0005-0000-0000-00006C980000}"/>
    <cellStyle name="常规 3 4 3 3 3" xfId="39021" xr:uid="{00000000-0005-0000-0000-00006D980000}"/>
    <cellStyle name="常规 3 4 3 3 3 2" xfId="39022" xr:uid="{00000000-0005-0000-0000-00006E980000}"/>
    <cellStyle name="常规 3 4 3 3 3 2 2" xfId="39023" xr:uid="{00000000-0005-0000-0000-00006F980000}"/>
    <cellStyle name="常规 3 4 3 3 4" xfId="39024" xr:uid="{00000000-0005-0000-0000-000070980000}"/>
    <cellStyle name="常规 3 4 3 3 4 2" xfId="39025" xr:uid="{00000000-0005-0000-0000-000071980000}"/>
    <cellStyle name="常规 3 4 3 3 5" xfId="39026" xr:uid="{00000000-0005-0000-0000-000072980000}"/>
    <cellStyle name="常规 3 4 3 4" xfId="39027" xr:uid="{00000000-0005-0000-0000-000073980000}"/>
    <cellStyle name="常规 3 4 3 4 2" xfId="39028" xr:uid="{00000000-0005-0000-0000-000074980000}"/>
    <cellStyle name="常规 3 4 3 4 2 2" xfId="39029" xr:uid="{00000000-0005-0000-0000-000075980000}"/>
    <cellStyle name="常规 3 4 3 5" xfId="39030" xr:uid="{00000000-0005-0000-0000-000076980000}"/>
    <cellStyle name="常规 3 4 3 5 2" xfId="39031" xr:uid="{00000000-0005-0000-0000-000077980000}"/>
    <cellStyle name="常规 3 4 3 5 2 2" xfId="39032" xr:uid="{00000000-0005-0000-0000-000078980000}"/>
    <cellStyle name="常规 3 4 3 6" xfId="39033" xr:uid="{00000000-0005-0000-0000-000079980000}"/>
    <cellStyle name="常规 3 4 3 7" xfId="39034" xr:uid="{00000000-0005-0000-0000-00007A980000}"/>
    <cellStyle name="常规 3 4 3 7 2" xfId="39035" xr:uid="{00000000-0005-0000-0000-00007B980000}"/>
    <cellStyle name="常规 3 4 3 7 3" xfId="39036" xr:uid="{00000000-0005-0000-0000-00007C980000}"/>
    <cellStyle name="常规 3 4 3 8" xfId="39037" xr:uid="{00000000-0005-0000-0000-00007D980000}"/>
    <cellStyle name="常规 3 4 3 8 2" xfId="39038" xr:uid="{00000000-0005-0000-0000-00007E980000}"/>
    <cellStyle name="常规 3 4 4" xfId="39039" xr:uid="{00000000-0005-0000-0000-00007F980000}"/>
    <cellStyle name="常规 3 4 4 2" xfId="39040" xr:uid="{00000000-0005-0000-0000-000080980000}"/>
    <cellStyle name="常规 3 4 4 2 2" xfId="39041" xr:uid="{00000000-0005-0000-0000-000081980000}"/>
    <cellStyle name="常规 3 4 4 2 2 2" xfId="39042" xr:uid="{00000000-0005-0000-0000-000082980000}"/>
    <cellStyle name="常规 3 4 4 2 2 2 2" xfId="39043" xr:uid="{00000000-0005-0000-0000-000083980000}"/>
    <cellStyle name="常规 3 4 4 2 3" xfId="39044" xr:uid="{00000000-0005-0000-0000-000084980000}"/>
    <cellStyle name="常规 3 4 4 2 3 2" xfId="39045" xr:uid="{00000000-0005-0000-0000-000085980000}"/>
    <cellStyle name="常规 3 4 4 2 3 2 2" xfId="39046" xr:uid="{00000000-0005-0000-0000-000086980000}"/>
    <cellStyle name="常规 3 4 4 2 4" xfId="39047" xr:uid="{00000000-0005-0000-0000-000087980000}"/>
    <cellStyle name="常规 3 4 4 2 4 2" xfId="39048" xr:uid="{00000000-0005-0000-0000-000088980000}"/>
    <cellStyle name="常规 3 4 4 2 4 2 2" xfId="39049" xr:uid="{00000000-0005-0000-0000-000089980000}"/>
    <cellStyle name="常规 3 4 4 2 5" xfId="39050" xr:uid="{00000000-0005-0000-0000-00008A980000}"/>
    <cellStyle name="常规 3 4 4 2 5 2" xfId="39051" xr:uid="{00000000-0005-0000-0000-00008B980000}"/>
    <cellStyle name="常规 3 4 4 2 5 3" xfId="39052" xr:uid="{00000000-0005-0000-0000-00008C980000}"/>
    <cellStyle name="常规 3 4 4 2 6" xfId="39053" xr:uid="{00000000-0005-0000-0000-00008D980000}"/>
    <cellStyle name="常规 3 4 4 3" xfId="39054" xr:uid="{00000000-0005-0000-0000-00008E980000}"/>
    <cellStyle name="常规 3 4 4 3 2" xfId="39055" xr:uid="{00000000-0005-0000-0000-00008F980000}"/>
    <cellStyle name="常规 3 4 4 3 2 2" xfId="39056" xr:uid="{00000000-0005-0000-0000-000090980000}"/>
    <cellStyle name="常规 3 4 4 4" xfId="39057" xr:uid="{00000000-0005-0000-0000-000091980000}"/>
    <cellStyle name="常规 3 4 4 4 2" xfId="39058" xr:uid="{00000000-0005-0000-0000-000092980000}"/>
    <cellStyle name="常规 3 4 4 4 2 2" xfId="39059" xr:uid="{00000000-0005-0000-0000-000093980000}"/>
    <cellStyle name="常规 3 4 4 5" xfId="39060" xr:uid="{00000000-0005-0000-0000-000094980000}"/>
    <cellStyle name="常规 3 4 4 5 2" xfId="39061" xr:uid="{00000000-0005-0000-0000-000095980000}"/>
    <cellStyle name="常规 3 4 4 5 2 2" xfId="39062" xr:uid="{00000000-0005-0000-0000-000096980000}"/>
    <cellStyle name="常规 3 4 4 6" xfId="39063" xr:uid="{00000000-0005-0000-0000-000097980000}"/>
    <cellStyle name="常规 3 4 4 7" xfId="39064" xr:uid="{00000000-0005-0000-0000-000098980000}"/>
    <cellStyle name="常规 3 4 4 7 2" xfId="39065" xr:uid="{00000000-0005-0000-0000-000099980000}"/>
    <cellStyle name="常规 3 4 4 7 3" xfId="39066" xr:uid="{00000000-0005-0000-0000-00009A980000}"/>
    <cellStyle name="常规 3 4 4 8" xfId="39067" xr:uid="{00000000-0005-0000-0000-00009B980000}"/>
    <cellStyle name="常规 3 4 4 8 2" xfId="39068" xr:uid="{00000000-0005-0000-0000-00009C980000}"/>
    <cellStyle name="常规 3 4 5" xfId="39069" xr:uid="{00000000-0005-0000-0000-00009D980000}"/>
    <cellStyle name="常规 3 4 5 2" xfId="39070" xr:uid="{00000000-0005-0000-0000-00009E980000}"/>
    <cellStyle name="常规 3 4 5 2 2" xfId="39071" xr:uid="{00000000-0005-0000-0000-00009F980000}"/>
    <cellStyle name="常规 3 4 5 2 2 2" xfId="39072" xr:uid="{00000000-0005-0000-0000-0000A0980000}"/>
    <cellStyle name="常规 3 4 5 2 2 2 2" xfId="39073" xr:uid="{00000000-0005-0000-0000-0000A1980000}"/>
    <cellStyle name="常规 3 4 5 2 3" xfId="39074" xr:uid="{00000000-0005-0000-0000-0000A2980000}"/>
    <cellStyle name="常规 3 4 5 2 3 2" xfId="39075" xr:uid="{00000000-0005-0000-0000-0000A3980000}"/>
    <cellStyle name="常规 3 4 5 2 3 2 2" xfId="39076" xr:uid="{00000000-0005-0000-0000-0000A4980000}"/>
    <cellStyle name="常规 3 4 5 2 4" xfId="39077" xr:uid="{00000000-0005-0000-0000-0000A5980000}"/>
    <cellStyle name="常规 3 4 5 2 4 2" xfId="39078" xr:uid="{00000000-0005-0000-0000-0000A6980000}"/>
    <cellStyle name="常规 3 4 5 2 5" xfId="39079" xr:uid="{00000000-0005-0000-0000-0000A7980000}"/>
    <cellStyle name="常规 3 4 5 3" xfId="39080" xr:uid="{00000000-0005-0000-0000-0000A8980000}"/>
    <cellStyle name="常规 3 4 5 3 2" xfId="39081" xr:uid="{00000000-0005-0000-0000-0000A9980000}"/>
    <cellStyle name="常规 3 4 5 3 2 2" xfId="39082" xr:uid="{00000000-0005-0000-0000-0000AA980000}"/>
    <cellStyle name="常规 3 4 5 4" xfId="39083" xr:uid="{00000000-0005-0000-0000-0000AB980000}"/>
    <cellStyle name="常规 3 4 5 4 2" xfId="39084" xr:uid="{00000000-0005-0000-0000-0000AC980000}"/>
    <cellStyle name="常规 3 4 5 4 2 2" xfId="39085" xr:uid="{00000000-0005-0000-0000-0000AD980000}"/>
    <cellStyle name="常规 3 4 5 5" xfId="39086" xr:uid="{00000000-0005-0000-0000-0000AE980000}"/>
    <cellStyle name="常规 3 4 5 5 2" xfId="39087" xr:uid="{00000000-0005-0000-0000-0000AF980000}"/>
    <cellStyle name="常规 3 4 5 5 3" xfId="39088" xr:uid="{00000000-0005-0000-0000-0000B0980000}"/>
    <cellStyle name="常规 3 4 5 6" xfId="39089" xr:uid="{00000000-0005-0000-0000-0000B1980000}"/>
    <cellStyle name="常规 3 4 6" xfId="39090" xr:uid="{00000000-0005-0000-0000-0000B2980000}"/>
    <cellStyle name="常规 3 4 6 2" xfId="39091" xr:uid="{00000000-0005-0000-0000-0000B3980000}"/>
    <cellStyle name="常规 3 4 6 2 2" xfId="39092" xr:uid="{00000000-0005-0000-0000-0000B4980000}"/>
    <cellStyle name="常规 3 4 6 2 2 2" xfId="39093" xr:uid="{00000000-0005-0000-0000-0000B5980000}"/>
    <cellStyle name="常规 3 4 6 3" xfId="39094" xr:uid="{00000000-0005-0000-0000-0000B6980000}"/>
    <cellStyle name="常规 3 4 6 3 2" xfId="39095" xr:uid="{00000000-0005-0000-0000-0000B7980000}"/>
    <cellStyle name="常规 3 4 6 3 2 2" xfId="39096" xr:uid="{00000000-0005-0000-0000-0000B8980000}"/>
    <cellStyle name="常规 3 4 6 4" xfId="39097" xr:uid="{00000000-0005-0000-0000-0000B9980000}"/>
    <cellStyle name="常规 3 4 6 4 2" xfId="39098" xr:uid="{00000000-0005-0000-0000-0000BA980000}"/>
    <cellStyle name="常规 3 4 6 5" xfId="39099" xr:uid="{00000000-0005-0000-0000-0000BB980000}"/>
    <cellStyle name="常规 3 4 7" xfId="39100" xr:uid="{00000000-0005-0000-0000-0000BC980000}"/>
    <cellStyle name="常规 3 4 7 2" xfId="39101" xr:uid="{00000000-0005-0000-0000-0000BD980000}"/>
    <cellStyle name="常规 3 4 7 2 2" xfId="39102" xr:uid="{00000000-0005-0000-0000-0000BE980000}"/>
    <cellStyle name="常规 3 4 8" xfId="39103" xr:uid="{00000000-0005-0000-0000-0000BF980000}"/>
    <cellStyle name="常规 3 4 8 2" xfId="39104" xr:uid="{00000000-0005-0000-0000-0000C0980000}"/>
    <cellStyle name="常规 3 4 8 2 2" xfId="39105" xr:uid="{00000000-0005-0000-0000-0000C1980000}"/>
    <cellStyle name="常规 3 4 9" xfId="39106" xr:uid="{00000000-0005-0000-0000-0000C2980000}"/>
    <cellStyle name="常规 3 5" xfId="39107" xr:uid="{00000000-0005-0000-0000-0000C3980000}"/>
    <cellStyle name="常规 3 5 10" xfId="39108" xr:uid="{00000000-0005-0000-0000-0000C4980000}"/>
    <cellStyle name="常规 3 5 10 2" xfId="39109" xr:uid="{00000000-0005-0000-0000-0000C5980000}"/>
    <cellStyle name="常规 3 5 2" xfId="39110" xr:uid="{00000000-0005-0000-0000-0000C6980000}"/>
    <cellStyle name="常规 3 5 2 10" xfId="39111" xr:uid="{00000000-0005-0000-0000-0000C7980000}"/>
    <cellStyle name="常规 3 5 2 10 2" xfId="39112" xr:uid="{00000000-0005-0000-0000-0000C8980000}"/>
    <cellStyle name="常规 3 5 2 2" xfId="39113" xr:uid="{00000000-0005-0000-0000-0000C9980000}"/>
    <cellStyle name="常规 3 5 2 2 2" xfId="39114" xr:uid="{00000000-0005-0000-0000-0000CA980000}"/>
    <cellStyle name="常规 3 5 2 2 2 2" xfId="39115" xr:uid="{00000000-0005-0000-0000-0000CB980000}"/>
    <cellStyle name="常规 3 5 2 2 2 2 2" xfId="39116" xr:uid="{00000000-0005-0000-0000-0000CC980000}"/>
    <cellStyle name="常规 3 5 2 2 2 2 2 2" xfId="39117" xr:uid="{00000000-0005-0000-0000-0000CD980000}"/>
    <cellStyle name="常规 3 5 2 2 2 2 2 2 2" xfId="39118" xr:uid="{00000000-0005-0000-0000-0000CE980000}"/>
    <cellStyle name="常规 3 5 2 2 2 2 3" xfId="39119" xr:uid="{00000000-0005-0000-0000-0000CF980000}"/>
    <cellStyle name="常规 3 5 2 2 2 2 3 2" xfId="39120" xr:uid="{00000000-0005-0000-0000-0000D0980000}"/>
    <cellStyle name="常规 3 5 2 2 2 2 3 2 2" xfId="39121" xr:uid="{00000000-0005-0000-0000-0000D1980000}"/>
    <cellStyle name="常规 3 5 2 2 2 2 4" xfId="39122" xr:uid="{00000000-0005-0000-0000-0000D2980000}"/>
    <cellStyle name="常规 3 5 2 2 2 2 4 2" xfId="39123" xr:uid="{00000000-0005-0000-0000-0000D3980000}"/>
    <cellStyle name="常规 3 5 2 2 2 2 4 2 2" xfId="39124" xr:uid="{00000000-0005-0000-0000-0000D4980000}"/>
    <cellStyle name="常规 3 5 2 2 2 2 5" xfId="39125" xr:uid="{00000000-0005-0000-0000-0000D5980000}"/>
    <cellStyle name="常规 3 5 2 2 2 2 5 2" xfId="39126" xr:uid="{00000000-0005-0000-0000-0000D6980000}"/>
    <cellStyle name="常规 3 5 2 2 2 2 5 3" xfId="39127" xr:uid="{00000000-0005-0000-0000-0000D7980000}"/>
    <cellStyle name="常规 3 5 2 2 2 2 6" xfId="39128" xr:uid="{00000000-0005-0000-0000-0000D8980000}"/>
    <cellStyle name="常规 3 5 2 2 2 3" xfId="39129" xr:uid="{00000000-0005-0000-0000-0000D9980000}"/>
    <cellStyle name="常规 3 5 2 2 2 3 2" xfId="39130" xr:uid="{00000000-0005-0000-0000-0000DA980000}"/>
    <cellStyle name="常规 3 5 2 2 2 3 2 2" xfId="39131" xr:uid="{00000000-0005-0000-0000-0000DB980000}"/>
    <cellStyle name="常规 3 5 2 2 2 3 2 2 2" xfId="39132" xr:uid="{00000000-0005-0000-0000-0000DC980000}"/>
    <cellStyle name="常规 3 5 2 2 2 3 3" xfId="39133" xr:uid="{00000000-0005-0000-0000-0000DD980000}"/>
    <cellStyle name="常规 3 5 2 2 2 3 3 2" xfId="39134" xr:uid="{00000000-0005-0000-0000-0000DE980000}"/>
    <cellStyle name="常规 3 5 2 2 2 3 3 2 2" xfId="39135" xr:uid="{00000000-0005-0000-0000-0000DF980000}"/>
    <cellStyle name="常规 3 5 2 2 2 3 4" xfId="39136" xr:uid="{00000000-0005-0000-0000-0000E0980000}"/>
    <cellStyle name="常规 3 5 2 2 2 3 4 2" xfId="39137" xr:uid="{00000000-0005-0000-0000-0000E1980000}"/>
    <cellStyle name="常规 3 5 2 2 2 3 5" xfId="39138" xr:uid="{00000000-0005-0000-0000-0000E2980000}"/>
    <cellStyle name="常规 3 5 2 2 2 4" xfId="39139" xr:uid="{00000000-0005-0000-0000-0000E3980000}"/>
    <cellStyle name="常规 3 5 2 2 2 4 2" xfId="39140" xr:uid="{00000000-0005-0000-0000-0000E4980000}"/>
    <cellStyle name="常规 3 5 2 2 2 4 2 2" xfId="39141" xr:uid="{00000000-0005-0000-0000-0000E5980000}"/>
    <cellStyle name="常规 3 5 2 2 2 5" xfId="39142" xr:uid="{00000000-0005-0000-0000-0000E6980000}"/>
    <cellStyle name="常规 3 5 2 2 2 5 2" xfId="39143" xr:uid="{00000000-0005-0000-0000-0000E7980000}"/>
    <cellStyle name="常规 3 5 2 2 2 5 2 2" xfId="39144" xr:uid="{00000000-0005-0000-0000-0000E8980000}"/>
    <cellStyle name="常规 3 5 2 2 2 6" xfId="39145" xr:uid="{00000000-0005-0000-0000-0000E9980000}"/>
    <cellStyle name="常规 3 5 2 2 2 7" xfId="39146" xr:uid="{00000000-0005-0000-0000-0000EA980000}"/>
    <cellStyle name="常规 3 5 2 2 2 7 2" xfId="39147" xr:uid="{00000000-0005-0000-0000-0000EB980000}"/>
    <cellStyle name="常规 3 5 2 2 2 7 3" xfId="39148" xr:uid="{00000000-0005-0000-0000-0000EC980000}"/>
    <cellStyle name="常规 3 5 2 2 2 8" xfId="39149" xr:uid="{00000000-0005-0000-0000-0000ED980000}"/>
    <cellStyle name="常规 3 5 2 2 2 8 2" xfId="39150" xr:uid="{00000000-0005-0000-0000-0000EE980000}"/>
    <cellStyle name="常规 3 5 2 2 3" xfId="39151" xr:uid="{00000000-0005-0000-0000-0000EF980000}"/>
    <cellStyle name="常规 3 5 2 2 3 2" xfId="39152" xr:uid="{00000000-0005-0000-0000-0000F0980000}"/>
    <cellStyle name="常规 3 5 2 2 3 2 2" xfId="39153" xr:uid="{00000000-0005-0000-0000-0000F1980000}"/>
    <cellStyle name="常规 3 5 2 2 3 2 3" xfId="39154" xr:uid="{00000000-0005-0000-0000-0000F2980000}"/>
    <cellStyle name="常规 3 5 2 2 3 2 4" xfId="39155" xr:uid="{00000000-0005-0000-0000-0000F3980000}"/>
    <cellStyle name="常规 3 5 2 2 3 2 5" xfId="39156" xr:uid="{00000000-0005-0000-0000-0000F4980000}"/>
    <cellStyle name="常规 3 5 2 2 3 2 5 2" xfId="39157" xr:uid="{00000000-0005-0000-0000-0000F5980000}"/>
    <cellStyle name="常规 3 5 2 2 3 3" xfId="39158" xr:uid="{00000000-0005-0000-0000-0000F6980000}"/>
    <cellStyle name="常规 3 5 2 2 3 3 2" xfId="39159" xr:uid="{00000000-0005-0000-0000-0000F7980000}"/>
    <cellStyle name="常规 3 5 2 2 3 3 2 2" xfId="39160" xr:uid="{00000000-0005-0000-0000-0000F8980000}"/>
    <cellStyle name="常规 3 5 2 2 3 4" xfId="39161" xr:uid="{00000000-0005-0000-0000-0000F9980000}"/>
    <cellStyle name="常规 3 5 2 2 3 4 2" xfId="39162" xr:uid="{00000000-0005-0000-0000-0000FA980000}"/>
    <cellStyle name="常规 3 5 2 2 3 4 2 2" xfId="39163" xr:uid="{00000000-0005-0000-0000-0000FB980000}"/>
    <cellStyle name="常规 3 5 2 2 3 5" xfId="39164" xr:uid="{00000000-0005-0000-0000-0000FC980000}"/>
    <cellStyle name="常规 3 5 2 2 3 5 2" xfId="39165" xr:uid="{00000000-0005-0000-0000-0000FD980000}"/>
    <cellStyle name="常规 3 5 2 2 3 5 3" xfId="39166" xr:uid="{00000000-0005-0000-0000-0000FE980000}"/>
    <cellStyle name="常规 3 5 2 2 3 6" xfId="39167" xr:uid="{00000000-0005-0000-0000-0000FF980000}"/>
    <cellStyle name="常规 3 5 2 2 3 6 2" xfId="39168" xr:uid="{00000000-0005-0000-0000-000000990000}"/>
    <cellStyle name="常规 3 5 2 2 3 7" xfId="39169" xr:uid="{00000000-0005-0000-0000-000001990000}"/>
    <cellStyle name="常规 3 5 2 2 4" xfId="39170" xr:uid="{00000000-0005-0000-0000-000002990000}"/>
    <cellStyle name="常规 3 5 2 2 4 2" xfId="39171" xr:uid="{00000000-0005-0000-0000-000003990000}"/>
    <cellStyle name="常规 3 5 2 2 4 3" xfId="39172" xr:uid="{00000000-0005-0000-0000-000004990000}"/>
    <cellStyle name="常规 3 5 2 2 4 4" xfId="39173" xr:uid="{00000000-0005-0000-0000-000005990000}"/>
    <cellStyle name="常规 3 5 2 2 4 5" xfId="39174" xr:uid="{00000000-0005-0000-0000-000006990000}"/>
    <cellStyle name="常规 3 5 2 2 4 5 2" xfId="39175" xr:uid="{00000000-0005-0000-0000-000007990000}"/>
    <cellStyle name="常规 3 5 2 2 5" xfId="39176" xr:uid="{00000000-0005-0000-0000-000008990000}"/>
    <cellStyle name="常规 3 5 2 2 5 2" xfId="39177" xr:uid="{00000000-0005-0000-0000-000009990000}"/>
    <cellStyle name="常规 3 5 2 2 5 2 2" xfId="39178" xr:uid="{00000000-0005-0000-0000-00000A990000}"/>
    <cellStyle name="常规 3 5 2 2 6" xfId="39179" xr:uid="{00000000-0005-0000-0000-00000B990000}"/>
    <cellStyle name="常规 3 5 2 2 6 2" xfId="39180" xr:uid="{00000000-0005-0000-0000-00000C990000}"/>
    <cellStyle name="常规 3 5 2 2 6 2 2" xfId="39181" xr:uid="{00000000-0005-0000-0000-00000D990000}"/>
    <cellStyle name="常规 3 5 2 2 7" xfId="39182" xr:uid="{00000000-0005-0000-0000-00000E990000}"/>
    <cellStyle name="常规 3 5 2 2 7 2" xfId="39183" xr:uid="{00000000-0005-0000-0000-00000F990000}"/>
    <cellStyle name="常规 3 5 2 2 7 2 2" xfId="39184" xr:uid="{00000000-0005-0000-0000-000010990000}"/>
    <cellStyle name="常规 3 5 2 2 8" xfId="39185" xr:uid="{00000000-0005-0000-0000-000011990000}"/>
    <cellStyle name="常规 3 5 2 2 8 2" xfId="39186" xr:uid="{00000000-0005-0000-0000-000012990000}"/>
    <cellStyle name="常规 3 5 2 2 8 3" xfId="39187" xr:uid="{00000000-0005-0000-0000-000013990000}"/>
    <cellStyle name="常规 3 5 2 2 9" xfId="39188" xr:uid="{00000000-0005-0000-0000-000014990000}"/>
    <cellStyle name="常规 3 5 2 2 9 2" xfId="39189" xr:uid="{00000000-0005-0000-0000-000015990000}"/>
    <cellStyle name="常规 3 5 2 3" xfId="39190" xr:uid="{00000000-0005-0000-0000-000016990000}"/>
    <cellStyle name="常规 3 5 2 3 2" xfId="39191" xr:uid="{00000000-0005-0000-0000-000017990000}"/>
    <cellStyle name="常规 3 5 2 3 2 2" xfId="39192" xr:uid="{00000000-0005-0000-0000-000018990000}"/>
    <cellStyle name="常规 3 5 2 3 2 2 2" xfId="39193" xr:uid="{00000000-0005-0000-0000-000019990000}"/>
    <cellStyle name="常规 3 5 2 3 2 2 2 2" xfId="39194" xr:uid="{00000000-0005-0000-0000-00001A990000}"/>
    <cellStyle name="常规 3 5 2 3 2 3" xfId="39195" xr:uid="{00000000-0005-0000-0000-00001B990000}"/>
    <cellStyle name="常规 3 5 2 3 2 3 2" xfId="39196" xr:uid="{00000000-0005-0000-0000-00001C990000}"/>
    <cellStyle name="常规 3 5 2 3 2 3 2 2" xfId="39197" xr:uid="{00000000-0005-0000-0000-00001D990000}"/>
    <cellStyle name="常规 3 5 2 3 2 4" xfId="39198" xr:uid="{00000000-0005-0000-0000-00001E990000}"/>
    <cellStyle name="常规 3 5 2 3 2 4 2" xfId="39199" xr:uid="{00000000-0005-0000-0000-00001F990000}"/>
    <cellStyle name="常规 3 5 2 3 2 4 2 2" xfId="39200" xr:uid="{00000000-0005-0000-0000-000020990000}"/>
    <cellStyle name="常规 3 5 2 3 2 5" xfId="39201" xr:uid="{00000000-0005-0000-0000-000021990000}"/>
    <cellStyle name="常规 3 5 2 3 2 5 2" xfId="39202" xr:uid="{00000000-0005-0000-0000-000022990000}"/>
    <cellStyle name="常规 3 5 2 3 2 5 3" xfId="39203" xr:uid="{00000000-0005-0000-0000-000023990000}"/>
    <cellStyle name="常规 3 5 2 3 2 6" xfId="39204" xr:uid="{00000000-0005-0000-0000-000024990000}"/>
    <cellStyle name="常规 3 5 2 3 3" xfId="39205" xr:uid="{00000000-0005-0000-0000-000025990000}"/>
    <cellStyle name="常规 3 5 2 3 3 2" xfId="39206" xr:uid="{00000000-0005-0000-0000-000026990000}"/>
    <cellStyle name="常规 3 5 2 3 3 2 2" xfId="39207" xr:uid="{00000000-0005-0000-0000-000027990000}"/>
    <cellStyle name="常规 3 5 2 3 3 2 2 2" xfId="39208" xr:uid="{00000000-0005-0000-0000-000028990000}"/>
    <cellStyle name="常规 3 5 2 3 3 3" xfId="39209" xr:uid="{00000000-0005-0000-0000-000029990000}"/>
    <cellStyle name="常规 3 5 2 3 3 3 2" xfId="39210" xr:uid="{00000000-0005-0000-0000-00002A990000}"/>
    <cellStyle name="常规 3 5 2 3 3 3 2 2" xfId="39211" xr:uid="{00000000-0005-0000-0000-00002B990000}"/>
    <cellStyle name="常规 3 5 2 3 3 4" xfId="39212" xr:uid="{00000000-0005-0000-0000-00002C990000}"/>
    <cellStyle name="常规 3 5 2 3 3 4 2" xfId="39213" xr:uid="{00000000-0005-0000-0000-00002D990000}"/>
    <cellStyle name="常规 3 5 2 3 3 5" xfId="39214" xr:uid="{00000000-0005-0000-0000-00002E990000}"/>
    <cellStyle name="常规 3 5 2 3 4" xfId="39215" xr:uid="{00000000-0005-0000-0000-00002F990000}"/>
    <cellStyle name="常规 3 5 2 3 4 2" xfId="39216" xr:uid="{00000000-0005-0000-0000-000030990000}"/>
    <cellStyle name="常规 3 5 2 3 4 2 2" xfId="39217" xr:uid="{00000000-0005-0000-0000-000031990000}"/>
    <cellStyle name="常规 3 5 2 3 5" xfId="39218" xr:uid="{00000000-0005-0000-0000-000032990000}"/>
    <cellStyle name="常规 3 5 2 3 5 2" xfId="39219" xr:uid="{00000000-0005-0000-0000-000033990000}"/>
    <cellStyle name="常规 3 5 2 3 5 2 2" xfId="39220" xr:uid="{00000000-0005-0000-0000-000034990000}"/>
    <cellStyle name="常规 3 5 2 3 6" xfId="39221" xr:uid="{00000000-0005-0000-0000-000035990000}"/>
    <cellStyle name="常规 3 5 2 3 7" xfId="39222" xr:uid="{00000000-0005-0000-0000-000036990000}"/>
    <cellStyle name="常规 3 5 2 3 7 2" xfId="39223" xr:uid="{00000000-0005-0000-0000-000037990000}"/>
    <cellStyle name="常规 3 5 2 3 7 3" xfId="39224" xr:uid="{00000000-0005-0000-0000-000038990000}"/>
    <cellStyle name="常规 3 5 2 3 8" xfId="39225" xr:uid="{00000000-0005-0000-0000-000039990000}"/>
    <cellStyle name="常规 3 5 2 3 8 2" xfId="39226" xr:uid="{00000000-0005-0000-0000-00003A990000}"/>
    <cellStyle name="常规 3 5 2 4" xfId="39227" xr:uid="{00000000-0005-0000-0000-00003B990000}"/>
    <cellStyle name="常规 3 5 2 4 2" xfId="39228" xr:uid="{00000000-0005-0000-0000-00003C990000}"/>
    <cellStyle name="常规 3 5 2 4 2 2" xfId="39229" xr:uid="{00000000-0005-0000-0000-00003D990000}"/>
    <cellStyle name="常规 3 5 2 4 2 3" xfId="39230" xr:uid="{00000000-0005-0000-0000-00003E990000}"/>
    <cellStyle name="常规 3 5 2 4 2 4" xfId="39231" xr:uid="{00000000-0005-0000-0000-00003F990000}"/>
    <cellStyle name="常规 3 5 2 4 2 5" xfId="39232" xr:uid="{00000000-0005-0000-0000-000040990000}"/>
    <cellStyle name="常规 3 5 2 4 2 5 2" xfId="39233" xr:uid="{00000000-0005-0000-0000-000041990000}"/>
    <cellStyle name="常规 3 5 2 4 3" xfId="39234" xr:uid="{00000000-0005-0000-0000-000042990000}"/>
    <cellStyle name="常规 3 5 2 4 3 2" xfId="39235" xr:uid="{00000000-0005-0000-0000-000043990000}"/>
    <cellStyle name="常规 3 5 2 4 3 2 2" xfId="39236" xr:uid="{00000000-0005-0000-0000-000044990000}"/>
    <cellStyle name="常规 3 5 2 4 4" xfId="39237" xr:uid="{00000000-0005-0000-0000-000045990000}"/>
    <cellStyle name="常规 3 5 2 4 4 2" xfId="39238" xr:uid="{00000000-0005-0000-0000-000046990000}"/>
    <cellStyle name="常规 3 5 2 4 4 2 2" xfId="39239" xr:uid="{00000000-0005-0000-0000-000047990000}"/>
    <cellStyle name="常规 3 5 2 4 5" xfId="39240" xr:uid="{00000000-0005-0000-0000-000048990000}"/>
    <cellStyle name="常规 3 5 2 4 5 2" xfId="39241" xr:uid="{00000000-0005-0000-0000-000049990000}"/>
    <cellStyle name="常规 3 5 2 4 5 3" xfId="39242" xr:uid="{00000000-0005-0000-0000-00004A990000}"/>
    <cellStyle name="常规 3 5 2 4 6" xfId="39243" xr:uid="{00000000-0005-0000-0000-00004B990000}"/>
    <cellStyle name="常规 3 5 2 4 6 2" xfId="39244" xr:uid="{00000000-0005-0000-0000-00004C990000}"/>
    <cellStyle name="常规 3 5 2 4 7" xfId="39245" xr:uid="{00000000-0005-0000-0000-00004D990000}"/>
    <cellStyle name="常规 3 5 2 5" xfId="39246" xr:uid="{00000000-0005-0000-0000-00004E990000}"/>
    <cellStyle name="常规 3 5 2 5 2" xfId="39247" xr:uid="{00000000-0005-0000-0000-00004F990000}"/>
    <cellStyle name="常规 3 5 2 5 3" xfId="39248" xr:uid="{00000000-0005-0000-0000-000050990000}"/>
    <cellStyle name="常规 3 5 2 5 4" xfId="39249" xr:uid="{00000000-0005-0000-0000-000051990000}"/>
    <cellStyle name="常规 3 5 2 5 5" xfId="39250" xr:uid="{00000000-0005-0000-0000-000052990000}"/>
    <cellStyle name="常规 3 5 2 5 5 2" xfId="39251" xr:uid="{00000000-0005-0000-0000-000053990000}"/>
    <cellStyle name="常规 3 5 2 6" xfId="39252" xr:uid="{00000000-0005-0000-0000-000054990000}"/>
    <cellStyle name="常规 3 5 2 6 2" xfId="39253" xr:uid="{00000000-0005-0000-0000-000055990000}"/>
    <cellStyle name="常规 3 5 2 6 2 2" xfId="39254" xr:uid="{00000000-0005-0000-0000-000056990000}"/>
    <cellStyle name="常规 3 5 2 7" xfId="39255" xr:uid="{00000000-0005-0000-0000-000057990000}"/>
    <cellStyle name="常规 3 5 2 7 2" xfId="39256" xr:uid="{00000000-0005-0000-0000-000058990000}"/>
    <cellStyle name="常规 3 5 2 7 2 2" xfId="39257" xr:uid="{00000000-0005-0000-0000-000059990000}"/>
    <cellStyle name="常规 3 5 2 8" xfId="39258" xr:uid="{00000000-0005-0000-0000-00005A990000}"/>
    <cellStyle name="常规 3 5 2 8 2" xfId="39259" xr:uid="{00000000-0005-0000-0000-00005B990000}"/>
    <cellStyle name="常规 3 5 2 8 2 2" xfId="39260" xr:uid="{00000000-0005-0000-0000-00005C990000}"/>
    <cellStyle name="常规 3 5 2 9" xfId="39261" xr:uid="{00000000-0005-0000-0000-00005D990000}"/>
    <cellStyle name="常规 3 5 2 9 2" xfId="39262" xr:uid="{00000000-0005-0000-0000-00005E990000}"/>
    <cellStyle name="常规 3 5 2 9 3" xfId="39263" xr:uid="{00000000-0005-0000-0000-00005F990000}"/>
    <cellStyle name="常规 3 5 3" xfId="39264" xr:uid="{00000000-0005-0000-0000-000060990000}"/>
    <cellStyle name="常规 3 5 3 2" xfId="39265" xr:uid="{00000000-0005-0000-0000-000061990000}"/>
    <cellStyle name="常规 3 5 3 2 2" xfId="39266" xr:uid="{00000000-0005-0000-0000-000062990000}"/>
    <cellStyle name="常规 3 5 3 2 2 2" xfId="39267" xr:uid="{00000000-0005-0000-0000-000063990000}"/>
    <cellStyle name="常规 3 5 3 2 2 2 2" xfId="39268" xr:uid="{00000000-0005-0000-0000-000064990000}"/>
    <cellStyle name="常规 3 5 3 2 3" xfId="39269" xr:uid="{00000000-0005-0000-0000-000065990000}"/>
    <cellStyle name="常规 3 5 3 2 3 2" xfId="39270" xr:uid="{00000000-0005-0000-0000-000066990000}"/>
    <cellStyle name="常规 3 5 3 2 3 2 2" xfId="39271" xr:uid="{00000000-0005-0000-0000-000067990000}"/>
    <cellStyle name="常规 3 5 3 2 4" xfId="39272" xr:uid="{00000000-0005-0000-0000-000068990000}"/>
    <cellStyle name="常规 3 5 3 2 4 2" xfId="39273" xr:uid="{00000000-0005-0000-0000-000069990000}"/>
    <cellStyle name="常规 3 5 3 2 4 2 2" xfId="39274" xr:uid="{00000000-0005-0000-0000-00006A990000}"/>
    <cellStyle name="常规 3 5 3 2 5" xfId="39275" xr:uid="{00000000-0005-0000-0000-00006B990000}"/>
    <cellStyle name="常规 3 5 3 2 5 2" xfId="39276" xr:uid="{00000000-0005-0000-0000-00006C990000}"/>
    <cellStyle name="常规 3 5 3 2 5 3" xfId="39277" xr:uid="{00000000-0005-0000-0000-00006D990000}"/>
    <cellStyle name="常规 3 5 3 2 6" xfId="39278" xr:uid="{00000000-0005-0000-0000-00006E990000}"/>
    <cellStyle name="常规 3 5 3 3" xfId="39279" xr:uid="{00000000-0005-0000-0000-00006F990000}"/>
    <cellStyle name="常规 3 5 3 3 2" xfId="39280" xr:uid="{00000000-0005-0000-0000-000070990000}"/>
    <cellStyle name="常规 3 5 3 3 2 2" xfId="39281" xr:uid="{00000000-0005-0000-0000-000071990000}"/>
    <cellStyle name="常规 3 5 3 3 2 2 2" xfId="39282" xr:uid="{00000000-0005-0000-0000-000072990000}"/>
    <cellStyle name="常规 3 5 3 3 3" xfId="39283" xr:uid="{00000000-0005-0000-0000-000073990000}"/>
    <cellStyle name="常规 3 5 3 3 3 2" xfId="39284" xr:uid="{00000000-0005-0000-0000-000074990000}"/>
    <cellStyle name="常规 3 5 3 3 3 2 2" xfId="39285" xr:uid="{00000000-0005-0000-0000-000075990000}"/>
    <cellStyle name="常规 3 5 3 3 4" xfId="39286" xr:uid="{00000000-0005-0000-0000-000076990000}"/>
    <cellStyle name="常规 3 5 3 3 4 2" xfId="39287" xr:uid="{00000000-0005-0000-0000-000077990000}"/>
    <cellStyle name="常规 3 5 3 3 5" xfId="39288" xr:uid="{00000000-0005-0000-0000-000078990000}"/>
    <cellStyle name="常规 3 5 3 4" xfId="39289" xr:uid="{00000000-0005-0000-0000-000079990000}"/>
    <cellStyle name="常规 3 5 3 4 2" xfId="39290" xr:uid="{00000000-0005-0000-0000-00007A990000}"/>
    <cellStyle name="常规 3 5 3 4 2 2" xfId="39291" xr:uid="{00000000-0005-0000-0000-00007B990000}"/>
    <cellStyle name="常规 3 5 3 5" xfId="39292" xr:uid="{00000000-0005-0000-0000-00007C990000}"/>
    <cellStyle name="常规 3 5 3 5 2" xfId="39293" xr:uid="{00000000-0005-0000-0000-00007D990000}"/>
    <cellStyle name="常规 3 5 3 5 2 2" xfId="39294" xr:uid="{00000000-0005-0000-0000-00007E990000}"/>
    <cellStyle name="常规 3 5 3 6" xfId="39295" xr:uid="{00000000-0005-0000-0000-00007F990000}"/>
    <cellStyle name="常规 3 5 3 7" xfId="39296" xr:uid="{00000000-0005-0000-0000-000080990000}"/>
    <cellStyle name="常规 3 5 3 7 2" xfId="39297" xr:uid="{00000000-0005-0000-0000-000081990000}"/>
    <cellStyle name="常规 3 5 3 7 3" xfId="39298" xr:uid="{00000000-0005-0000-0000-000082990000}"/>
    <cellStyle name="常规 3 5 3 8" xfId="39299" xr:uid="{00000000-0005-0000-0000-000083990000}"/>
    <cellStyle name="常规 3 5 3 8 2" xfId="39300" xr:uid="{00000000-0005-0000-0000-000084990000}"/>
    <cellStyle name="常规 3 5 4" xfId="39301" xr:uid="{00000000-0005-0000-0000-000085990000}"/>
    <cellStyle name="常规 3 5 4 2" xfId="39302" xr:uid="{00000000-0005-0000-0000-000086990000}"/>
    <cellStyle name="常规 3 5 4 2 2" xfId="39303" xr:uid="{00000000-0005-0000-0000-000087990000}"/>
    <cellStyle name="常规 3 5 4 2 2 2" xfId="39304" xr:uid="{00000000-0005-0000-0000-000088990000}"/>
    <cellStyle name="常规 3 5 4 2 2 2 2" xfId="39305" xr:uid="{00000000-0005-0000-0000-000089990000}"/>
    <cellStyle name="常规 3 5 4 2 3" xfId="39306" xr:uid="{00000000-0005-0000-0000-00008A990000}"/>
    <cellStyle name="常规 3 5 4 2 3 2" xfId="39307" xr:uid="{00000000-0005-0000-0000-00008B990000}"/>
    <cellStyle name="常规 3 5 4 2 3 2 2" xfId="39308" xr:uid="{00000000-0005-0000-0000-00008C990000}"/>
    <cellStyle name="常规 3 5 4 2 4" xfId="39309" xr:uid="{00000000-0005-0000-0000-00008D990000}"/>
    <cellStyle name="常规 3 5 4 2 4 2" xfId="39310" xr:uid="{00000000-0005-0000-0000-00008E990000}"/>
    <cellStyle name="常规 3 5 4 2 4 2 2" xfId="39311" xr:uid="{00000000-0005-0000-0000-00008F990000}"/>
    <cellStyle name="常规 3 5 4 2 5" xfId="39312" xr:uid="{00000000-0005-0000-0000-000090990000}"/>
    <cellStyle name="常规 3 5 4 2 5 2" xfId="39313" xr:uid="{00000000-0005-0000-0000-000091990000}"/>
    <cellStyle name="常规 3 5 4 2 5 3" xfId="39314" xr:uid="{00000000-0005-0000-0000-000092990000}"/>
    <cellStyle name="常规 3 5 4 2 6" xfId="39315" xr:uid="{00000000-0005-0000-0000-000093990000}"/>
    <cellStyle name="常规 3 5 4 3" xfId="39316" xr:uid="{00000000-0005-0000-0000-000094990000}"/>
    <cellStyle name="常规 3 5 4 3 2" xfId="39317" xr:uid="{00000000-0005-0000-0000-000095990000}"/>
    <cellStyle name="常规 3 5 4 3 2 2" xfId="39318" xr:uid="{00000000-0005-0000-0000-000096990000}"/>
    <cellStyle name="常规 3 5 4 4" xfId="39319" xr:uid="{00000000-0005-0000-0000-000097990000}"/>
    <cellStyle name="常规 3 5 4 4 2" xfId="39320" xr:uid="{00000000-0005-0000-0000-000098990000}"/>
    <cellStyle name="常规 3 5 4 4 2 2" xfId="39321" xr:uid="{00000000-0005-0000-0000-000099990000}"/>
    <cellStyle name="常规 3 5 4 5" xfId="39322" xr:uid="{00000000-0005-0000-0000-00009A990000}"/>
    <cellStyle name="常规 3 5 4 5 2" xfId="39323" xr:uid="{00000000-0005-0000-0000-00009B990000}"/>
    <cellStyle name="常规 3 5 4 5 2 2" xfId="39324" xr:uid="{00000000-0005-0000-0000-00009C990000}"/>
    <cellStyle name="常规 3 5 4 6" xfId="39325" xr:uid="{00000000-0005-0000-0000-00009D990000}"/>
    <cellStyle name="常规 3 5 4 7" xfId="39326" xr:uid="{00000000-0005-0000-0000-00009E990000}"/>
    <cellStyle name="常规 3 5 4 7 2" xfId="39327" xr:uid="{00000000-0005-0000-0000-00009F990000}"/>
    <cellStyle name="常规 3 5 4 7 3" xfId="39328" xr:uid="{00000000-0005-0000-0000-0000A0990000}"/>
    <cellStyle name="常规 3 5 4 8" xfId="39329" xr:uid="{00000000-0005-0000-0000-0000A1990000}"/>
    <cellStyle name="常规 3 5 4 8 2" xfId="39330" xr:uid="{00000000-0005-0000-0000-0000A2990000}"/>
    <cellStyle name="常规 3 5 5" xfId="39331" xr:uid="{00000000-0005-0000-0000-0000A3990000}"/>
    <cellStyle name="常规 3 5 5 2" xfId="39332" xr:uid="{00000000-0005-0000-0000-0000A4990000}"/>
    <cellStyle name="常规 3 5 5 2 2" xfId="39333" xr:uid="{00000000-0005-0000-0000-0000A5990000}"/>
    <cellStyle name="常规 3 5 5 2 2 2" xfId="39334" xr:uid="{00000000-0005-0000-0000-0000A6990000}"/>
    <cellStyle name="常规 3 5 5 2 2 2 2" xfId="39335" xr:uid="{00000000-0005-0000-0000-0000A7990000}"/>
    <cellStyle name="常规 3 5 5 2 3" xfId="39336" xr:uid="{00000000-0005-0000-0000-0000A8990000}"/>
    <cellStyle name="常规 3 5 5 2 3 2" xfId="39337" xr:uid="{00000000-0005-0000-0000-0000A9990000}"/>
    <cellStyle name="常规 3 5 5 2 3 2 2" xfId="39338" xr:uid="{00000000-0005-0000-0000-0000AA990000}"/>
    <cellStyle name="常规 3 5 5 2 4" xfId="39339" xr:uid="{00000000-0005-0000-0000-0000AB990000}"/>
    <cellStyle name="常规 3 5 5 2 4 2" xfId="39340" xr:uid="{00000000-0005-0000-0000-0000AC990000}"/>
    <cellStyle name="常规 3 5 5 2 5" xfId="39341" xr:uid="{00000000-0005-0000-0000-0000AD990000}"/>
    <cellStyle name="常规 3 5 5 3" xfId="39342" xr:uid="{00000000-0005-0000-0000-0000AE990000}"/>
    <cellStyle name="常规 3 5 5 3 2" xfId="39343" xr:uid="{00000000-0005-0000-0000-0000AF990000}"/>
    <cellStyle name="常规 3 5 5 3 2 2" xfId="39344" xr:uid="{00000000-0005-0000-0000-0000B0990000}"/>
    <cellStyle name="常规 3 5 5 4" xfId="39345" xr:uid="{00000000-0005-0000-0000-0000B1990000}"/>
    <cellStyle name="常规 3 5 5 4 2" xfId="39346" xr:uid="{00000000-0005-0000-0000-0000B2990000}"/>
    <cellStyle name="常规 3 5 5 4 2 2" xfId="39347" xr:uid="{00000000-0005-0000-0000-0000B3990000}"/>
    <cellStyle name="常规 3 5 5 5" xfId="39348" xr:uid="{00000000-0005-0000-0000-0000B4990000}"/>
    <cellStyle name="常规 3 5 5 5 2" xfId="39349" xr:uid="{00000000-0005-0000-0000-0000B5990000}"/>
    <cellStyle name="常规 3 5 5 5 3" xfId="39350" xr:uid="{00000000-0005-0000-0000-0000B6990000}"/>
    <cellStyle name="常规 3 5 5 6" xfId="39351" xr:uid="{00000000-0005-0000-0000-0000B7990000}"/>
    <cellStyle name="常规 3 5 6" xfId="39352" xr:uid="{00000000-0005-0000-0000-0000B8990000}"/>
    <cellStyle name="常规 3 5 6 2" xfId="39353" xr:uid="{00000000-0005-0000-0000-0000B9990000}"/>
    <cellStyle name="常规 3 5 6 2 2" xfId="39354" xr:uid="{00000000-0005-0000-0000-0000BA990000}"/>
    <cellStyle name="常规 3 5 6 2 2 2" xfId="39355" xr:uid="{00000000-0005-0000-0000-0000BB990000}"/>
    <cellStyle name="常规 3 5 6 3" xfId="39356" xr:uid="{00000000-0005-0000-0000-0000BC990000}"/>
    <cellStyle name="常规 3 5 6 3 2" xfId="39357" xr:uid="{00000000-0005-0000-0000-0000BD990000}"/>
    <cellStyle name="常规 3 5 6 3 2 2" xfId="39358" xr:uid="{00000000-0005-0000-0000-0000BE990000}"/>
    <cellStyle name="常规 3 5 6 4" xfId="39359" xr:uid="{00000000-0005-0000-0000-0000BF990000}"/>
    <cellStyle name="常规 3 5 6 4 2" xfId="39360" xr:uid="{00000000-0005-0000-0000-0000C0990000}"/>
    <cellStyle name="常规 3 5 6 5" xfId="39361" xr:uid="{00000000-0005-0000-0000-0000C1990000}"/>
    <cellStyle name="常规 3 5 7" xfId="39362" xr:uid="{00000000-0005-0000-0000-0000C2990000}"/>
    <cellStyle name="常规 3 5 7 2" xfId="39363" xr:uid="{00000000-0005-0000-0000-0000C3990000}"/>
    <cellStyle name="常规 3 5 7 2 2" xfId="39364" xr:uid="{00000000-0005-0000-0000-0000C4990000}"/>
    <cellStyle name="常规 3 5 8" xfId="39365" xr:uid="{00000000-0005-0000-0000-0000C5990000}"/>
    <cellStyle name="常规 3 5 8 2" xfId="39366" xr:uid="{00000000-0005-0000-0000-0000C6990000}"/>
    <cellStyle name="常规 3 5 8 2 2" xfId="39367" xr:uid="{00000000-0005-0000-0000-0000C7990000}"/>
    <cellStyle name="常规 3 5 9" xfId="39368" xr:uid="{00000000-0005-0000-0000-0000C8990000}"/>
    <cellStyle name="常规 3 5 9 2" xfId="39369" xr:uid="{00000000-0005-0000-0000-0000C9990000}"/>
    <cellStyle name="常规 3 5 9 3" xfId="39370" xr:uid="{00000000-0005-0000-0000-0000CA990000}"/>
    <cellStyle name="常规 3 6" xfId="39371" xr:uid="{00000000-0005-0000-0000-0000CB990000}"/>
    <cellStyle name="常规 3 6 10" xfId="39372" xr:uid="{00000000-0005-0000-0000-0000CC990000}"/>
    <cellStyle name="常规 3 6 10 2" xfId="39373" xr:uid="{00000000-0005-0000-0000-0000CD990000}"/>
    <cellStyle name="常规 3 6 10 3" xfId="39374" xr:uid="{00000000-0005-0000-0000-0000CE990000}"/>
    <cellStyle name="常规 3 6 11" xfId="39375" xr:uid="{00000000-0005-0000-0000-0000CF990000}"/>
    <cellStyle name="常规 3 6 11 2" xfId="39376" xr:uid="{00000000-0005-0000-0000-0000D0990000}"/>
    <cellStyle name="常规 3 6 2" xfId="39377" xr:uid="{00000000-0005-0000-0000-0000D1990000}"/>
    <cellStyle name="常规 3 6 2 10" xfId="39378" xr:uid="{00000000-0005-0000-0000-0000D2990000}"/>
    <cellStyle name="常规 3 6 2 10 2" xfId="39379" xr:uid="{00000000-0005-0000-0000-0000D3990000}"/>
    <cellStyle name="常规 3 6 2 2" xfId="39380" xr:uid="{00000000-0005-0000-0000-0000D4990000}"/>
    <cellStyle name="常规 3 6 2 2 2" xfId="39381" xr:uid="{00000000-0005-0000-0000-0000D5990000}"/>
    <cellStyle name="常规 3 6 2 2 2 2" xfId="39382" xr:uid="{00000000-0005-0000-0000-0000D6990000}"/>
    <cellStyle name="常规 3 6 2 2 2 2 2" xfId="39383" xr:uid="{00000000-0005-0000-0000-0000D7990000}"/>
    <cellStyle name="常规 3 6 2 2 2 2 2 2" xfId="39384" xr:uid="{00000000-0005-0000-0000-0000D8990000}"/>
    <cellStyle name="常规 3 6 2 2 2 2 2 2 2" xfId="39385" xr:uid="{00000000-0005-0000-0000-0000D9990000}"/>
    <cellStyle name="常规 3 6 2 2 2 2 3" xfId="39386" xr:uid="{00000000-0005-0000-0000-0000DA990000}"/>
    <cellStyle name="常规 3 6 2 2 2 2 3 2" xfId="39387" xr:uid="{00000000-0005-0000-0000-0000DB990000}"/>
    <cellStyle name="常规 3 6 2 2 2 2 3 2 2" xfId="39388" xr:uid="{00000000-0005-0000-0000-0000DC990000}"/>
    <cellStyle name="常规 3 6 2 2 2 2 4" xfId="39389" xr:uid="{00000000-0005-0000-0000-0000DD990000}"/>
    <cellStyle name="常规 3 6 2 2 2 2 4 2" xfId="39390" xr:uid="{00000000-0005-0000-0000-0000DE990000}"/>
    <cellStyle name="常规 3 6 2 2 2 2 4 2 2" xfId="39391" xr:uid="{00000000-0005-0000-0000-0000DF990000}"/>
    <cellStyle name="常规 3 6 2 2 2 2 5" xfId="39392" xr:uid="{00000000-0005-0000-0000-0000E0990000}"/>
    <cellStyle name="常规 3 6 2 2 2 2 5 2" xfId="39393" xr:uid="{00000000-0005-0000-0000-0000E1990000}"/>
    <cellStyle name="常规 3 6 2 2 2 2 5 3" xfId="39394" xr:uid="{00000000-0005-0000-0000-0000E2990000}"/>
    <cellStyle name="常规 3 6 2 2 2 2 6" xfId="39395" xr:uid="{00000000-0005-0000-0000-0000E3990000}"/>
    <cellStyle name="常规 3 6 2 2 2 3" xfId="39396" xr:uid="{00000000-0005-0000-0000-0000E4990000}"/>
    <cellStyle name="常规 3 6 2 2 2 3 2" xfId="39397" xr:uid="{00000000-0005-0000-0000-0000E5990000}"/>
    <cellStyle name="常规 3 6 2 2 2 3 2 2" xfId="39398" xr:uid="{00000000-0005-0000-0000-0000E6990000}"/>
    <cellStyle name="常规 3 6 2 2 2 3 2 2 2" xfId="39399" xr:uid="{00000000-0005-0000-0000-0000E7990000}"/>
    <cellStyle name="常规 3 6 2 2 2 3 3" xfId="39400" xr:uid="{00000000-0005-0000-0000-0000E8990000}"/>
    <cellStyle name="常规 3 6 2 2 2 3 3 2" xfId="39401" xr:uid="{00000000-0005-0000-0000-0000E9990000}"/>
    <cellStyle name="常规 3 6 2 2 2 3 3 2 2" xfId="39402" xr:uid="{00000000-0005-0000-0000-0000EA990000}"/>
    <cellStyle name="常规 3 6 2 2 2 3 4" xfId="39403" xr:uid="{00000000-0005-0000-0000-0000EB990000}"/>
    <cellStyle name="常规 3 6 2 2 2 3 4 2" xfId="39404" xr:uid="{00000000-0005-0000-0000-0000EC990000}"/>
    <cellStyle name="常规 3 6 2 2 2 3 5" xfId="39405" xr:uid="{00000000-0005-0000-0000-0000ED990000}"/>
    <cellStyle name="常规 3 6 2 2 2 4" xfId="39406" xr:uid="{00000000-0005-0000-0000-0000EE990000}"/>
    <cellStyle name="常规 3 6 2 2 2 4 2" xfId="39407" xr:uid="{00000000-0005-0000-0000-0000EF990000}"/>
    <cellStyle name="常规 3 6 2 2 2 4 2 2" xfId="39408" xr:uid="{00000000-0005-0000-0000-0000F0990000}"/>
    <cellStyle name="常规 3 6 2 2 2 5" xfId="39409" xr:uid="{00000000-0005-0000-0000-0000F1990000}"/>
    <cellStyle name="常规 3 6 2 2 2 5 2" xfId="39410" xr:uid="{00000000-0005-0000-0000-0000F2990000}"/>
    <cellStyle name="常规 3 6 2 2 2 5 2 2" xfId="39411" xr:uid="{00000000-0005-0000-0000-0000F3990000}"/>
    <cellStyle name="常规 3 6 2 2 2 6" xfId="39412" xr:uid="{00000000-0005-0000-0000-0000F4990000}"/>
    <cellStyle name="常规 3 6 2 2 2 7" xfId="39413" xr:uid="{00000000-0005-0000-0000-0000F5990000}"/>
    <cellStyle name="常规 3 6 2 2 2 7 2" xfId="39414" xr:uid="{00000000-0005-0000-0000-0000F6990000}"/>
    <cellStyle name="常规 3 6 2 2 2 7 3" xfId="39415" xr:uid="{00000000-0005-0000-0000-0000F7990000}"/>
    <cellStyle name="常规 3 6 2 2 2 8" xfId="39416" xr:uid="{00000000-0005-0000-0000-0000F8990000}"/>
    <cellStyle name="常规 3 6 2 2 2 8 2" xfId="39417" xr:uid="{00000000-0005-0000-0000-0000F9990000}"/>
    <cellStyle name="常规 3 6 2 2 3" xfId="39418" xr:uid="{00000000-0005-0000-0000-0000FA990000}"/>
    <cellStyle name="常规 3 6 2 2 3 2" xfId="39419" xr:uid="{00000000-0005-0000-0000-0000FB990000}"/>
    <cellStyle name="常规 3 6 2 2 3 2 2" xfId="39420" xr:uid="{00000000-0005-0000-0000-0000FC990000}"/>
    <cellStyle name="常规 3 6 2 2 3 2 3" xfId="39421" xr:uid="{00000000-0005-0000-0000-0000FD990000}"/>
    <cellStyle name="常规 3 6 2 2 3 2 4" xfId="39422" xr:uid="{00000000-0005-0000-0000-0000FE990000}"/>
    <cellStyle name="常规 3 6 2 2 3 2 5" xfId="39423" xr:uid="{00000000-0005-0000-0000-0000FF990000}"/>
    <cellStyle name="常规 3 6 2 2 3 2 5 2" xfId="39424" xr:uid="{00000000-0005-0000-0000-0000009A0000}"/>
    <cellStyle name="常规 3 6 2 2 3 3" xfId="39425" xr:uid="{00000000-0005-0000-0000-0000019A0000}"/>
    <cellStyle name="常规 3 6 2 2 3 3 2" xfId="39426" xr:uid="{00000000-0005-0000-0000-0000029A0000}"/>
    <cellStyle name="常规 3 6 2 2 3 3 2 2" xfId="39427" xr:uid="{00000000-0005-0000-0000-0000039A0000}"/>
    <cellStyle name="常规 3 6 2 2 3 4" xfId="39428" xr:uid="{00000000-0005-0000-0000-0000049A0000}"/>
    <cellStyle name="常规 3 6 2 2 3 4 2" xfId="39429" xr:uid="{00000000-0005-0000-0000-0000059A0000}"/>
    <cellStyle name="常规 3 6 2 2 3 4 2 2" xfId="39430" xr:uid="{00000000-0005-0000-0000-0000069A0000}"/>
    <cellStyle name="常规 3 6 2 2 3 5" xfId="39431" xr:uid="{00000000-0005-0000-0000-0000079A0000}"/>
    <cellStyle name="常规 3 6 2 2 3 5 2" xfId="39432" xr:uid="{00000000-0005-0000-0000-0000089A0000}"/>
    <cellStyle name="常规 3 6 2 2 3 5 3" xfId="39433" xr:uid="{00000000-0005-0000-0000-0000099A0000}"/>
    <cellStyle name="常规 3 6 2 2 3 6" xfId="39434" xr:uid="{00000000-0005-0000-0000-00000A9A0000}"/>
    <cellStyle name="常规 3 6 2 2 3 6 2" xfId="39435" xr:uid="{00000000-0005-0000-0000-00000B9A0000}"/>
    <cellStyle name="常规 3 6 2 2 3 7" xfId="39436" xr:uid="{00000000-0005-0000-0000-00000C9A0000}"/>
    <cellStyle name="常规 3 6 2 2 4" xfId="39437" xr:uid="{00000000-0005-0000-0000-00000D9A0000}"/>
    <cellStyle name="常规 3 6 2 2 4 2" xfId="39438" xr:uid="{00000000-0005-0000-0000-00000E9A0000}"/>
    <cellStyle name="常规 3 6 2 2 4 3" xfId="39439" xr:uid="{00000000-0005-0000-0000-00000F9A0000}"/>
    <cellStyle name="常规 3 6 2 2 4 4" xfId="39440" xr:uid="{00000000-0005-0000-0000-0000109A0000}"/>
    <cellStyle name="常规 3 6 2 2 4 5" xfId="39441" xr:uid="{00000000-0005-0000-0000-0000119A0000}"/>
    <cellStyle name="常规 3 6 2 2 4 5 2" xfId="39442" xr:uid="{00000000-0005-0000-0000-0000129A0000}"/>
    <cellStyle name="常规 3 6 2 2 5" xfId="39443" xr:uid="{00000000-0005-0000-0000-0000139A0000}"/>
    <cellStyle name="常规 3 6 2 2 5 2" xfId="39444" xr:uid="{00000000-0005-0000-0000-0000149A0000}"/>
    <cellStyle name="常规 3 6 2 2 5 2 2" xfId="39445" xr:uid="{00000000-0005-0000-0000-0000159A0000}"/>
    <cellStyle name="常规 3 6 2 2 6" xfId="39446" xr:uid="{00000000-0005-0000-0000-0000169A0000}"/>
    <cellStyle name="常规 3 6 2 2 6 2" xfId="39447" xr:uid="{00000000-0005-0000-0000-0000179A0000}"/>
    <cellStyle name="常规 3 6 2 2 6 2 2" xfId="39448" xr:uid="{00000000-0005-0000-0000-0000189A0000}"/>
    <cellStyle name="常规 3 6 2 2 7" xfId="39449" xr:uid="{00000000-0005-0000-0000-0000199A0000}"/>
    <cellStyle name="常规 3 6 2 2 7 2" xfId="39450" xr:uid="{00000000-0005-0000-0000-00001A9A0000}"/>
    <cellStyle name="常规 3 6 2 2 7 2 2" xfId="39451" xr:uid="{00000000-0005-0000-0000-00001B9A0000}"/>
    <cellStyle name="常规 3 6 2 2 8" xfId="39452" xr:uid="{00000000-0005-0000-0000-00001C9A0000}"/>
    <cellStyle name="常规 3 6 2 2 8 2" xfId="39453" xr:uid="{00000000-0005-0000-0000-00001D9A0000}"/>
    <cellStyle name="常规 3 6 2 2 8 3" xfId="39454" xr:uid="{00000000-0005-0000-0000-00001E9A0000}"/>
    <cellStyle name="常规 3 6 2 2 9" xfId="39455" xr:uid="{00000000-0005-0000-0000-00001F9A0000}"/>
    <cellStyle name="常规 3 6 2 2 9 2" xfId="39456" xr:uid="{00000000-0005-0000-0000-0000209A0000}"/>
    <cellStyle name="常规 3 6 2 3" xfId="39457" xr:uid="{00000000-0005-0000-0000-0000219A0000}"/>
    <cellStyle name="常规 3 6 2 3 2" xfId="39458" xr:uid="{00000000-0005-0000-0000-0000229A0000}"/>
    <cellStyle name="常规 3 6 2 3 2 2" xfId="39459" xr:uid="{00000000-0005-0000-0000-0000239A0000}"/>
    <cellStyle name="常规 3 6 2 3 2 2 2" xfId="39460" xr:uid="{00000000-0005-0000-0000-0000249A0000}"/>
    <cellStyle name="常规 3 6 2 3 2 2 2 2" xfId="39461" xr:uid="{00000000-0005-0000-0000-0000259A0000}"/>
    <cellStyle name="常规 3 6 2 3 2 3" xfId="39462" xr:uid="{00000000-0005-0000-0000-0000269A0000}"/>
    <cellStyle name="常规 3 6 2 3 2 3 2" xfId="39463" xr:uid="{00000000-0005-0000-0000-0000279A0000}"/>
    <cellStyle name="常规 3 6 2 3 2 3 2 2" xfId="39464" xr:uid="{00000000-0005-0000-0000-0000289A0000}"/>
    <cellStyle name="常规 3 6 2 3 2 4" xfId="39465" xr:uid="{00000000-0005-0000-0000-0000299A0000}"/>
    <cellStyle name="常规 3 6 2 3 2 4 2" xfId="39466" xr:uid="{00000000-0005-0000-0000-00002A9A0000}"/>
    <cellStyle name="常规 3 6 2 3 2 4 2 2" xfId="39467" xr:uid="{00000000-0005-0000-0000-00002B9A0000}"/>
    <cellStyle name="常规 3 6 2 3 2 5" xfId="39468" xr:uid="{00000000-0005-0000-0000-00002C9A0000}"/>
    <cellStyle name="常规 3 6 2 3 2 5 2" xfId="39469" xr:uid="{00000000-0005-0000-0000-00002D9A0000}"/>
    <cellStyle name="常规 3 6 2 3 2 5 3" xfId="39470" xr:uid="{00000000-0005-0000-0000-00002E9A0000}"/>
    <cellStyle name="常规 3 6 2 3 2 6" xfId="39471" xr:uid="{00000000-0005-0000-0000-00002F9A0000}"/>
    <cellStyle name="常规 3 6 2 3 3" xfId="39472" xr:uid="{00000000-0005-0000-0000-0000309A0000}"/>
    <cellStyle name="常规 3 6 2 3 3 2" xfId="39473" xr:uid="{00000000-0005-0000-0000-0000319A0000}"/>
    <cellStyle name="常规 3 6 2 3 3 2 2" xfId="39474" xr:uid="{00000000-0005-0000-0000-0000329A0000}"/>
    <cellStyle name="常规 3 6 2 3 3 2 2 2" xfId="39475" xr:uid="{00000000-0005-0000-0000-0000339A0000}"/>
    <cellStyle name="常规 3 6 2 3 3 3" xfId="39476" xr:uid="{00000000-0005-0000-0000-0000349A0000}"/>
    <cellStyle name="常规 3 6 2 3 3 3 2" xfId="39477" xr:uid="{00000000-0005-0000-0000-0000359A0000}"/>
    <cellStyle name="常规 3 6 2 3 3 3 2 2" xfId="39478" xr:uid="{00000000-0005-0000-0000-0000369A0000}"/>
    <cellStyle name="常规 3 6 2 3 3 4" xfId="39479" xr:uid="{00000000-0005-0000-0000-0000379A0000}"/>
    <cellStyle name="常规 3 6 2 3 3 4 2" xfId="39480" xr:uid="{00000000-0005-0000-0000-0000389A0000}"/>
    <cellStyle name="常规 3 6 2 3 3 5" xfId="39481" xr:uid="{00000000-0005-0000-0000-0000399A0000}"/>
    <cellStyle name="常规 3 6 2 3 4" xfId="39482" xr:uid="{00000000-0005-0000-0000-00003A9A0000}"/>
    <cellStyle name="常规 3 6 2 3 4 2" xfId="39483" xr:uid="{00000000-0005-0000-0000-00003B9A0000}"/>
    <cellStyle name="常规 3 6 2 3 4 2 2" xfId="39484" xr:uid="{00000000-0005-0000-0000-00003C9A0000}"/>
    <cellStyle name="常规 3 6 2 3 5" xfId="39485" xr:uid="{00000000-0005-0000-0000-00003D9A0000}"/>
    <cellStyle name="常规 3 6 2 3 5 2" xfId="39486" xr:uid="{00000000-0005-0000-0000-00003E9A0000}"/>
    <cellStyle name="常规 3 6 2 3 5 2 2" xfId="39487" xr:uid="{00000000-0005-0000-0000-00003F9A0000}"/>
    <cellStyle name="常规 3 6 2 3 6" xfId="39488" xr:uid="{00000000-0005-0000-0000-0000409A0000}"/>
    <cellStyle name="常规 3 6 2 3 7" xfId="39489" xr:uid="{00000000-0005-0000-0000-0000419A0000}"/>
    <cellStyle name="常规 3 6 2 3 7 2" xfId="39490" xr:uid="{00000000-0005-0000-0000-0000429A0000}"/>
    <cellStyle name="常规 3 6 2 3 7 3" xfId="39491" xr:uid="{00000000-0005-0000-0000-0000439A0000}"/>
    <cellStyle name="常规 3 6 2 3 8" xfId="39492" xr:uid="{00000000-0005-0000-0000-0000449A0000}"/>
    <cellStyle name="常规 3 6 2 3 8 2" xfId="39493" xr:uid="{00000000-0005-0000-0000-0000459A0000}"/>
    <cellStyle name="常规 3 6 2 4" xfId="39494" xr:uid="{00000000-0005-0000-0000-0000469A0000}"/>
    <cellStyle name="常规 3 6 2 4 2" xfId="39495" xr:uid="{00000000-0005-0000-0000-0000479A0000}"/>
    <cellStyle name="常规 3 6 2 4 2 2" xfId="39496" xr:uid="{00000000-0005-0000-0000-0000489A0000}"/>
    <cellStyle name="常规 3 6 2 4 2 3" xfId="39497" xr:uid="{00000000-0005-0000-0000-0000499A0000}"/>
    <cellStyle name="常规 3 6 2 4 2 4" xfId="39498" xr:uid="{00000000-0005-0000-0000-00004A9A0000}"/>
    <cellStyle name="常规 3 6 2 4 2 5" xfId="39499" xr:uid="{00000000-0005-0000-0000-00004B9A0000}"/>
    <cellStyle name="常规 3 6 2 4 2 5 2" xfId="39500" xr:uid="{00000000-0005-0000-0000-00004C9A0000}"/>
    <cellStyle name="常规 3 6 2 4 3" xfId="39501" xr:uid="{00000000-0005-0000-0000-00004D9A0000}"/>
    <cellStyle name="常规 3 6 2 4 3 2" xfId="39502" xr:uid="{00000000-0005-0000-0000-00004E9A0000}"/>
    <cellStyle name="常规 3 6 2 4 3 2 2" xfId="39503" xr:uid="{00000000-0005-0000-0000-00004F9A0000}"/>
    <cellStyle name="常规 3 6 2 4 4" xfId="39504" xr:uid="{00000000-0005-0000-0000-0000509A0000}"/>
    <cellStyle name="常规 3 6 2 4 4 2" xfId="39505" xr:uid="{00000000-0005-0000-0000-0000519A0000}"/>
    <cellStyle name="常规 3 6 2 4 4 2 2" xfId="39506" xr:uid="{00000000-0005-0000-0000-0000529A0000}"/>
    <cellStyle name="常规 3 6 2 4 5" xfId="39507" xr:uid="{00000000-0005-0000-0000-0000539A0000}"/>
    <cellStyle name="常规 3 6 2 4 5 2" xfId="39508" xr:uid="{00000000-0005-0000-0000-0000549A0000}"/>
    <cellStyle name="常规 3 6 2 4 5 3" xfId="39509" xr:uid="{00000000-0005-0000-0000-0000559A0000}"/>
    <cellStyle name="常规 3 6 2 4 6" xfId="39510" xr:uid="{00000000-0005-0000-0000-0000569A0000}"/>
    <cellStyle name="常规 3 6 2 4 6 2" xfId="39511" xr:uid="{00000000-0005-0000-0000-0000579A0000}"/>
    <cellStyle name="常规 3 6 2 4 7" xfId="39512" xr:uid="{00000000-0005-0000-0000-0000589A0000}"/>
    <cellStyle name="常规 3 6 2 5" xfId="39513" xr:uid="{00000000-0005-0000-0000-0000599A0000}"/>
    <cellStyle name="常规 3 6 2 5 2" xfId="39514" xr:uid="{00000000-0005-0000-0000-00005A9A0000}"/>
    <cellStyle name="常规 3 6 2 5 3" xfId="39515" xr:uid="{00000000-0005-0000-0000-00005B9A0000}"/>
    <cellStyle name="常规 3 6 2 5 4" xfId="39516" xr:uid="{00000000-0005-0000-0000-00005C9A0000}"/>
    <cellStyle name="常规 3 6 2 5 5" xfId="39517" xr:uid="{00000000-0005-0000-0000-00005D9A0000}"/>
    <cellStyle name="常规 3 6 2 5 5 2" xfId="39518" xr:uid="{00000000-0005-0000-0000-00005E9A0000}"/>
    <cellStyle name="常规 3 6 2 6" xfId="39519" xr:uid="{00000000-0005-0000-0000-00005F9A0000}"/>
    <cellStyle name="常规 3 6 2 6 2" xfId="39520" xr:uid="{00000000-0005-0000-0000-0000609A0000}"/>
    <cellStyle name="常规 3 6 2 6 2 2" xfId="39521" xr:uid="{00000000-0005-0000-0000-0000619A0000}"/>
    <cellStyle name="常规 3 6 2 7" xfId="39522" xr:uid="{00000000-0005-0000-0000-0000629A0000}"/>
    <cellStyle name="常规 3 6 2 7 2" xfId="39523" xr:uid="{00000000-0005-0000-0000-0000639A0000}"/>
    <cellStyle name="常规 3 6 2 7 2 2" xfId="39524" xr:uid="{00000000-0005-0000-0000-0000649A0000}"/>
    <cellStyle name="常规 3 6 2 8" xfId="39525" xr:uid="{00000000-0005-0000-0000-0000659A0000}"/>
    <cellStyle name="常规 3 6 2 8 2" xfId="39526" xr:uid="{00000000-0005-0000-0000-0000669A0000}"/>
    <cellStyle name="常规 3 6 2 8 2 2" xfId="39527" xr:uid="{00000000-0005-0000-0000-0000679A0000}"/>
    <cellStyle name="常规 3 6 2 9" xfId="39528" xr:uid="{00000000-0005-0000-0000-0000689A0000}"/>
    <cellStyle name="常规 3 6 2 9 2" xfId="39529" xr:uid="{00000000-0005-0000-0000-0000699A0000}"/>
    <cellStyle name="常规 3 6 2 9 3" xfId="39530" xr:uid="{00000000-0005-0000-0000-00006A9A0000}"/>
    <cellStyle name="常规 3 6 3" xfId="39531" xr:uid="{00000000-0005-0000-0000-00006B9A0000}"/>
    <cellStyle name="常规 3 6 3 2" xfId="39532" xr:uid="{00000000-0005-0000-0000-00006C9A0000}"/>
    <cellStyle name="常规 3 6 3 2 2" xfId="39533" xr:uid="{00000000-0005-0000-0000-00006D9A0000}"/>
    <cellStyle name="常规 3 6 3 2 2 2" xfId="39534" xr:uid="{00000000-0005-0000-0000-00006E9A0000}"/>
    <cellStyle name="常规 3 6 3 2 2 2 2" xfId="39535" xr:uid="{00000000-0005-0000-0000-00006F9A0000}"/>
    <cellStyle name="常规 3 6 3 2 3" xfId="39536" xr:uid="{00000000-0005-0000-0000-0000709A0000}"/>
    <cellStyle name="常规 3 6 3 2 3 2" xfId="39537" xr:uid="{00000000-0005-0000-0000-0000719A0000}"/>
    <cellStyle name="常规 3 6 3 2 3 2 2" xfId="39538" xr:uid="{00000000-0005-0000-0000-0000729A0000}"/>
    <cellStyle name="常规 3 6 3 2 4" xfId="39539" xr:uid="{00000000-0005-0000-0000-0000739A0000}"/>
    <cellStyle name="常规 3 6 3 2 4 2" xfId="39540" xr:uid="{00000000-0005-0000-0000-0000749A0000}"/>
    <cellStyle name="常规 3 6 3 2 4 2 2" xfId="39541" xr:uid="{00000000-0005-0000-0000-0000759A0000}"/>
    <cellStyle name="常规 3 6 3 2 5" xfId="39542" xr:uid="{00000000-0005-0000-0000-0000769A0000}"/>
    <cellStyle name="常规 3 6 3 2 5 2" xfId="39543" xr:uid="{00000000-0005-0000-0000-0000779A0000}"/>
    <cellStyle name="常规 3 6 3 2 5 3" xfId="39544" xr:uid="{00000000-0005-0000-0000-0000789A0000}"/>
    <cellStyle name="常规 3 6 3 2 6" xfId="39545" xr:uid="{00000000-0005-0000-0000-0000799A0000}"/>
    <cellStyle name="常规 3 6 3 3" xfId="39546" xr:uid="{00000000-0005-0000-0000-00007A9A0000}"/>
    <cellStyle name="常规 3 6 3 3 2" xfId="39547" xr:uid="{00000000-0005-0000-0000-00007B9A0000}"/>
    <cellStyle name="常规 3 6 3 3 2 2" xfId="39548" xr:uid="{00000000-0005-0000-0000-00007C9A0000}"/>
    <cellStyle name="常规 3 6 3 3 2 2 2" xfId="39549" xr:uid="{00000000-0005-0000-0000-00007D9A0000}"/>
    <cellStyle name="常规 3 6 3 3 3" xfId="39550" xr:uid="{00000000-0005-0000-0000-00007E9A0000}"/>
    <cellStyle name="常规 3 6 3 3 3 2" xfId="39551" xr:uid="{00000000-0005-0000-0000-00007F9A0000}"/>
    <cellStyle name="常规 3 6 3 3 3 2 2" xfId="39552" xr:uid="{00000000-0005-0000-0000-0000809A0000}"/>
    <cellStyle name="常规 3 6 3 3 4" xfId="39553" xr:uid="{00000000-0005-0000-0000-0000819A0000}"/>
    <cellStyle name="常规 3 6 3 3 4 2" xfId="39554" xr:uid="{00000000-0005-0000-0000-0000829A0000}"/>
    <cellStyle name="常规 3 6 3 3 5" xfId="39555" xr:uid="{00000000-0005-0000-0000-0000839A0000}"/>
    <cellStyle name="常规 3 6 3 4" xfId="39556" xr:uid="{00000000-0005-0000-0000-0000849A0000}"/>
    <cellStyle name="常规 3 6 3 4 2" xfId="39557" xr:uid="{00000000-0005-0000-0000-0000859A0000}"/>
    <cellStyle name="常规 3 6 3 4 2 2" xfId="39558" xr:uid="{00000000-0005-0000-0000-0000869A0000}"/>
    <cellStyle name="常规 3 6 3 5" xfId="39559" xr:uid="{00000000-0005-0000-0000-0000879A0000}"/>
    <cellStyle name="常规 3 6 3 5 2" xfId="39560" xr:uid="{00000000-0005-0000-0000-0000889A0000}"/>
    <cellStyle name="常规 3 6 3 5 2 2" xfId="39561" xr:uid="{00000000-0005-0000-0000-0000899A0000}"/>
    <cellStyle name="常规 3 6 3 6" xfId="39562" xr:uid="{00000000-0005-0000-0000-00008A9A0000}"/>
    <cellStyle name="常规 3 6 3 7" xfId="39563" xr:uid="{00000000-0005-0000-0000-00008B9A0000}"/>
    <cellStyle name="常规 3 6 3 7 2" xfId="39564" xr:uid="{00000000-0005-0000-0000-00008C9A0000}"/>
    <cellStyle name="常规 3 6 3 7 3" xfId="39565" xr:uid="{00000000-0005-0000-0000-00008D9A0000}"/>
    <cellStyle name="常规 3 6 3 8" xfId="39566" xr:uid="{00000000-0005-0000-0000-00008E9A0000}"/>
    <cellStyle name="常规 3 6 3 8 2" xfId="39567" xr:uid="{00000000-0005-0000-0000-00008F9A0000}"/>
    <cellStyle name="常规 3 6 4" xfId="39568" xr:uid="{00000000-0005-0000-0000-0000909A0000}"/>
    <cellStyle name="常规 3 6 4 2" xfId="39569" xr:uid="{00000000-0005-0000-0000-0000919A0000}"/>
    <cellStyle name="常规 3 6 4 2 2" xfId="39570" xr:uid="{00000000-0005-0000-0000-0000929A0000}"/>
    <cellStyle name="常规 3 6 4 2 2 2" xfId="39571" xr:uid="{00000000-0005-0000-0000-0000939A0000}"/>
    <cellStyle name="常规 3 6 4 2 2 2 2" xfId="39572" xr:uid="{00000000-0005-0000-0000-0000949A0000}"/>
    <cellStyle name="常规 3 6 4 2 3" xfId="39573" xr:uid="{00000000-0005-0000-0000-0000959A0000}"/>
    <cellStyle name="常规 3 6 4 2 3 2" xfId="39574" xr:uid="{00000000-0005-0000-0000-0000969A0000}"/>
    <cellStyle name="常规 3 6 4 2 3 2 2" xfId="39575" xr:uid="{00000000-0005-0000-0000-0000979A0000}"/>
    <cellStyle name="常规 3 6 4 2 4" xfId="39576" xr:uid="{00000000-0005-0000-0000-0000989A0000}"/>
    <cellStyle name="常规 3 6 4 2 4 2" xfId="39577" xr:uid="{00000000-0005-0000-0000-0000999A0000}"/>
    <cellStyle name="常规 3 6 4 2 4 2 2" xfId="39578" xr:uid="{00000000-0005-0000-0000-00009A9A0000}"/>
    <cellStyle name="常规 3 6 4 2 5" xfId="39579" xr:uid="{00000000-0005-0000-0000-00009B9A0000}"/>
    <cellStyle name="常规 3 6 4 2 5 2" xfId="39580" xr:uid="{00000000-0005-0000-0000-00009C9A0000}"/>
    <cellStyle name="常规 3 6 4 2 5 3" xfId="39581" xr:uid="{00000000-0005-0000-0000-00009D9A0000}"/>
    <cellStyle name="常规 3 6 4 2 6" xfId="39582" xr:uid="{00000000-0005-0000-0000-00009E9A0000}"/>
    <cellStyle name="常规 3 6 4 3" xfId="39583" xr:uid="{00000000-0005-0000-0000-00009F9A0000}"/>
    <cellStyle name="常规 3 6 4 3 2" xfId="39584" xr:uid="{00000000-0005-0000-0000-0000A09A0000}"/>
    <cellStyle name="常规 3 6 4 3 2 2" xfId="39585" xr:uid="{00000000-0005-0000-0000-0000A19A0000}"/>
    <cellStyle name="常规 3 6 4 4" xfId="39586" xr:uid="{00000000-0005-0000-0000-0000A29A0000}"/>
    <cellStyle name="常规 3 6 4 4 2" xfId="39587" xr:uid="{00000000-0005-0000-0000-0000A39A0000}"/>
    <cellStyle name="常规 3 6 4 4 2 2" xfId="39588" xr:uid="{00000000-0005-0000-0000-0000A49A0000}"/>
    <cellStyle name="常规 3 6 4 5" xfId="39589" xr:uid="{00000000-0005-0000-0000-0000A59A0000}"/>
    <cellStyle name="常规 3 6 4 5 2" xfId="39590" xr:uid="{00000000-0005-0000-0000-0000A69A0000}"/>
    <cellStyle name="常规 3 6 4 5 2 2" xfId="39591" xr:uid="{00000000-0005-0000-0000-0000A79A0000}"/>
    <cellStyle name="常规 3 6 4 6" xfId="39592" xr:uid="{00000000-0005-0000-0000-0000A89A0000}"/>
    <cellStyle name="常规 3 6 4 7" xfId="39593" xr:uid="{00000000-0005-0000-0000-0000A99A0000}"/>
    <cellStyle name="常规 3 6 4 7 2" xfId="39594" xr:uid="{00000000-0005-0000-0000-0000AA9A0000}"/>
    <cellStyle name="常规 3 6 4 7 3" xfId="39595" xr:uid="{00000000-0005-0000-0000-0000AB9A0000}"/>
    <cellStyle name="常规 3 6 4 8" xfId="39596" xr:uid="{00000000-0005-0000-0000-0000AC9A0000}"/>
    <cellStyle name="常规 3 6 4 8 2" xfId="39597" xr:uid="{00000000-0005-0000-0000-0000AD9A0000}"/>
    <cellStyle name="常规 3 6 5" xfId="39598" xr:uid="{00000000-0005-0000-0000-0000AE9A0000}"/>
    <cellStyle name="常规 3 6 5 2" xfId="39599" xr:uid="{00000000-0005-0000-0000-0000AF9A0000}"/>
    <cellStyle name="常规 3 6 5 2 2" xfId="39600" xr:uid="{00000000-0005-0000-0000-0000B09A0000}"/>
    <cellStyle name="常规 3 6 5 2 2 2" xfId="39601" xr:uid="{00000000-0005-0000-0000-0000B19A0000}"/>
    <cellStyle name="常规 3 6 5 2 2 2 2" xfId="39602" xr:uid="{00000000-0005-0000-0000-0000B29A0000}"/>
    <cellStyle name="常规 3 6 5 2 3" xfId="39603" xr:uid="{00000000-0005-0000-0000-0000B39A0000}"/>
    <cellStyle name="常规 3 6 5 2 3 2" xfId="39604" xr:uid="{00000000-0005-0000-0000-0000B49A0000}"/>
    <cellStyle name="常规 3 6 5 2 3 2 2" xfId="39605" xr:uid="{00000000-0005-0000-0000-0000B59A0000}"/>
    <cellStyle name="常规 3 6 5 2 4" xfId="39606" xr:uid="{00000000-0005-0000-0000-0000B69A0000}"/>
    <cellStyle name="常规 3 6 5 2 4 2" xfId="39607" xr:uid="{00000000-0005-0000-0000-0000B79A0000}"/>
    <cellStyle name="常规 3 6 5 2 5" xfId="39608" xr:uid="{00000000-0005-0000-0000-0000B89A0000}"/>
    <cellStyle name="常规 3 6 5 3" xfId="39609" xr:uid="{00000000-0005-0000-0000-0000B99A0000}"/>
    <cellStyle name="常规 3 6 5 3 2" xfId="39610" xr:uid="{00000000-0005-0000-0000-0000BA9A0000}"/>
    <cellStyle name="常规 3 6 5 3 2 2" xfId="39611" xr:uid="{00000000-0005-0000-0000-0000BB9A0000}"/>
    <cellStyle name="常规 3 6 5 4" xfId="39612" xr:uid="{00000000-0005-0000-0000-0000BC9A0000}"/>
    <cellStyle name="常规 3 6 5 4 2" xfId="39613" xr:uid="{00000000-0005-0000-0000-0000BD9A0000}"/>
    <cellStyle name="常规 3 6 5 4 2 2" xfId="39614" xr:uid="{00000000-0005-0000-0000-0000BE9A0000}"/>
    <cellStyle name="常规 3 6 5 5" xfId="39615" xr:uid="{00000000-0005-0000-0000-0000BF9A0000}"/>
    <cellStyle name="常规 3 6 5 5 2" xfId="39616" xr:uid="{00000000-0005-0000-0000-0000C09A0000}"/>
    <cellStyle name="常规 3 6 5 5 3" xfId="39617" xr:uid="{00000000-0005-0000-0000-0000C19A0000}"/>
    <cellStyle name="常规 3 6 5 6" xfId="39618" xr:uid="{00000000-0005-0000-0000-0000C29A0000}"/>
    <cellStyle name="常规 3 6 6" xfId="39619" xr:uid="{00000000-0005-0000-0000-0000C39A0000}"/>
    <cellStyle name="常规 3 6 6 2" xfId="39620" xr:uid="{00000000-0005-0000-0000-0000C49A0000}"/>
    <cellStyle name="常规 3 6 6 2 2" xfId="39621" xr:uid="{00000000-0005-0000-0000-0000C59A0000}"/>
    <cellStyle name="常规 3 6 6 2 2 2" xfId="39622" xr:uid="{00000000-0005-0000-0000-0000C69A0000}"/>
    <cellStyle name="常规 3 6 6 3" xfId="39623" xr:uid="{00000000-0005-0000-0000-0000C79A0000}"/>
    <cellStyle name="常规 3 6 6 3 2" xfId="39624" xr:uid="{00000000-0005-0000-0000-0000C89A0000}"/>
    <cellStyle name="常规 3 6 6 3 2 2" xfId="39625" xr:uid="{00000000-0005-0000-0000-0000C99A0000}"/>
    <cellStyle name="常规 3 6 6 4" xfId="39626" xr:uid="{00000000-0005-0000-0000-0000CA9A0000}"/>
    <cellStyle name="常规 3 6 6 4 2" xfId="39627" xr:uid="{00000000-0005-0000-0000-0000CB9A0000}"/>
    <cellStyle name="常规 3 6 6 5" xfId="39628" xr:uid="{00000000-0005-0000-0000-0000CC9A0000}"/>
    <cellStyle name="常规 3 6 7" xfId="39629" xr:uid="{00000000-0005-0000-0000-0000CD9A0000}"/>
    <cellStyle name="常规 3 6 7 2" xfId="39630" xr:uid="{00000000-0005-0000-0000-0000CE9A0000}"/>
    <cellStyle name="常规 3 6 7 2 2" xfId="39631" xr:uid="{00000000-0005-0000-0000-0000CF9A0000}"/>
    <cellStyle name="常规 3 6 8" xfId="39632" xr:uid="{00000000-0005-0000-0000-0000D09A0000}"/>
    <cellStyle name="常规 3 6 8 2" xfId="39633" xr:uid="{00000000-0005-0000-0000-0000D19A0000}"/>
    <cellStyle name="常规 3 6 8 2 2" xfId="39634" xr:uid="{00000000-0005-0000-0000-0000D29A0000}"/>
    <cellStyle name="常规 3 6 9" xfId="39635" xr:uid="{00000000-0005-0000-0000-0000D39A0000}"/>
    <cellStyle name="常规 3 7" xfId="39636" xr:uid="{00000000-0005-0000-0000-0000D49A0000}"/>
    <cellStyle name="常规 3 7 10" xfId="39637" xr:uid="{00000000-0005-0000-0000-0000D59A0000}"/>
    <cellStyle name="常规 3 7 10 2" xfId="39638" xr:uid="{00000000-0005-0000-0000-0000D69A0000}"/>
    <cellStyle name="常规 3 7 2" xfId="39639" xr:uid="{00000000-0005-0000-0000-0000D79A0000}"/>
    <cellStyle name="常规 3 7 2 2" xfId="39640" xr:uid="{00000000-0005-0000-0000-0000D89A0000}"/>
    <cellStyle name="常规 3 7 2 2 2" xfId="39641" xr:uid="{00000000-0005-0000-0000-0000D99A0000}"/>
    <cellStyle name="常规 3 7 2 2 2 2" xfId="39642" xr:uid="{00000000-0005-0000-0000-0000DA9A0000}"/>
    <cellStyle name="常规 3 7 2 2 2 2 2" xfId="39643" xr:uid="{00000000-0005-0000-0000-0000DB9A0000}"/>
    <cellStyle name="常规 3 7 2 2 3" xfId="39644" xr:uid="{00000000-0005-0000-0000-0000DC9A0000}"/>
    <cellStyle name="常规 3 7 2 2 3 2" xfId="39645" xr:uid="{00000000-0005-0000-0000-0000DD9A0000}"/>
    <cellStyle name="常规 3 7 2 2 3 2 2" xfId="39646" xr:uid="{00000000-0005-0000-0000-0000DE9A0000}"/>
    <cellStyle name="常规 3 7 2 2 4" xfId="39647" xr:uid="{00000000-0005-0000-0000-0000DF9A0000}"/>
    <cellStyle name="常规 3 7 2 2 4 2" xfId="39648" xr:uid="{00000000-0005-0000-0000-0000E09A0000}"/>
    <cellStyle name="常规 3 7 2 2 4 2 2" xfId="39649" xr:uid="{00000000-0005-0000-0000-0000E19A0000}"/>
    <cellStyle name="常规 3 7 2 2 5" xfId="39650" xr:uid="{00000000-0005-0000-0000-0000E29A0000}"/>
    <cellStyle name="常规 3 7 2 2 5 2" xfId="39651" xr:uid="{00000000-0005-0000-0000-0000E39A0000}"/>
    <cellStyle name="常规 3 7 2 2 5 3" xfId="39652" xr:uid="{00000000-0005-0000-0000-0000E49A0000}"/>
    <cellStyle name="常规 3 7 2 2 6" xfId="39653" xr:uid="{00000000-0005-0000-0000-0000E59A0000}"/>
    <cellStyle name="常规 3 7 2 3" xfId="39654" xr:uid="{00000000-0005-0000-0000-0000E69A0000}"/>
    <cellStyle name="常规 3 7 2 3 2" xfId="39655" xr:uid="{00000000-0005-0000-0000-0000E79A0000}"/>
    <cellStyle name="常规 3 7 2 3 2 2" xfId="39656" xr:uid="{00000000-0005-0000-0000-0000E89A0000}"/>
    <cellStyle name="常规 3 7 2 4" xfId="39657" xr:uid="{00000000-0005-0000-0000-0000E99A0000}"/>
    <cellStyle name="常规 3 7 2 4 2" xfId="39658" xr:uid="{00000000-0005-0000-0000-0000EA9A0000}"/>
    <cellStyle name="常规 3 7 2 4 2 2" xfId="39659" xr:uid="{00000000-0005-0000-0000-0000EB9A0000}"/>
    <cellStyle name="常规 3 7 2 5" xfId="39660" xr:uid="{00000000-0005-0000-0000-0000EC9A0000}"/>
    <cellStyle name="常规 3 7 2 5 2" xfId="39661" xr:uid="{00000000-0005-0000-0000-0000ED9A0000}"/>
    <cellStyle name="常规 3 7 2 5 2 2" xfId="39662" xr:uid="{00000000-0005-0000-0000-0000EE9A0000}"/>
    <cellStyle name="常规 3 7 2 6" xfId="39663" xr:uid="{00000000-0005-0000-0000-0000EF9A0000}"/>
    <cellStyle name="常规 3 7 2 7" xfId="39664" xr:uid="{00000000-0005-0000-0000-0000F09A0000}"/>
    <cellStyle name="常规 3 7 2 7 2" xfId="39665" xr:uid="{00000000-0005-0000-0000-0000F19A0000}"/>
    <cellStyle name="常规 3 7 2 7 3" xfId="39666" xr:uid="{00000000-0005-0000-0000-0000F29A0000}"/>
    <cellStyle name="常规 3 7 2 8" xfId="39667" xr:uid="{00000000-0005-0000-0000-0000F39A0000}"/>
    <cellStyle name="常规 3 7 2 8 2" xfId="39668" xr:uid="{00000000-0005-0000-0000-0000F49A0000}"/>
    <cellStyle name="常规 3 7 3" xfId="39669" xr:uid="{00000000-0005-0000-0000-0000F59A0000}"/>
    <cellStyle name="常规 3 7 3 2" xfId="39670" xr:uid="{00000000-0005-0000-0000-0000F69A0000}"/>
    <cellStyle name="常规 3 7 3 2 2" xfId="39671" xr:uid="{00000000-0005-0000-0000-0000F79A0000}"/>
    <cellStyle name="常规 3 7 3 2 2 2" xfId="39672" xr:uid="{00000000-0005-0000-0000-0000F89A0000}"/>
    <cellStyle name="常规 3 7 3 2 2 2 2" xfId="39673" xr:uid="{00000000-0005-0000-0000-0000F99A0000}"/>
    <cellStyle name="常规 3 7 3 2 3" xfId="39674" xr:uid="{00000000-0005-0000-0000-0000FA9A0000}"/>
    <cellStyle name="常规 3 7 3 2 3 2" xfId="39675" xr:uid="{00000000-0005-0000-0000-0000FB9A0000}"/>
    <cellStyle name="常规 3 7 3 2 3 2 2" xfId="39676" xr:uid="{00000000-0005-0000-0000-0000FC9A0000}"/>
    <cellStyle name="常规 3 7 3 2 4" xfId="39677" xr:uid="{00000000-0005-0000-0000-0000FD9A0000}"/>
    <cellStyle name="常规 3 7 3 2 4 2" xfId="39678" xr:uid="{00000000-0005-0000-0000-0000FE9A0000}"/>
    <cellStyle name="常规 3 7 3 2 4 2 2" xfId="39679" xr:uid="{00000000-0005-0000-0000-0000FF9A0000}"/>
    <cellStyle name="常规 3 7 3 2 5" xfId="39680" xr:uid="{00000000-0005-0000-0000-0000009B0000}"/>
    <cellStyle name="常规 3 7 3 2 5 2" xfId="39681" xr:uid="{00000000-0005-0000-0000-0000019B0000}"/>
    <cellStyle name="常规 3 7 3 2 5 3" xfId="39682" xr:uid="{00000000-0005-0000-0000-0000029B0000}"/>
    <cellStyle name="常规 3 7 3 2 6" xfId="39683" xr:uid="{00000000-0005-0000-0000-0000039B0000}"/>
    <cellStyle name="常规 3 7 3 3" xfId="39684" xr:uid="{00000000-0005-0000-0000-0000049B0000}"/>
    <cellStyle name="常规 3 7 3 3 2" xfId="39685" xr:uid="{00000000-0005-0000-0000-0000059B0000}"/>
    <cellStyle name="常规 3 7 3 3 2 2" xfId="39686" xr:uid="{00000000-0005-0000-0000-0000069B0000}"/>
    <cellStyle name="常规 3 7 3 3 2 2 2" xfId="39687" xr:uid="{00000000-0005-0000-0000-0000079B0000}"/>
    <cellStyle name="常规 3 7 3 3 3" xfId="39688" xr:uid="{00000000-0005-0000-0000-0000089B0000}"/>
    <cellStyle name="常规 3 7 3 3 3 2" xfId="39689" xr:uid="{00000000-0005-0000-0000-0000099B0000}"/>
    <cellStyle name="常规 3 7 3 3 3 2 2" xfId="39690" xr:uid="{00000000-0005-0000-0000-00000A9B0000}"/>
    <cellStyle name="常规 3 7 3 3 4" xfId="39691" xr:uid="{00000000-0005-0000-0000-00000B9B0000}"/>
    <cellStyle name="常规 3 7 3 3 4 2" xfId="39692" xr:uid="{00000000-0005-0000-0000-00000C9B0000}"/>
    <cellStyle name="常规 3 7 3 3 5" xfId="39693" xr:uid="{00000000-0005-0000-0000-00000D9B0000}"/>
    <cellStyle name="常规 3 7 3 4" xfId="39694" xr:uid="{00000000-0005-0000-0000-00000E9B0000}"/>
    <cellStyle name="常规 3 7 3 4 2" xfId="39695" xr:uid="{00000000-0005-0000-0000-00000F9B0000}"/>
    <cellStyle name="常规 3 7 3 4 2 2" xfId="39696" xr:uid="{00000000-0005-0000-0000-0000109B0000}"/>
    <cellStyle name="常规 3 7 3 5" xfId="39697" xr:uid="{00000000-0005-0000-0000-0000119B0000}"/>
    <cellStyle name="常规 3 7 3 5 2" xfId="39698" xr:uid="{00000000-0005-0000-0000-0000129B0000}"/>
    <cellStyle name="常规 3 7 3 5 2 2" xfId="39699" xr:uid="{00000000-0005-0000-0000-0000139B0000}"/>
    <cellStyle name="常规 3 7 3 6" xfId="39700" xr:uid="{00000000-0005-0000-0000-0000149B0000}"/>
    <cellStyle name="常规 3 7 3 7" xfId="39701" xr:uid="{00000000-0005-0000-0000-0000159B0000}"/>
    <cellStyle name="常规 3 7 3 7 2" xfId="39702" xr:uid="{00000000-0005-0000-0000-0000169B0000}"/>
    <cellStyle name="常规 3 7 3 7 3" xfId="39703" xr:uid="{00000000-0005-0000-0000-0000179B0000}"/>
    <cellStyle name="常规 3 7 3 8" xfId="39704" xr:uid="{00000000-0005-0000-0000-0000189B0000}"/>
    <cellStyle name="常规 3 7 3 8 2" xfId="39705" xr:uid="{00000000-0005-0000-0000-0000199B0000}"/>
    <cellStyle name="常规 3 7 4" xfId="39706" xr:uid="{00000000-0005-0000-0000-00001A9B0000}"/>
    <cellStyle name="常规 3 7 4 2" xfId="39707" xr:uid="{00000000-0005-0000-0000-00001B9B0000}"/>
    <cellStyle name="常规 3 7 4 2 2" xfId="39708" xr:uid="{00000000-0005-0000-0000-00001C9B0000}"/>
    <cellStyle name="常规 3 7 4 2 2 2" xfId="39709" xr:uid="{00000000-0005-0000-0000-00001D9B0000}"/>
    <cellStyle name="常规 3 7 4 3" xfId="39710" xr:uid="{00000000-0005-0000-0000-00001E9B0000}"/>
    <cellStyle name="常规 3 7 4 3 2" xfId="39711" xr:uid="{00000000-0005-0000-0000-00001F9B0000}"/>
    <cellStyle name="常规 3 7 4 3 2 2" xfId="39712" xr:uid="{00000000-0005-0000-0000-0000209B0000}"/>
    <cellStyle name="常规 3 7 4 4" xfId="39713" xr:uid="{00000000-0005-0000-0000-0000219B0000}"/>
    <cellStyle name="常规 3 7 4 4 2" xfId="39714" xr:uid="{00000000-0005-0000-0000-0000229B0000}"/>
    <cellStyle name="常规 3 7 4 4 2 2" xfId="39715" xr:uid="{00000000-0005-0000-0000-0000239B0000}"/>
    <cellStyle name="常规 3 7 4 5" xfId="39716" xr:uid="{00000000-0005-0000-0000-0000249B0000}"/>
    <cellStyle name="常规 3 7 4 5 2" xfId="39717" xr:uid="{00000000-0005-0000-0000-0000259B0000}"/>
    <cellStyle name="常规 3 7 4 5 3" xfId="39718" xr:uid="{00000000-0005-0000-0000-0000269B0000}"/>
    <cellStyle name="常规 3 7 4 6" xfId="39719" xr:uid="{00000000-0005-0000-0000-0000279B0000}"/>
    <cellStyle name="常规 3 7 5" xfId="39720" xr:uid="{00000000-0005-0000-0000-0000289B0000}"/>
    <cellStyle name="常规 3 7 5 2" xfId="39721" xr:uid="{00000000-0005-0000-0000-0000299B0000}"/>
    <cellStyle name="常规 3 7 5 2 2" xfId="39722" xr:uid="{00000000-0005-0000-0000-00002A9B0000}"/>
    <cellStyle name="常规 3 7 6" xfId="39723" xr:uid="{00000000-0005-0000-0000-00002B9B0000}"/>
    <cellStyle name="常规 3 7 6 2" xfId="39724" xr:uid="{00000000-0005-0000-0000-00002C9B0000}"/>
    <cellStyle name="常规 3 7 6 2 2" xfId="39725" xr:uid="{00000000-0005-0000-0000-00002D9B0000}"/>
    <cellStyle name="常规 3 7 7" xfId="39726" xr:uid="{00000000-0005-0000-0000-00002E9B0000}"/>
    <cellStyle name="常规 3 7 7 2" xfId="39727" xr:uid="{00000000-0005-0000-0000-00002F9B0000}"/>
    <cellStyle name="常规 3 7 7 2 2" xfId="39728" xr:uid="{00000000-0005-0000-0000-0000309B0000}"/>
    <cellStyle name="常规 3 7 8" xfId="39729" xr:uid="{00000000-0005-0000-0000-0000319B0000}"/>
    <cellStyle name="常规 3 7 9" xfId="39730" xr:uid="{00000000-0005-0000-0000-0000329B0000}"/>
    <cellStyle name="常规 3 7 9 2" xfId="39731" xr:uid="{00000000-0005-0000-0000-0000339B0000}"/>
    <cellStyle name="常规 3 7 9 3" xfId="39732" xr:uid="{00000000-0005-0000-0000-0000349B0000}"/>
    <cellStyle name="常规 3 8" xfId="39733" xr:uid="{00000000-0005-0000-0000-0000359B0000}"/>
    <cellStyle name="常规 3 8 2" xfId="39734" xr:uid="{00000000-0005-0000-0000-0000369B0000}"/>
    <cellStyle name="常规 3 8 2 2" xfId="39735" xr:uid="{00000000-0005-0000-0000-0000379B0000}"/>
    <cellStyle name="常规 3 8 2 2 2" xfId="39736" xr:uid="{00000000-0005-0000-0000-0000389B0000}"/>
    <cellStyle name="常规 3 8 2 2 3" xfId="39737" xr:uid="{00000000-0005-0000-0000-0000399B0000}"/>
    <cellStyle name="常规 3 8 2 2 4" xfId="39738" xr:uid="{00000000-0005-0000-0000-00003A9B0000}"/>
    <cellStyle name="常规 3 8 2 2 4 2" xfId="39739" xr:uid="{00000000-0005-0000-0000-00003B9B0000}"/>
    <cellStyle name="常规 3 8 2 2 4 3" xfId="39740" xr:uid="{00000000-0005-0000-0000-00003C9B0000}"/>
    <cellStyle name="常规 3 8 2 2 5" xfId="39741" xr:uid="{00000000-0005-0000-0000-00003D9B0000}"/>
    <cellStyle name="常规 3 8 2 2 5 2" xfId="39742" xr:uid="{00000000-0005-0000-0000-00003E9B0000}"/>
    <cellStyle name="常规 3 8 2 3" xfId="39743" xr:uid="{00000000-0005-0000-0000-00003F9B0000}"/>
    <cellStyle name="常规 3 8 2 3 2" xfId="39744" xr:uid="{00000000-0005-0000-0000-0000409B0000}"/>
    <cellStyle name="常规 3 8 2 3 2 2" xfId="39745" xr:uid="{00000000-0005-0000-0000-0000419B0000}"/>
    <cellStyle name="常规 3 8 2 3 2 2 2" xfId="39746" xr:uid="{00000000-0005-0000-0000-0000429B0000}"/>
    <cellStyle name="常规 3 8 2 3 3" xfId="39747" xr:uid="{00000000-0005-0000-0000-0000439B0000}"/>
    <cellStyle name="常规 3 8 2 3 3 2" xfId="39748" xr:uid="{00000000-0005-0000-0000-0000449B0000}"/>
    <cellStyle name="常规 3 8 2 3 3 2 2" xfId="39749" xr:uid="{00000000-0005-0000-0000-0000459B0000}"/>
    <cellStyle name="常规 3 8 2 3 4" xfId="39750" xr:uid="{00000000-0005-0000-0000-0000469B0000}"/>
    <cellStyle name="常规 3 8 2 3 4 2" xfId="39751" xr:uid="{00000000-0005-0000-0000-0000479B0000}"/>
    <cellStyle name="常规 3 8 2 3 5" xfId="39752" xr:uid="{00000000-0005-0000-0000-0000489B0000}"/>
    <cellStyle name="常规 3 8 2 4" xfId="39753" xr:uid="{00000000-0005-0000-0000-0000499B0000}"/>
    <cellStyle name="常规 3 8 2 4 2" xfId="39754" xr:uid="{00000000-0005-0000-0000-00004A9B0000}"/>
    <cellStyle name="常规 3 8 2 4 2 2" xfId="39755" xr:uid="{00000000-0005-0000-0000-00004B9B0000}"/>
    <cellStyle name="常规 3 8 2 5" xfId="39756" xr:uid="{00000000-0005-0000-0000-00004C9B0000}"/>
    <cellStyle name="常规 3 8 2 6" xfId="39757" xr:uid="{00000000-0005-0000-0000-00004D9B0000}"/>
    <cellStyle name="常规 3 8 2 7" xfId="39758" xr:uid="{00000000-0005-0000-0000-00004E9B0000}"/>
    <cellStyle name="常规 3 8 2 7 2" xfId="39759" xr:uid="{00000000-0005-0000-0000-00004F9B0000}"/>
    <cellStyle name="常规 3 8 2 7 3" xfId="39760" xr:uid="{00000000-0005-0000-0000-0000509B0000}"/>
    <cellStyle name="常规 3 8 2 8" xfId="39761" xr:uid="{00000000-0005-0000-0000-0000519B0000}"/>
    <cellStyle name="常规 3 8 2 8 2" xfId="39762" xr:uid="{00000000-0005-0000-0000-0000529B0000}"/>
    <cellStyle name="常规 3 8 3" xfId="39763" xr:uid="{00000000-0005-0000-0000-0000539B0000}"/>
    <cellStyle name="常规 3 8 3 2" xfId="39764" xr:uid="{00000000-0005-0000-0000-0000549B0000}"/>
    <cellStyle name="常规 3 8 3 3" xfId="39765" xr:uid="{00000000-0005-0000-0000-0000559B0000}"/>
    <cellStyle name="常规 3 8 3 4" xfId="39766" xr:uid="{00000000-0005-0000-0000-0000569B0000}"/>
    <cellStyle name="常规 3 8 3 4 2" xfId="39767" xr:uid="{00000000-0005-0000-0000-0000579B0000}"/>
    <cellStyle name="常规 3 8 3 4 3" xfId="39768" xr:uid="{00000000-0005-0000-0000-0000589B0000}"/>
    <cellStyle name="常规 3 8 3 5" xfId="39769" xr:uid="{00000000-0005-0000-0000-0000599B0000}"/>
    <cellStyle name="常规 3 8 3 5 2" xfId="39770" xr:uid="{00000000-0005-0000-0000-00005A9B0000}"/>
    <cellStyle name="常规 3 8 4" xfId="39771" xr:uid="{00000000-0005-0000-0000-00005B9B0000}"/>
    <cellStyle name="常规 3 8 4 2" xfId="39772" xr:uid="{00000000-0005-0000-0000-00005C9B0000}"/>
    <cellStyle name="常规 3 8 4 2 2" xfId="39773" xr:uid="{00000000-0005-0000-0000-00005D9B0000}"/>
    <cellStyle name="常规 3 8 5" xfId="39774" xr:uid="{00000000-0005-0000-0000-00005E9B0000}"/>
    <cellStyle name="常规 3 8 5 2" xfId="39775" xr:uid="{00000000-0005-0000-0000-00005F9B0000}"/>
    <cellStyle name="常规 3 8 5 2 2" xfId="39776" xr:uid="{00000000-0005-0000-0000-0000609B0000}"/>
    <cellStyle name="常规 3 8 6" xfId="39777" xr:uid="{00000000-0005-0000-0000-0000619B0000}"/>
    <cellStyle name="常规 3 8 7" xfId="39778" xr:uid="{00000000-0005-0000-0000-0000629B0000}"/>
    <cellStyle name="常规 3 8 8" xfId="39779" xr:uid="{00000000-0005-0000-0000-0000639B0000}"/>
    <cellStyle name="常规 3 8 8 2" xfId="39780" xr:uid="{00000000-0005-0000-0000-0000649B0000}"/>
    <cellStyle name="常规 3 8 8 3" xfId="39781" xr:uid="{00000000-0005-0000-0000-0000659B0000}"/>
    <cellStyle name="常规 3 8 9" xfId="39782" xr:uid="{00000000-0005-0000-0000-0000669B0000}"/>
    <cellStyle name="常规 3 8 9 2" xfId="39783" xr:uid="{00000000-0005-0000-0000-0000679B0000}"/>
    <cellStyle name="常规 3 9" xfId="39784" xr:uid="{00000000-0005-0000-0000-0000689B0000}"/>
    <cellStyle name="常规 3 9 2" xfId="39785" xr:uid="{00000000-0005-0000-0000-0000699B0000}"/>
    <cellStyle name="常规 3 9 2 2" xfId="39786" xr:uid="{00000000-0005-0000-0000-00006A9B0000}"/>
    <cellStyle name="常规 3 9 2 2 2" xfId="39787" xr:uid="{00000000-0005-0000-0000-00006B9B0000}"/>
    <cellStyle name="常规 3 9 2 2 2 2" xfId="39788" xr:uid="{00000000-0005-0000-0000-00006C9B0000}"/>
    <cellStyle name="常规 3 9 2 3" xfId="39789" xr:uid="{00000000-0005-0000-0000-00006D9B0000}"/>
    <cellStyle name="常规 3 9 2 3 2" xfId="39790" xr:uid="{00000000-0005-0000-0000-00006E9B0000}"/>
    <cellStyle name="常规 3 9 2 3 2 2" xfId="39791" xr:uid="{00000000-0005-0000-0000-00006F9B0000}"/>
    <cellStyle name="常规 3 9 2 4" xfId="39792" xr:uid="{00000000-0005-0000-0000-0000709B0000}"/>
    <cellStyle name="常规 3 9 2 4 2" xfId="39793" xr:uid="{00000000-0005-0000-0000-0000719B0000}"/>
    <cellStyle name="常规 3 9 2 4 2 2" xfId="39794" xr:uid="{00000000-0005-0000-0000-0000729B0000}"/>
    <cellStyle name="常规 3 9 2 5" xfId="39795" xr:uid="{00000000-0005-0000-0000-0000739B0000}"/>
    <cellStyle name="常规 3 9 2 5 2" xfId="39796" xr:uid="{00000000-0005-0000-0000-0000749B0000}"/>
    <cellStyle name="常规 3 9 2 5 3" xfId="39797" xr:uid="{00000000-0005-0000-0000-0000759B0000}"/>
    <cellStyle name="常规 3 9 2 6" xfId="39798" xr:uid="{00000000-0005-0000-0000-0000769B0000}"/>
    <cellStyle name="常规 3 9 3" xfId="39799" xr:uid="{00000000-0005-0000-0000-0000779B0000}"/>
    <cellStyle name="常规 3 9 3 2" xfId="39800" xr:uid="{00000000-0005-0000-0000-0000789B0000}"/>
    <cellStyle name="常规 3 9 3 2 2" xfId="39801" xr:uid="{00000000-0005-0000-0000-0000799B0000}"/>
    <cellStyle name="常规 3 9 3 2 2 2" xfId="39802" xr:uid="{00000000-0005-0000-0000-00007A9B0000}"/>
    <cellStyle name="常规 3 9 3 3" xfId="39803" xr:uid="{00000000-0005-0000-0000-00007B9B0000}"/>
    <cellStyle name="常规 3 9 3 3 2" xfId="39804" xr:uid="{00000000-0005-0000-0000-00007C9B0000}"/>
    <cellStyle name="常规 3 9 3 3 2 2" xfId="39805" xr:uid="{00000000-0005-0000-0000-00007D9B0000}"/>
    <cellStyle name="常规 3 9 3 4" xfId="39806" xr:uid="{00000000-0005-0000-0000-00007E9B0000}"/>
    <cellStyle name="常规 3 9 3 4 2" xfId="39807" xr:uid="{00000000-0005-0000-0000-00007F9B0000}"/>
    <cellStyle name="常规 3 9 3 5" xfId="39808" xr:uid="{00000000-0005-0000-0000-0000809B0000}"/>
    <cellStyle name="常规 3 9 4" xfId="39809" xr:uid="{00000000-0005-0000-0000-0000819B0000}"/>
    <cellStyle name="常规 3 9 4 2" xfId="39810" xr:uid="{00000000-0005-0000-0000-0000829B0000}"/>
    <cellStyle name="常规 3 9 4 2 2" xfId="39811" xr:uid="{00000000-0005-0000-0000-0000839B0000}"/>
    <cellStyle name="常规 3 9 5" xfId="39812" xr:uid="{00000000-0005-0000-0000-0000849B0000}"/>
    <cellStyle name="常规 3 9 5 2" xfId="39813" xr:uid="{00000000-0005-0000-0000-0000859B0000}"/>
    <cellStyle name="常规 3 9 5 2 2" xfId="39814" xr:uid="{00000000-0005-0000-0000-0000869B0000}"/>
    <cellStyle name="常规 3 9 6" xfId="39815" xr:uid="{00000000-0005-0000-0000-0000879B0000}"/>
    <cellStyle name="常规 3 9 7" xfId="39816" xr:uid="{00000000-0005-0000-0000-0000889B0000}"/>
    <cellStyle name="常规 3 9 7 2" xfId="39817" xr:uid="{00000000-0005-0000-0000-0000899B0000}"/>
    <cellStyle name="常规 3 9 7 3" xfId="39818" xr:uid="{00000000-0005-0000-0000-00008A9B0000}"/>
    <cellStyle name="常规 3 9 8" xfId="39819" xr:uid="{00000000-0005-0000-0000-00008B9B0000}"/>
    <cellStyle name="常规 3 9 8 2" xfId="39820" xr:uid="{00000000-0005-0000-0000-00008C9B0000}"/>
    <cellStyle name="常规 4" xfId="39821" xr:uid="{00000000-0005-0000-0000-00008D9B0000}"/>
    <cellStyle name="常规 4 10" xfId="39822" xr:uid="{00000000-0005-0000-0000-00008E9B0000}"/>
    <cellStyle name="常规 4 10 2" xfId="39823" xr:uid="{00000000-0005-0000-0000-00008F9B0000}"/>
    <cellStyle name="常规 4 10 2 2" xfId="39824" xr:uid="{00000000-0005-0000-0000-0000909B0000}"/>
    <cellStyle name="常规 4 10 2 2 2" xfId="39825" xr:uid="{00000000-0005-0000-0000-0000919B0000}"/>
    <cellStyle name="常规 4 10 2 2 2 2" xfId="39826" xr:uid="{00000000-0005-0000-0000-0000929B0000}"/>
    <cellStyle name="常规 4 10 2 2 3" xfId="39827" xr:uid="{00000000-0005-0000-0000-0000939B0000}"/>
    <cellStyle name="常规 4 10 2 3" xfId="39828" xr:uid="{00000000-0005-0000-0000-0000949B0000}"/>
    <cellStyle name="常规 4 10 2 3 2" xfId="39829" xr:uid="{00000000-0005-0000-0000-0000959B0000}"/>
    <cellStyle name="常规 4 10 2 3 2 2" xfId="39830" xr:uid="{00000000-0005-0000-0000-0000969B0000}"/>
    <cellStyle name="常规 4 10 2 4" xfId="39831" xr:uid="{00000000-0005-0000-0000-0000979B0000}"/>
    <cellStyle name="常规 4 10 2 4 2" xfId="39832" xr:uid="{00000000-0005-0000-0000-0000989B0000}"/>
    <cellStyle name="常规 4 10 2 4 3" xfId="39833" xr:uid="{00000000-0005-0000-0000-0000999B0000}"/>
    <cellStyle name="常规 4 10 2 5" xfId="39834" xr:uid="{00000000-0005-0000-0000-00009A9B0000}"/>
    <cellStyle name="常规 4 10 2 5 2" xfId="39835" xr:uid="{00000000-0005-0000-0000-00009B9B0000}"/>
    <cellStyle name="常规 4 10 2 6" xfId="39836" xr:uid="{00000000-0005-0000-0000-00009C9B0000}"/>
    <cellStyle name="常规 4 10 3" xfId="39837" xr:uid="{00000000-0005-0000-0000-00009D9B0000}"/>
    <cellStyle name="常规 4 10 3 2" xfId="39838" xr:uid="{00000000-0005-0000-0000-00009E9B0000}"/>
    <cellStyle name="常规 4 10 3 2 2" xfId="39839" xr:uid="{00000000-0005-0000-0000-00009F9B0000}"/>
    <cellStyle name="常规 4 10 3 3" xfId="39840" xr:uid="{00000000-0005-0000-0000-0000A09B0000}"/>
    <cellStyle name="常规 4 10 4" xfId="39841" xr:uid="{00000000-0005-0000-0000-0000A19B0000}"/>
    <cellStyle name="常规 4 10 4 2" xfId="39842" xr:uid="{00000000-0005-0000-0000-0000A29B0000}"/>
    <cellStyle name="常规 4 10 4 2 2" xfId="39843" xr:uid="{00000000-0005-0000-0000-0000A39B0000}"/>
    <cellStyle name="常规 4 10 5" xfId="39844" xr:uid="{00000000-0005-0000-0000-0000A49B0000}"/>
    <cellStyle name="常规 4 10 5 2" xfId="39845" xr:uid="{00000000-0005-0000-0000-0000A59B0000}"/>
    <cellStyle name="常规 4 10 5 3" xfId="39846" xr:uid="{00000000-0005-0000-0000-0000A69B0000}"/>
    <cellStyle name="常规 4 10 6" xfId="39847" xr:uid="{00000000-0005-0000-0000-0000A79B0000}"/>
    <cellStyle name="常规 4 10 6 2" xfId="39848" xr:uid="{00000000-0005-0000-0000-0000A89B0000}"/>
    <cellStyle name="常规 4 10 7" xfId="39849" xr:uid="{00000000-0005-0000-0000-0000A99B0000}"/>
    <cellStyle name="常规 4 11" xfId="39850" xr:uid="{00000000-0005-0000-0000-0000AA9B0000}"/>
    <cellStyle name="常规 4 11 2" xfId="39851" xr:uid="{00000000-0005-0000-0000-0000AB9B0000}"/>
    <cellStyle name="常规 4 11 2 2" xfId="39852" xr:uid="{00000000-0005-0000-0000-0000AC9B0000}"/>
    <cellStyle name="常规 4 11 2 2 2" xfId="39853" xr:uid="{00000000-0005-0000-0000-0000AD9B0000}"/>
    <cellStyle name="常规 4 11 2 2 2 2" xfId="39854" xr:uid="{00000000-0005-0000-0000-0000AE9B0000}"/>
    <cellStyle name="常规 4 11 2 2 3" xfId="39855" xr:uid="{00000000-0005-0000-0000-0000AF9B0000}"/>
    <cellStyle name="常规 4 11 2 3" xfId="39856" xr:uid="{00000000-0005-0000-0000-0000B09B0000}"/>
    <cellStyle name="常规 4 11 2 3 2" xfId="39857" xr:uid="{00000000-0005-0000-0000-0000B19B0000}"/>
    <cellStyle name="常规 4 11 2 3 2 2" xfId="39858" xr:uid="{00000000-0005-0000-0000-0000B29B0000}"/>
    <cellStyle name="常规 4 11 2 4" xfId="39859" xr:uid="{00000000-0005-0000-0000-0000B39B0000}"/>
    <cellStyle name="常规 4 11 2 4 2" xfId="39860" xr:uid="{00000000-0005-0000-0000-0000B49B0000}"/>
    <cellStyle name="常规 4 11 2 4 3" xfId="39861" xr:uid="{00000000-0005-0000-0000-0000B59B0000}"/>
    <cellStyle name="常规 4 11 2 5" xfId="39862" xr:uid="{00000000-0005-0000-0000-0000B69B0000}"/>
    <cellStyle name="常规 4 11 2 5 2" xfId="39863" xr:uid="{00000000-0005-0000-0000-0000B79B0000}"/>
    <cellStyle name="常规 4 11 2 6" xfId="39864" xr:uid="{00000000-0005-0000-0000-0000B89B0000}"/>
    <cellStyle name="常规 4 11 3" xfId="39865" xr:uid="{00000000-0005-0000-0000-0000B99B0000}"/>
    <cellStyle name="常规 4 11 3 2" xfId="39866" xr:uid="{00000000-0005-0000-0000-0000BA9B0000}"/>
    <cellStyle name="常规 4 11 3 2 2" xfId="39867" xr:uid="{00000000-0005-0000-0000-0000BB9B0000}"/>
    <cellStyle name="常规 4 11 3 3" xfId="39868" xr:uid="{00000000-0005-0000-0000-0000BC9B0000}"/>
    <cellStyle name="常规 4 11 4" xfId="39869" xr:uid="{00000000-0005-0000-0000-0000BD9B0000}"/>
    <cellStyle name="常规 4 11 4 2" xfId="39870" xr:uid="{00000000-0005-0000-0000-0000BE9B0000}"/>
    <cellStyle name="常规 4 11 4 2 2" xfId="39871" xr:uid="{00000000-0005-0000-0000-0000BF9B0000}"/>
    <cellStyle name="常规 4 11 5" xfId="39872" xr:uid="{00000000-0005-0000-0000-0000C09B0000}"/>
    <cellStyle name="常规 4 11 5 2" xfId="39873" xr:uid="{00000000-0005-0000-0000-0000C19B0000}"/>
    <cellStyle name="常规 4 11 5 3" xfId="39874" xr:uid="{00000000-0005-0000-0000-0000C29B0000}"/>
    <cellStyle name="常规 4 11 6" xfId="39875" xr:uid="{00000000-0005-0000-0000-0000C39B0000}"/>
    <cellStyle name="常规 4 11 6 2" xfId="39876" xr:uid="{00000000-0005-0000-0000-0000C49B0000}"/>
    <cellStyle name="常规 4 11 7" xfId="39877" xr:uid="{00000000-0005-0000-0000-0000C59B0000}"/>
    <cellStyle name="常规 4 12" xfId="39878" xr:uid="{00000000-0005-0000-0000-0000C69B0000}"/>
    <cellStyle name="常规 4 12 2" xfId="39879" xr:uid="{00000000-0005-0000-0000-0000C79B0000}"/>
    <cellStyle name="常规 4 12 2 2" xfId="39880" xr:uid="{00000000-0005-0000-0000-0000C89B0000}"/>
    <cellStyle name="常规 4 12 2 2 2" xfId="39881" xr:uid="{00000000-0005-0000-0000-0000C99B0000}"/>
    <cellStyle name="常规 4 12 2 2 2 2" xfId="39882" xr:uid="{00000000-0005-0000-0000-0000CA9B0000}"/>
    <cellStyle name="常规 4 12 2 3" xfId="39883" xr:uid="{00000000-0005-0000-0000-0000CB9B0000}"/>
    <cellStyle name="常规 4 12 2 3 2" xfId="39884" xr:uid="{00000000-0005-0000-0000-0000CC9B0000}"/>
    <cellStyle name="常规 4 12 2 3 2 2" xfId="39885" xr:uid="{00000000-0005-0000-0000-0000CD9B0000}"/>
    <cellStyle name="常规 4 12 2 4" xfId="39886" xr:uid="{00000000-0005-0000-0000-0000CE9B0000}"/>
    <cellStyle name="常规 4 12 2 4 2" xfId="39887" xr:uid="{00000000-0005-0000-0000-0000CF9B0000}"/>
    <cellStyle name="常规 4 12 2 5" xfId="39888" xr:uid="{00000000-0005-0000-0000-0000D09B0000}"/>
    <cellStyle name="常规 4 12 3" xfId="39889" xr:uid="{00000000-0005-0000-0000-0000D19B0000}"/>
    <cellStyle name="常规 4 12 3 2" xfId="39890" xr:uid="{00000000-0005-0000-0000-0000D29B0000}"/>
    <cellStyle name="常规 4 12 3 2 2" xfId="39891" xr:uid="{00000000-0005-0000-0000-0000D39B0000}"/>
    <cellStyle name="常规 4 12 3 3" xfId="39892" xr:uid="{00000000-0005-0000-0000-0000D49B0000}"/>
    <cellStyle name="常规 4 12 4" xfId="39893" xr:uid="{00000000-0005-0000-0000-0000D59B0000}"/>
    <cellStyle name="常规 4 12 4 2" xfId="39894" xr:uid="{00000000-0005-0000-0000-0000D69B0000}"/>
    <cellStyle name="常规 4 12 4 2 2" xfId="39895" xr:uid="{00000000-0005-0000-0000-0000D79B0000}"/>
    <cellStyle name="常规 4 12 5" xfId="39896" xr:uid="{00000000-0005-0000-0000-0000D89B0000}"/>
    <cellStyle name="常规 4 12 5 2" xfId="39897" xr:uid="{00000000-0005-0000-0000-0000D99B0000}"/>
    <cellStyle name="常规 4 12 5 3" xfId="39898" xr:uid="{00000000-0005-0000-0000-0000DA9B0000}"/>
    <cellStyle name="常规 4 12 6" xfId="39899" xr:uid="{00000000-0005-0000-0000-0000DB9B0000}"/>
    <cellStyle name="常规 4 12 6 2" xfId="39900" xr:uid="{00000000-0005-0000-0000-0000DC9B0000}"/>
    <cellStyle name="常规 4 13" xfId="39901" xr:uid="{00000000-0005-0000-0000-0000DD9B0000}"/>
    <cellStyle name="常规 4 13 2" xfId="39902" xr:uid="{00000000-0005-0000-0000-0000DE9B0000}"/>
    <cellStyle name="常规 4 13 2 2" xfId="39903" xr:uid="{00000000-0005-0000-0000-0000DF9B0000}"/>
    <cellStyle name="常规 4 13 2 2 2" xfId="39904" xr:uid="{00000000-0005-0000-0000-0000E09B0000}"/>
    <cellStyle name="常规 4 13 3" xfId="39905" xr:uid="{00000000-0005-0000-0000-0000E19B0000}"/>
    <cellStyle name="常规 4 13 3 2" xfId="39906" xr:uid="{00000000-0005-0000-0000-0000E29B0000}"/>
    <cellStyle name="常规 4 13 3 2 2" xfId="39907" xr:uid="{00000000-0005-0000-0000-0000E39B0000}"/>
    <cellStyle name="常规 4 13 4" xfId="39908" xr:uid="{00000000-0005-0000-0000-0000E49B0000}"/>
    <cellStyle name="常规 4 13 4 2" xfId="39909" xr:uid="{00000000-0005-0000-0000-0000E59B0000}"/>
    <cellStyle name="常规 4 13 5" xfId="39910" xr:uid="{00000000-0005-0000-0000-0000E69B0000}"/>
    <cellStyle name="常规 4 14" xfId="39911" xr:uid="{00000000-0005-0000-0000-0000E79B0000}"/>
    <cellStyle name="常规 4 14 2" xfId="39912" xr:uid="{00000000-0005-0000-0000-0000E89B0000}"/>
    <cellStyle name="常规 4 14 2 2" xfId="39913" xr:uid="{00000000-0005-0000-0000-0000E99B0000}"/>
    <cellStyle name="常规 4 14 2 2 2" xfId="39914" xr:uid="{00000000-0005-0000-0000-0000EA9B0000}"/>
    <cellStyle name="常规 4 14 3" xfId="39915" xr:uid="{00000000-0005-0000-0000-0000EB9B0000}"/>
    <cellStyle name="常规 4 14 3 2" xfId="39916" xr:uid="{00000000-0005-0000-0000-0000EC9B0000}"/>
    <cellStyle name="常规 4 14 3 2 2" xfId="39917" xr:uid="{00000000-0005-0000-0000-0000ED9B0000}"/>
    <cellStyle name="常规 4 14 4" xfId="39918" xr:uid="{00000000-0005-0000-0000-0000EE9B0000}"/>
    <cellStyle name="常规 4 14 4 2" xfId="39919" xr:uid="{00000000-0005-0000-0000-0000EF9B0000}"/>
    <cellStyle name="常规 4 14 5" xfId="39920" xr:uid="{00000000-0005-0000-0000-0000F09B0000}"/>
    <cellStyle name="常规 4 15" xfId="39921" xr:uid="{00000000-0005-0000-0000-0000F19B0000}"/>
    <cellStyle name="常规 4 15 2" xfId="39922" xr:uid="{00000000-0005-0000-0000-0000F29B0000}"/>
    <cellStyle name="常规 4 15 2 2" xfId="39923" xr:uid="{00000000-0005-0000-0000-0000F39B0000}"/>
    <cellStyle name="常规 4 15 2 3" xfId="39924" xr:uid="{00000000-0005-0000-0000-0000F49B0000}"/>
    <cellStyle name="常规 4 15 3" xfId="39925" xr:uid="{00000000-0005-0000-0000-0000F59B0000}"/>
    <cellStyle name="常规 4 15 3 2" xfId="39926" xr:uid="{00000000-0005-0000-0000-0000F69B0000}"/>
    <cellStyle name="常规 4 15 4" xfId="39927" xr:uid="{00000000-0005-0000-0000-0000F79B0000}"/>
    <cellStyle name="常规 4 15 5" xfId="39928" xr:uid="{00000000-0005-0000-0000-0000F89B0000}"/>
    <cellStyle name="常规 4 16" xfId="39929" xr:uid="{00000000-0005-0000-0000-0000F99B0000}"/>
    <cellStyle name="常规 4 16 2" xfId="39930" xr:uid="{00000000-0005-0000-0000-0000FA9B0000}"/>
    <cellStyle name="常规 4 16 2 2" xfId="39931" xr:uid="{00000000-0005-0000-0000-0000FB9B0000}"/>
    <cellStyle name="常规 4 16 3" xfId="39932" xr:uid="{00000000-0005-0000-0000-0000FC9B0000}"/>
    <cellStyle name="常规 4 17" xfId="39933" xr:uid="{00000000-0005-0000-0000-0000FD9B0000}"/>
    <cellStyle name="常规 4 17 2" xfId="39934" xr:uid="{00000000-0005-0000-0000-0000FE9B0000}"/>
    <cellStyle name="常规 4 18" xfId="39935" xr:uid="{00000000-0005-0000-0000-0000FF9B0000}"/>
    <cellStyle name="常规 4 2" xfId="39936" xr:uid="{00000000-0005-0000-0000-0000009C0000}"/>
    <cellStyle name="常规 4 2 10" xfId="39937" xr:uid="{00000000-0005-0000-0000-0000019C0000}"/>
    <cellStyle name="常规 4 2 10 2" xfId="39938" xr:uid="{00000000-0005-0000-0000-0000029C0000}"/>
    <cellStyle name="常规 4 2 10 2 2" xfId="39939" xr:uid="{00000000-0005-0000-0000-0000039C0000}"/>
    <cellStyle name="常规 4 2 11" xfId="39940" xr:uid="{00000000-0005-0000-0000-0000049C0000}"/>
    <cellStyle name="常规 4 2 11 2" xfId="39941" xr:uid="{00000000-0005-0000-0000-0000059C0000}"/>
    <cellStyle name="常规 4 2 11 3" xfId="39942" xr:uid="{00000000-0005-0000-0000-0000069C0000}"/>
    <cellStyle name="常规 4 2 12" xfId="39943" xr:uid="{00000000-0005-0000-0000-0000079C0000}"/>
    <cellStyle name="常规 4 2 2" xfId="39944" xr:uid="{00000000-0005-0000-0000-0000089C0000}"/>
    <cellStyle name="常规 4 2 2 10" xfId="39945" xr:uid="{00000000-0005-0000-0000-0000099C0000}"/>
    <cellStyle name="常规 4 2 2 10 2" xfId="39946" xr:uid="{00000000-0005-0000-0000-00000A9C0000}"/>
    <cellStyle name="常规 4 2 2 2" xfId="39947" xr:uid="{00000000-0005-0000-0000-00000B9C0000}"/>
    <cellStyle name="常规 4 2 2 2 2" xfId="39948" xr:uid="{00000000-0005-0000-0000-00000C9C0000}"/>
    <cellStyle name="常规 4 2 2 2 2 2" xfId="39949" xr:uid="{00000000-0005-0000-0000-00000D9C0000}"/>
    <cellStyle name="常规 4 2 2 2 2 2 2" xfId="39950" xr:uid="{00000000-0005-0000-0000-00000E9C0000}"/>
    <cellStyle name="常规 4 2 2 2 2 2 3" xfId="39951" xr:uid="{00000000-0005-0000-0000-00000F9C0000}"/>
    <cellStyle name="常规 4 2 2 2 2 2 4" xfId="39952" xr:uid="{00000000-0005-0000-0000-0000109C0000}"/>
    <cellStyle name="常规 4 2 2 2 2 2 4 2" xfId="39953" xr:uid="{00000000-0005-0000-0000-0000119C0000}"/>
    <cellStyle name="常规 4 2 2 2 2 2 4 3" xfId="39954" xr:uid="{00000000-0005-0000-0000-0000129C0000}"/>
    <cellStyle name="常规 4 2 2 2 2 2 5" xfId="39955" xr:uid="{00000000-0005-0000-0000-0000139C0000}"/>
    <cellStyle name="常规 4 2 2 2 2 2 5 2" xfId="39956" xr:uid="{00000000-0005-0000-0000-0000149C0000}"/>
    <cellStyle name="常规 4 2 2 2 2 3" xfId="39957" xr:uid="{00000000-0005-0000-0000-0000159C0000}"/>
    <cellStyle name="常规 4 2 2 2 2 3 2" xfId="39958" xr:uid="{00000000-0005-0000-0000-0000169C0000}"/>
    <cellStyle name="常规 4 2 2 2 2 3 2 2" xfId="39959" xr:uid="{00000000-0005-0000-0000-0000179C0000}"/>
    <cellStyle name="常规 4 2 2 2 2 3 2 2 2" xfId="39960" xr:uid="{00000000-0005-0000-0000-0000189C0000}"/>
    <cellStyle name="常规 4 2 2 2 2 3 3" xfId="39961" xr:uid="{00000000-0005-0000-0000-0000199C0000}"/>
    <cellStyle name="常规 4 2 2 2 2 3 3 2" xfId="39962" xr:uid="{00000000-0005-0000-0000-00001A9C0000}"/>
    <cellStyle name="常规 4 2 2 2 2 3 3 2 2" xfId="39963" xr:uid="{00000000-0005-0000-0000-00001B9C0000}"/>
    <cellStyle name="常规 4 2 2 2 2 3 4" xfId="39964" xr:uid="{00000000-0005-0000-0000-00001C9C0000}"/>
    <cellStyle name="常规 4 2 2 2 2 3 4 2" xfId="39965" xr:uid="{00000000-0005-0000-0000-00001D9C0000}"/>
    <cellStyle name="常规 4 2 2 2 2 3 5" xfId="39966" xr:uid="{00000000-0005-0000-0000-00001E9C0000}"/>
    <cellStyle name="常规 4 2 2 2 2 4" xfId="39967" xr:uid="{00000000-0005-0000-0000-00001F9C0000}"/>
    <cellStyle name="常规 4 2 2 2 2 4 2" xfId="39968" xr:uid="{00000000-0005-0000-0000-0000209C0000}"/>
    <cellStyle name="常规 4 2 2 2 2 4 2 2" xfId="39969" xr:uid="{00000000-0005-0000-0000-0000219C0000}"/>
    <cellStyle name="常规 4 2 2 2 2 5" xfId="39970" xr:uid="{00000000-0005-0000-0000-0000229C0000}"/>
    <cellStyle name="常规 4 2 2 2 2 6" xfId="39971" xr:uid="{00000000-0005-0000-0000-0000239C0000}"/>
    <cellStyle name="常规 4 2 2 2 2 7" xfId="39972" xr:uid="{00000000-0005-0000-0000-0000249C0000}"/>
    <cellStyle name="常规 4 2 2 2 2 7 2" xfId="39973" xr:uid="{00000000-0005-0000-0000-0000259C0000}"/>
    <cellStyle name="常规 4 2 2 2 2 7 3" xfId="39974" xr:uid="{00000000-0005-0000-0000-0000269C0000}"/>
    <cellStyle name="常规 4 2 2 2 2 8" xfId="39975" xr:uid="{00000000-0005-0000-0000-0000279C0000}"/>
    <cellStyle name="常规 4 2 2 2 2 8 2" xfId="39976" xr:uid="{00000000-0005-0000-0000-0000289C0000}"/>
    <cellStyle name="常规 4 2 2 2 3" xfId="39977" xr:uid="{00000000-0005-0000-0000-0000299C0000}"/>
    <cellStyle name="常规 4 2 2 2 3 2" xfId="39978" xr:uid="{00000000-0005-0000-0000-00002A9C0000}"/>
    <cellStyle name="常规 4 2 2 2 3 3" xfId="39979" xr:uid="{00000000-0005-0000-0000-00002B9C0000}"/>
    <cellStyle name="常规 4 2 2 2 3 4" xfId="39980" xr:uid="{00000000-0005-0000-0000-00002C9C0000}"/>
    <cellStyle name="常规 4 2 2 2 3 4 2" xfId="39981" xr:uid="{00000000-0005-0000-0000-00002D9C0000}"/>
    <cellStyle name="常规 4 2 2 2 3 4 3" xfId="39982" xr:uid="{00000000-0005-0000-0000-00002E9C0000}"/>
    <cellStyle name="常规 4 2 2 2 3 5" xfId="39983" xr:uid="{00000000-0005-0000-0000-00002F9C0000}"/>
    <cellStyle name="常规 4 2 2 2 3 5 2" xfId="39984" xr:uid="{00000000-0005-0000-0000-0000309C0000}"/>
    <cellStyle name="常规 4 2 2 2 4" xfId="39985" xr:uid="{00000000-0005-0000-0000-0000319C0000}"/>
    <cellStyle name="常规 4 2 2 2 4 2" xfId="39986" xr:uid="{00000000-0005-0000-0000-0000329C0000}"/>
    <cellStyle name="常规 4 2 2 2 4 2 2" xfId="39987" xr:uid="{00000000-0005-0000-0000-0000339C0000}"/>
    <cellStyle name="常规 4 2 2 2 5" xfId="39988" xr:uid="{00000000-0005-0000-0000-0000349C0000}"/>
    <cellStyle name="常规 4 2 2 2 5 2" xfId="39989" xr:uid="{00000000-0005-0000-0000-0000359C0000}"/>
    <cellStyle name="常规 4 2 2 2 5 2 2" xfId="39990" xr:uid="{00000000-0005-0000-0000-0000369C0000}"/>
    <cellStyle name="常规 4 2 2 2 6" xfId="39991" xr:uid="{00000000-0005-0000-0000-0000379C0000}"/>
    <cellStyle name="常规 4 2 2 2 7" xfId="39992" xr:uid="{00000000-0005-0000-0000-0000389C0000}"/>
    <cellStyle name="常规 4 2 2 2 8" xfId="39993" xr:uid="{00000000-0005-0000-0000-0000399C0000}"/>
    <cellStyle name="常规 4 2 2 2 8 2" xfId="39994" xr:uid="{00000000-0005-0000-0000-00003A9C0000}"/>
    <cellStyle name="常规 4 2 2 2 8 3" xfId="39995" xr:uid="{00000000-0005-0000-0000-00003B9C0000}"/>
    <cellStyle name="常规 4 2 2 2 9" xfId="39996" xr:uid="{00000000-0005-0000-0000-00003C9C0000}"/>
    <cellStyle name="常规 4 2 2 2 9 2" xfId="39997" xr:uid="{00000000-0005-0000-0000-00003D9C0000}"/>
    <cellStyle name="常规 4 2 2 3" xfId="39998" xr:uid="{00000000-0005-0000-0000-00003E9C0000}"/>
    <cellStyle name="常规 4 2 2 3 2" xfId="39999" xr:uid="{00000000-0005-0000-0000-00003F9C0000}"/>
    <cellStyle name="常规 4 2 2 3 2 2" xfId="40000" xr:uid="{00000000-0005-0000-0000-0000409C0000}"/>
    <cellStyle name="常规 4 2 2 3 2 2 2" xfId="40001" xr:uid="{00000000-0005-0000-0000-0000419C0000}"/>
    <cellStyle name="常规 4 2 2 3 2 2 2 2" xfId="40002" xr:uid="{00000000-0005-0000-0000-0000429C0000}"/>
    <cellStyle name="常规 4 2 2 3 2 3" xfId="40003" xr:uid="{00000000-0005-0000-0000-0000439C0000}"/>
    <cellStyle name="常规 4 2 2 3 2 3 2" xfId="40004" xr:uid="{00000000-0005-0000-0000-0000449C0000}"/>
    <cellStyle name="常规 4 2 2 3 2 3 2 2" xfId="40005" xr:uid="{00000000-0005-0000-0000-0000459C0000}"/>
    <cellStyle name="常规 4 2 2 3 2 4" xfId="40006" xr:uid="{00000000-0005-0000-0000-0000469C0000}"/>
    <cellStyle name="常规 4 2 2 3 2 4 2" xfId="40007" xr:uid="{00000000-0005-0000-0000-0000479C0000}"/>
    <cellStyle name="常规 4 2 2 3 2 4 2 2" xfId="40008" xr:uid="{00000000-0005-0000-0000-0000489C0000}"/>
    <cellStyle name="常规 4 2 2 3 2 5" xfId="40009" xr:uid="{00000000-0005-0000-0000-0000499C0000}"/>
    <cellStyle name="常规 4 2 2 3 2 5 2" xfId="40010" xr:uid="{00000000-0005-0000-0000-00004A9C0000}"/>
    <cellStyle name="常规 4 2 2 3 2 5 3" xfId="40011" xr:uid="{00000000-0005-0000-0000-00004B9C0000}"/>
    <cellStyle name="常规 4 2 2 3 2 6" xfId="40012" xr:uid="{00000000-0005-0000-0000-00004C9C0000}"/>
    <cellStyle name="常规 4 2 2 3 3" xfId="40013" xr:uid="{00000000-0005-0000-0000-00004D9C0000}"/>
    <cellStyle name="常规 4 2 2 3 3 2" xfId="40014" xr:uid="{00000000-0005-0000-0000-00004E9C0000}"/>
    <cellStyle name="常规 4 2 2 3 3 2 2" xfId="40015" xr:uid="{00000000-0005-0000-0000-00004F9C0000}"/>
    <cellStyle name="常规 4 2 2 3 3 2 2 2" xfId="40016" xr:uid="{00000000-0005-0000-0000-0000509C0000}"/>
    <cellStyle name="常规 4 2 2 3 3 3" xfId="40017" xr:uid="{00000000-0005-0000-0000-0000519C0000}"/>
    <cellStyle name="常规 4 2 2 3 3 3 2" xfId="40018" xr:uid="{00000000-0005-0000-0000-0000529C0000}"/>
    <cellStyle name="常规 4 2 2 3 3 3 2 2" xfId="40019" xr:uid="{00000000-0005-0000-0000-0000539C0000}"/>
    <cellStyle name="常规 4 2 2 3 3 4" xfId="40020" xr:uid="{00000000-0005-0000-0000-0000549C0000}"/>
    <cellStyle name="常规 4 2 2 3 3 4 2" xfId="40021" xr:uid="{00000000-0005-0000-0000-0000559C0000}"/>
    <cellStyle name="常规 4 2 2 3 3 5" xfId="40022" xr:uid="{00000000-0005-0000-0000-0000569C0000}"/>
    <cellStyle name="常规 4 2 2 3 4" xfId="40023" xr:uid="{00000000-0005-0000-0000-0000579C0000}"/>
    <cellStyle name="常规 4 2 2 3 4 2" xfId="40024" xr:uid="{00000000-0005-0000-0000-0000589C0000}"/>
    <cellStyle name="常规 4 2 2 3 4 2 2" xfId="40025" xr:uid="{00000000-0005-0000-0000-0000599C0000}"/>
    <cellStyle name="常规 4 2 2 3 5" xfId="40026" xr:uid="{00000000-0005-0000-0000-00005A9C0000}"/>
    <cellStyle name="常规 4 2 2 3 5 2" xfId="40027" xr:uid="{00000000-0005-0000-0000-00005B9C0000}"/>
    <cellStyle name="常规 4 2 2 3 5 2 2" xfId="40028" xr:uid="{00000000-0005-0000-0000-00005C9C0000}"/>
    <cellStyle name="常规 4 2 2 3 6" xfId="40029" xr:uid="{00000000-0005-0000-0000-00005D9C0000}"/>
    <cellStyle name="常规 4 2 2 3 7" xfId="40030" xr:uid="{00000000-0005-0000-0000-00005E9C0000}"/>
    <cellStyle name="常规 4 2 2 3 7 2" xfId="40031" xr:uid="{00000000-0005-0000-0000-00005F9C0000}"/>
    <cellStyle name="常规 4 2 2 3 7 3" xfId="40032" xr:uid="{00000000-0005-0000-0000-0000609C0000}"/>
    <cellStyle name="常规 4 2 2 3 8" xfId="40033" xr:uid="{00000000-0005-0000-0000-0000619C0000}"/>
    <cellStyle name="常规 4 2 2 3 8 2" xfId="40034" xr:uid="{00000000-0005-0000-0000-0000629C0000}"/>
    <cellStyle name="常规 4 2 2 4" xfId="40035" xr:uid="{00000000-0005-0000-0000-0000639C0000}"/>
    <cellStyle name="常规 4 2 2 4 2" xfId="40036" xr:uid="{00000000-0005-0000-0000-0000649C0000}"/>
    <cellStyle name="常规 4 2 2 4 2 2" xfId="40037" xr:uid="{00000000-0005-0000-0000-0000659C0000}"/>
    <cellStyle name="常规 4 2 2 4 2 2 2" xfId="40038" xr:uid="{00000000-0005-0000-0000-0000669C0000}"/>
    <cellStyle name="常规 4 2 2 4 3" xfId="40039" xr:uid="{00000000-0005-0000-0000-0000679C0000}"/>
    <cellStyle name="常规 4 2 2 4 3 2" xfId="40040" xr:uid="{00000000-0005-0000-0000-0000689C0000}"/>
    <cellStyle name="常规 4 2 2 4 3 2 2" xfId="40041" xr:uid="{00000000-0005-0000-0000-0000699C0000}"/>
    <cellStyle name="常规 4 2 2 4 4" xfId="40042" xr:uid="{00000000-0005-0000-0000-00006A9C0000}"/>
    <cellStyle name="常规 4 2 2 4 4 2" xfId="40043" xr:uid="{00000000-0005-0000-0000-00006B9C0000}"/>
    <cellStyle name="常规 4 2 2 4 4 2 2" xfId="40044" xr:uid="{00000000-0005-0000-0000-00006C9C0000}"/>
    <cellStyle name="常规 4 2 2 4 5" xfId="40045" xr:uid="{00000000-0005-0000-0000-00006D9C0000}"/>
    <cellStyle name="常规 4 2 2 4 5 2" xfId="40046" xr:uid="{00000000-0005-0000-0000-00006E9C0000}"/>
    <cellStyle name="常规 4 2 2 4 5 3" xfId="40047" xr:uid="{00000000-0005-0000-0000-00006F9C0000}"/>
    <cellStyle name="常规 4 2 2 4 6" xfId="40048" xr:uid="{00000000-0005-0000-0000-0000709C0000}"/>
    <cellStyle name="常规 4 2 2 5" xfId="40049" xr:uid="{00000000-0005-0000-0000-0000719C0000}"/>
    <cellStyle name="常规 4 2 2 5 2" xfId="40050" xr:uid="{00000000-0005-0000-0000-0000729C0000}"/>
    <cellStyle name="常规 4 2 2 5 2 2" xfId="40051" xr:uid="{00000000-0005-0000-0000-0000739C0000}"/>
    <cellStyle name="常规 4 2 2 6" xfId="40052" xr:uid="{00000000-0005-0000-0000-0000749C0000}"/>
    <cellStyle name="常规 4 2 2 6 2" xfId="40053" xr:uid="{00000000-0005-0000-0000-0000759C0000}"/>
    <cellStyle name="常规 4 2 2 6 2 2" xfId="40054" xr:uid="{00000000-0005-0000-0000-0000769C0000}"/>
    <cellStyle name="常规 4 2 2 7" xfId="40055" xr:uid="{00000000-0005-0000-0000-0000779C0000}"/>
    <cellStyle name="常规 4 2 2 7 2" xfId="40056" xr:uid="{00000000-0005-0000-0000-0000789C0000}"/>
    <cellStyle name="常规 4 2 2 7 2 2" xfId="40057" xr:uid="{00000000-0005-0000-0000-0000799C0000}"/>
    <cellStyle name="常规 4 2 2 8" xfId="40058" xr:uid="{00000000-0005-0000-0000-00007A9C0000}"/>
    <cellStyle name="常规 4 2 2 9" xfId="40059" xr:uid="{00000000-0005-0000-0000-00007B9C0000}"/>
    <cellStyle name="常规 4 2 2 9 2" xfId="40060" xr:uid="{00000000-0005-0000-0000-00007C9C0000}"/>
    <cellStyle name="常规 4 2 2 9 3" xfId="40061" xr:uid="{00000000-0005-0000-0000-00007D9C0000}"/>
    <cellStyle name="常规 4 2 3" xfId="40062" xr:uid="{00000000-0005-0000-0000-00007E9C0000}"/>
    <cellStyle name="常规 4 2 3 2" xfId="40063" xr:uid="{00000000-0005-0000-0000-00007F9C0000}"/>
    <cellStyle name="常规 4 2 3 2 2" xfId="40064" xr:uid="{00000000-0005-0000-0000-0000809C0000}"/>
    <cellStyle name="常规 4 2 3 2 2 2" xfId="40065" xr:uid="{00000000-0005-0000-0000-0000819C0000}"/>
    <cellStyle name="常规 4 2 3 2 2 3" xfId="40066" xr:uid="{00000000-0005-0000-0000-0000829C0000}"/>
    <cellStyle name="常规 4 2 3 2 2 4" xfId="40067" xr:uid="{00000000-0005-0000-0000-0000839C0000}"/>
    <cellStyle name="常规 4 2 3 2 2 5" xfId="40068" xr:uid="{00000000-0005-0000-0000-0000849C0000}"/>
    <cellStyle name="常规 4 2 3 2 2 5 2" xfId="40069" xr:uid="{00000000-0005-0000-0000-0000859C0000}"/>
    <cellStyle name="常规 4 2 3 2 3" xfId="40070" xr:uid="{00000000-0005-0000-0000-0000869C0000}"/>
    <cellStyle name="常规 4 2 3 2 3 2" xfId="40071" xr:uid="{00000000-0005-0000-0000-0000879C0000}"/>
    <cellStyle name="常规 4 2 3 2 3 2 2" xfId="40072" xr:uid="{00000000-0005-0000-0000-0000889C0000}"/>
    <cellStyle name="常规 4 2 3 2 4" xfId="40073" xr:uid="{00000000-0005-0000-0000-0000899C0000}"/>
    <cellStyle name="常规 4 2 3 2 4 2" xfId="40074" xr:uid="{00000000-0005-0000-0000-00008A9C0000}"/>
    <cellStyle name="常规 4 2 3 2 4 2 2" xfId="40075" xr:uid="{00000000-0005-0000-0000-00008B9C0000}"/>
    <cellStyle name="常规 4 2 3 2 5" xfId="40076" xr:uid="{00000000-0005-0000-0000-00008C9C0000}"/>
    <cellStyle name="常规 4 2 3 2 5 2" xfId="40077" xr:uid="{00000000-0005-0000-0000-00008D9C0000}"/>
    <cellStyle name="常规 4 2 3 2 5 3" xfId="40078" xr:uid="{00000000-0005-0000-0000-00008E9C0000}"/>
    <cellStyle name="常规 4 2 3 2 6" xfId="40079" xr:uid="{00000000-0005-0000-0000-00008F9C0000}"/>
    <cellStyle name="常规 4 2 3 2 6 2" xfId="40080" xr:uid="{00000000-0005-0000-0000-0000909C0000}"/>
    <cellStyle name="常规 4 2 3 2 7" xfId="40081" xr:uid="{00000000-0005-0000-0000-0000919C0000}"/>
    <cellStyle name="常规 4 2 3 3" xfId="40082" xr:uid="{00000000-0005-0000-0000-0000929C0000}"/>
    <cellStyle name="常规 4 2 3 3 2" xfId="40083" xr:uid="{00000000-0005-0000-0000-0000939C0000}"/>
    <cellStyle name="常规 4 2 3 3 2 2" xfId="40084" xr:uid="{00000000-0005-0000-0000-0000949C0000}"/>
    <cellStyle name="常规 4 2 3 3 2 2 2" xfId="40085" xr:uid="{00000000-0005-0000-0000-0000959C0000}"/>
    <cellStyle name="常规 4 2 3 3 2 3" xfId="40086" xr:uid="{00000000-0005-0000-0000-0000969C0000}"/>
    <cellStyle name="常规 4 2 3 3 2 4" xfId="40087" xr:uid="{00000000-0005-0000-0000-0000979C0000}"/>
    <cellStyle name="常规 4 2 3 3 2 5" xfId="40088" xr:uid="{00000000-0005-0000-0000-0000989C0000}"/>
    <cellStyle name="常规 4 2 3 3 2 5 2" xfId="40089" xr:uid="{00000000-0005-0000-0000-0000999C0000}"/>
    <cellStyle name="常规 4 2 3 3 2 6" xfId="40090" xr:uid="{00000000-0005-0000-0000-00009A9C0000}"/>
    <cellStyle name="常规 4 2 3 3 3" xfId="40091" xr:uid="{00000000-0005-0000-0000-00009B9C0000}"/>
    <cellStyle name="常规 4 2 3 3 3 2" xfId="40092" xr:uid="{00000000-0005-0000-0000-00009C9C0000}"/>
    <cellStyle name="常规 4 2 3 3 3 2 2" xfId="40093" xr:uid="{00000000-0005-0000-0000-00009D9C0000}"/>
    <cellStyle name="常规 4 2 3 3 4" xfId="40094" xr:uid="{00000000-0005-0000-0000-00009E9C0000}"/>
    <cellStyle name="常规 4 2 3 3 4 2" xfId="40095" xr:uid="{00000000-0005-0000-0000-00009F9C0000}"/>
    <cellStyle name="常规 4 2 3 3 4 3" xfId="40096" xr:uid="{00000000-0005-0000-0000-0000A09C0000}"/>
    <cellStyle name="常规 4 2 3 3 5" xfId="40097" xr:uid="{00000000-0005-0000-0000-0000A19C0000}"/>
    <cellStyle name="常规 4 2 3 3 5 2" xfId="40098" xr:uid="{00000000-0005-0000-0000-0000A29C0000}"/>
    <cellStyle name="常规 4 2 3 3 6" xfId="40099" xr:uid="{00000000-0005-0000-0000-0000A39C0000}"/>
    <cellStyle name="常规 4 2 3 3 6 2" xfId="40100" xr:uid="{00000000-0005-0000-0000-0000A49C0000}"/>
    <cellStyle name="常规 4 2 3 3 7" xfId="40101" xr:uid="{00000000-0005-0000-0000-0000A59C0000}"/>
    <cellStyle name="常规 4 2 3 4" xfId="40102" xr:uid="{00000000-0005-0000-0000-0000A69C0000}"/>
    <cellStyle name="常规 4 2 3 4 2" xfId="40103" xr:uid="{00000000-0005-0000-0000-0000A79C0000}"/>
    <cellStyle name="常规 4 2 3 4 3" xfId="40104" xr:uid="{00000000-0005-0000-0000-0000A89C0000}"/>
    <cellStyle name="常规 4 2 3 4 4" xfId="40105" xr:uid="{00000000-0005-0000-0000-0000A99C0000}"/>
    <cellStyle name="常规 4 2 3 4 5" xfId="40106" xr:uid="{00000000-0005-0000-0000-0000AA9C0000}"/>
    <cellStyle name="常规 4 2 3 4 5 2" xfId="40107" xr:uid="{00000000-0005-0000-0000-0000AB9C0000}"/>
    <cellStyle name="常规 4 2 3 5" xfId="40108" xr:uid="{00000000-0005-0000-0000-0000AC9C0000}"/>
    <cellStyle name="常规 4 2 3 5 2" xfId="40109" xr:uid="{00000000-0005-0000-0000-0000AD9C0000}"/>
    <cellStyle name="常规 4 2 3 5 2 2" xfId="40110" xr:uid="{00000000-0005-0000-0000-0000AE9C0000}"/>
    <cellStyle name="常规 4 2 3 6" xfId="40111" xr:uid="{00000000-0005-0000-0000-0000AF9C0000}"/>
    <cellStyle name="常规 4 2 3 6 2" xfId="40112" xr:uid="{00000000-0005-0000-0000-0000B09C0000}"/>
    <cellStyle name="常规 4 2 3 6 2 2" xfId="40113" xr:uid="{00000000-0005-0000-0000-0000B19C0000}"/>
    <cellStyle name="常规 4 2 3 7" xfId="40114" xr:uid="{00000000-0005-0000-0000-0000B29C0000}"/>
    <cellStyle name="常规 4 2 3 7 2" xfId="40115" xr:uid="{00000000-0005-0000-0000-0000B39C0000}"/>
    <cellStyle name="常规 4 2 3 7 2 2" xfId="40116" xr:uid="{00000000-0005-0000-0000-0000B49C0000}"/>
    <cellStyle name="常规 4 2 3 8" xfId="40117" xr:uid="{00000000-0005-0000-0000-0000B59C0000}"/>
    <cellStyle name="常规 4 2 3 8 2" xfId="40118" xr:uid="{00000000-0005-0000-0000-0000B69C0000}"/>
    <cellStyle name="常规 4 2 3 8 3" xfId="40119" xr:uid="{00000000-0005-0000-0000-0000B79C0000}"/>
    <cellStyle name="常规 4 2 3 9" xfId="40120" xr:uid="{00000000-0005-0000-0000-0000B89C0000}"/>
    <cellStyle name="常规 4 2 4" xfId="40121" xr:uid="{00000000-0005-0000-0000-0000B99C0000}"/>
    <cellStyle name="常规 4 2 4 10" xfId="40122" xr:uid="{00000000-0005-0000-0000-0000BA9C0000}"/>
    <cellStyle name="常规 4 2 4 2" xfId="40123" xr:uid="{00000000-0005-0000-0000-0000BB9C0000}"/>
    <cellStyle name="常规 4 2 4 2 2" xfId="40124" xr:uid="{00000000-0005-0000-0000-0000BC9C0000}"/>
    <cellStyle name="常规 4 2 4 2 2 2" xfId="40125" xr:uid="{00000000-0005-0000-0000-0000BD9C0000}"/>
    <cellStyle name="常规 4 2 4 2 2 2 2" xfId="40126" xr:uid="{00000000-0005-0000-0000-0000BE9C0000}"/>
    <cellStyle name="常规 4 2 4 2 2 2 3" xfId="40127" xr:uid="{00000000-0005-0000-0000-0000BF9C0000}"/>
    <cellStyle name="常规 4 2 4 2 2 2 4" xfId="40128" xr:uid="{00000000-0005-0000-0000-0000C09C0000}"/>
    <cellStyle name="常规 4 2 4 2 2 3" xfId="40129" xr:uid="{00000000-0005-0000-0000-0000C19C0000}"/>
    <cellStyle name="常规 4 2 4 2 2 4" xfId="40130" xr:uid="{00000000-0005-0000-0000-0000C29C0000}"/>
    <cellStyle name="常规 4 2 4 2 2 5" xfId="40131" xr:uid="{00000000-0005-0000-0000-0000C39C0000}"/>
    <cellStyle name="常规 4 2 4 2 2 6" xfId="40132" xr:uid="{00000000-0005-0000-0000-0000C49C0000}"/>
    <cellStyle name="常规 4 2 4 2 2 6 2" xfId="40133" xr:uid="{00000000-0005-0000-0000-0000C59C0000}"/>
    <cellStyle name="常规 4 2 4 2 3" xfId="40134" xr:uid="{00000000-0005-0000-0000-0000C69C0000}"/>
    <cellStyle name="常规 4 2 4 2 3 2" xfId="40135" xr:uid="{00000000-0005-0000-0000-0000C79C0000}"/>
    <cellStyle name="常规 4 2 4 2 3 2 2" xfId="40136" xr:uid="{00000000-0005-0000-0000-0000C89C0000}"/>
    <cellStyle name="常规 4 2 4 2 3 2 3" xfId="40137" xr:uid="{00000000-0005-0000-0000-0000C99C0000}"/>
    <cellStyle name="常规 4 2 4 2 3 2 4" xfId="40138" xr:uid="{00000000-0005-0000-0000-0000CA9C0000}"/>
    <cellStyle name="常规 4 2 4 2 3 3" xfId="40139" xr:uid="{00000000-0005-0000-0000-0000CB9C0000}"/>
    <cellStyle name="常规 4 2 4 2 3 4" xfId="40140" xr:uid="{00000000-0005-0000-0000-0000CC9C0000}"/>
    <cellStyle name="常规 4 2 4 2 3 5" xfId="40141" xr:uid="{00000000-0005-0000-0000-0000CD9C0000}"/>
    <cellStyle name="常规 4 2 4 2 3 6" xfId="40142" xr:uid="{00000000-0005-0000-0000-0000CE9C0000}"/>
    <cellStyle name="常规 4 2 4 2 3 6 2" xfId="40143" xr:uid="{00000000-0005-0000-0000-0000CF9C0000}"/>
    <cellStyle name="常规 4 2 4 2 4" xfId="40144" xr:uid="{00000000-0005-0000-0000-0000D09C0000}"/>
    <cellStyle name="常规 4 2 4 2 4 2" xfId="40145" xr:uid="{00000000-0005-0000-0000-0000D19C0000}"/>
    <cellStyle name="常规 4 2 4 2 4 2 2" xfId="40146" xr:uid="{00000000-0005-0000-0000-0000D29C0000}"/>
    <cellStyle name="常规 4 2 4 2 4 3" xfId="40147" xr:uid="{00000000-0005-0000-0000-0000D39C0000}"/>
    <cellStyle name="常规 4 2 4 2 4 4" xfId="40148" xr:uid="{00000000-0005-0000-0000-0000D49C0000}"/>
    <cellStyle name="常规 4 2 4 2 4 5" xfId="40149" xr:uid="{00000000-0005-0000-0000-0000D59C0000}"/>
    <cellStyle name="常规 4 2 4 2 5" xfId="40150" xr:uid="{00000000-0005-0000-0000-0000D69C0000}"/>
    <cellStyle name="常规 4 2 4 2 5 2" xfId="40151" xr:uid="{00000000-0005-0000-0000-0000D79C0000}"/>
    <cellStyle name="常规 4 2 4 2 5 3" xfId="40152" xr:uid="{00000000-0005-0000-0000-0000D89C0000}"/>
    <cellStyle name="常规 4 2 4 2 6" xfId="40153" xr:uid="{00000000-0005-0000-0000-0000D99C0000}"/>
    <cellStyle name="常规 4 2 4 2 7" xfId="40154" xr:uid="{00000000-0005-0000-0000-0000DA9C0000}"/>
    <cellStyle name="常规 4 2 4 2 8" xfId="40155" xr:uid="{00000000-0005-0000-0000-0000DB9C0000}"/>
    <cellStyle name="常规 4 2 4 2 8 2" xfId="40156" xr:uid="{00000000-0005-0000-0000-0000DC9C0000}"/>
    <cellStyle name="常规 4 2 4 2 9" xfId="40157" xr:uid="{00000000-0005-0000-0000-0000DD9C0000}"/>
    <cellStyle name="常规 4 2 4 3" xfId="40158" xr:uid="{00000000-0005-0000-0000-0000DE9C0000}"/>
    <cellStyle name="常规 4 2 4 3 2" xfId="40159" xr:uid="{00000000-0005-0000-0000-0000DF9C0000}"/>
    <cellStyle name="常规 4 2 4 3 2 2" xfId="40160" xr:uid="{00000000-0005-0000-0000-0000E09C0000}"/>
    <cellStyle name="常规 4 2 4 3 2 3" xfId="40161" xr:uid="{00000000-0005-0000-0000-0000E19C0000}"/>
    <cellStyle name="常规 4 2 4 3 2 4" xfId="40162" xr:uid="{00000000-0005-0000-0000-0000E29C0000}"/>
    <cellStyle name="常规 4 2 4 3 3" xfId="40163" xr:uid="{00000000-0005-0000-0000-0000E39C0000}"/>
    <cellStyle name="常规 4 2 4 3 4" xfId="40164" xr:uid="{00000000-0005-0000-0000-0000E49C0000}"/>
    <cellStyle name="常规 4 2 4 3 5" xfId="40165" xr:uid="{00000000-0005-0000-0000-0000E59C0000}"/>
    <cellStyle name="常规 4 2 4 3 6" xfId="40166" xr:uid="{00000000-0005-0000-0000-0000E69C0000}"/>
    <cellStyle name="常规 4 2 4 3 6 2" xfId="40167" xr:uid="{00000000-0005-0000-0000-0000E79C0000}"/>
    <cellStyle name="常规 4 2 4 4" xfId="40168" xr:uid="{00000000-0005-0000-0000-0000E89C0000}"/>
    <cellStyle name="常规 4 2 4 4 2" xfId="40169" xr:uid="{00000000-0005-0000-0000-0000E99C0000}"/>
    <cellStyle name="常规 4 2 4 4 2 2" xfId="40170" xr:uid="{00000000-0005-0000-0000-0000EA9C0000}"/>
    <cellStyle name="常规 4 2 4 4 2 3" xfId="40171" xr:uid="{00000000-0005-0000-0000-0000EB9C0000}"/>
    <cellStyle name="常规 4 2 4 4 2 4" xfId="40172" xr:uid="{00000000-0005-0000-0000-0000EC9C0000}"/>
    <cellStyle name="常规 4 2 4 4 3" xfId="40173" xr:uid="{00000000-0005-0000-0000-0000ED9C0000}"/>
    <cellStyle name="常规 4 2 4 4 4" xfId="40174" xr:uid="{00000000-0005-0000-0000-0000EE9C0000}"/>
    <cellStyle name="常规 4 2 4 4 5" xfId="40175" xr:uid="{00000000-0005-0000-0000-0000EF9C0000}"/>
    <cellStyle name="常规 4 2 4 4 6" xfId="40176" xr:uid="{00000000-0005-0000-0000-0000F09C0000}"/>
    <cellStyle name="常规 4 2 4 4 6 2" xfId="40177" xr:uid="{00000000-0005-0000-0000-0000F19C0000}"/>
    <cellStyle name="常规 4 2 4 5" xfId="40178" xr:uid="{00000000-0005-0000-0000-0000F29C0000}"/>
    <cellStyle name="常规 4 2 4 5 2" xfId="40179" xr:uid="{00000000-0005-0000-0000-0000F39C0000}"/>
    <cellStyle name="常规 4 2 4 5 3" xfId="40180" xr:uid="{00000000-0005-0000-0000-0000F49C0000}"/>
    <cellStyle name="常规 4 2 4 5 4" xfId="40181" xr:uid="{00000000-0005-0000-0000-0000F59C0000}"/>
    <cellStyle name="常规 4 2 4 5 5" xfId="40182" xr:uid="{00000000-0005-0000-0000-0000F69C0000}"/>
    <cellStyle name="常规 4 2 4 5 5 2" xfId="40183" xr:uid="{00000000-0005-0000-0000-0000F79C0000}"/>
    <cellStyle name="常规 4 2 4 6" xfId="40184" xr:uid="{00000000-0005-0000-0000-0000F89C0000}"/>
    <cellStyle name="常规 4 2 4 6 2" xfId="40185" xr:uid="{00000000-0005-0000-0000-0000F99C0000}"/>
    <cellStyle name="常规 4 2 4 6 2 2" xfId="40186" xr:uid="{00000000-0005-0000-0000-0000FA9C0000}"/>
    <cellStyle name="常规 4 2 4 7" xfId="40187" xr:uid="{00000000-0005-0000-0000-0000FB9C0000}"/>
    <cellStyle name="常规 4 2 4 7 2" xfId="40188" xr:uid="{00000000-0005-0000-0000-0000FC9C0000}"/>
    <cellStyle name="常规 4 2 4 7 2 2" xfId="40189" xr:uid="{00000000-0005-0000-0000-0000FD9C0000}"/>
    <cellStyle name="常规 4 2 4 8" xfId="40190" xr:uid="{00000000-0005-0000-0000-0000FE9C0000}"/>
    <cellStyle name="常规 4 2 4 8 2" xfId="40191" xr:uid="{00000000-0005-0000-0000-0000FF9C0000}"/>
    <cellStyle name="常规 4 2 4 8 3" xfId="40192" xr:uid="{00000000-0005-0000-0000-0000009D0000}"/>
    <cellStyle name="常规 4 2 4 9" xfId="40193" xr:uid="{00000000-0005-0000-0000-0000019D0000}"/>
    <cellStyle name="常规 4 2 4 9 2" xfId="40194" xr:uid="{00000000-0005-0000-0000-0000029D0000}"/>
    <cellStyle name="常规 4 2 5" xfId="40195" xr:uid="{00000000-0005-0000-0000-0000039D0000}"/>
    <cellStyle name="常规 4 2 5 2" xfId="40196" xr:uid="{00000000-0005-0000-0000-0000049D0000}"/>
    <cellStyle name="常规 4 2 5 2 2" xfId="40197" xr:uid="{00000000-0005-0000-0000-0000059D0000}"/>
    <cellStyle name="常规 4 2 5 2 2 2" xfId="40198" xr:uid="{00000000-0005-0000-0000-0000069D0000}"/>
    <cellStyle name="常规 4 2 5 2 2 2 2" xfId="40199" xr:uid="{00000000-0005-0000-0000-0000079D0000}"/>
    <cellStyle name="常规 4 2 5 2 2 3" xfId="40200" xr:uid="{00000000-0005-0000-0000-0000089D0000}"/>
    <cellStyle name="常规 4 2 5 2 3" xfId="40201" xr:uid="{00000000-0005-0000-0000-0000099D0000}"/>
    <cellStyle name="常规 4 2 5 2 3 2" xfId="40202" xr:uid="{00000000-0005-0000-0000-00000A9D0000}"/>
    <cellStyle name="常规 4 2 5 2 3 2 2" xfId="40203" xr:uid="{00000000-0005-0000-0000-00000B9D0000}"/>
    <cellStyle name="常规 4 2 5 2 4" xfId="40204" xr:uid="{00000000-0005-0000-0000-00000C9D0000}"/>
    <cellStyle name="常规 4 2 5 2 4 2" xfId="40205" xr:uid="{00000000-0005-0000-0000-00000D9D0000}"/>
    <cellStyle name="常规 4 2 5 2 4 3" xfId="40206" xr:uid="{00000000-0005-0000-0000-00000E9D0000}"/>
    <cellStyle name="常规 4 2 5 2 5" xfId="40207" xr:uid="{00000000-0005-0000-0000-00000F9D0000}"/>
    <cellStyle name="常规 4 2 5 2 5 2" xfId="40208" xr:uid="{00000000-0005-0000-0000-0000109D0000}"/>
    <cellStyle name="常规 4 2 5 2 6" xfId="40209" xr:uid="{00000000-0005-0000-0000-0000119D0000}"/>
    <cellStyle name="常规 4 2 5 3" xfId="40210" xr:uid="{00000000-0005-0000-0000-0000129D0000}"/>
    <cellStyle name="常规 4 2 5 3 2" xfId="40211" xr:uid="{00000000-0005-0000-0000-0000139D0000}"/>
    <cellStyle name="常规 4 2 5 3 2 2" xfId="40212" xr:uid="{00000000-0005-0000-0000-0000149D0000}"/>
    <cellStyle name="常规 4 2 5 4" xfId="40213" xr:uid="{00000000-0005-0000-0000-0000159D0000}"/>
    <cellStyle name="常规 4 2 5 4 2" xfId="40214" xr:uid="{00000000-0005-0000-0000-0000169D0000}"/>
    <cellStyle name="常规 4 2 5 4 2 2" xfId="40215" xr:uid="{00000000-0005-0000-0000-0000179D0000}"/>
    <cellStyle name="常规 4 2 5 5" xfId="40216" xr:uid="{00000000-0005-0000-0000-0000189D0000}"/>
    <cellStyle name="常规 4 2 5 5 2" xfId="40217" xr:uid="{00000000-0005-0000-0000-0000199D0000}"/>
    <cellStyle name="常规 4 2 5 5 3" xfId="40218" xr:uid="{00000000-0005-0000-0000-00001A9D0000}"/>
    <cellStyle name="常规 4 2 5 6" xfId="40219" xr:uid="{00000000-0005-0000-0000-00001B9D0000}"/>
    <cellStyle name="常规 4 2 5 6 2" xfId="40220" xr:uid="{00000000-0005-0000-0000-00001C9D0000}"/>
    <cellStyle name="常规 4 2 5 7" xfId="40221" xr:uid="{00000000-0005-0000-0000-00001D9D0000}"/>
    <cellStyle name="常规 4 2 6" xfId="40222" xr:uid="{00000000-0005-0000-0000-00001E9D0000}"/>
    <cellStyle name="常规 4 2 6 2" xfId="40223" xr:uid="{00000000-0005-0000-0000-00001F9D0000}"/>
    <cellStyle name="常规 4 2 6 2 2" xfId="40224" xr:uid="{00000000-0005-0000-0000-0000209D0000}"/>
    <cellStyle name="常规 4 2 6 2 2 2" xfId="40225" xr:uid="{00000000-0005-0000-0000-0000219D0000}"/>
    <cellStyle name="常规 4 2 6 2 2 2 2" xfId="40226" xr:uid="{00000000-0005-0000-0000-0000229D0000}"/>
    <cellStyle name="常规 4 2 6 2 2 3" xfId="40227" xr:uid="{00000000-0005-0000-0000-0000239D0000}"/>
    <cellStyle name="常规 4 2 6 2 3" xfId="40228" xr:uid="{00000000-0005-0000-0000-0000249D0000}"/>
    <cellStyle name="常规 4 2 6 2 3 2" xfId="40229" xr:uid="{00000000-0005-0000-0000-0000259D0000}"/>
    <cellStyle name="常规 4 2 6 2 3 2 2" xfId="40230" xr:uid="{00000000-0005-0000-0000-0000269D0000}"/>
    <cellStyle name="常规 4 2 6 2 4" xfId="40231" xr:uid="{00000000-0005-0000-0000-0000279D0000}"/>
    <cellStyle name="常规 4 2 6 2 4 2" xfId="40232" xr:uid="{00000000-0005-0000-0000-0000289D0000}"/>
    <cellStyle name="常规 4 2 6 2 4 3" xfId="40233" xr:uid="{00000000-0005-0000-0000-0000299D0000}"/>
    <cellStyle name="常规 4 2 6 2 5" xfId="40234" xr:uid="{00000000-0005-0000-0000-00002A9D0000}"/>
    <cellStyle name="常规 4 2 6 2 5 2" xfId="40235" xr:uid="{00000000-0005-0000-0000-00002B9D0000}"/>
    <cellStyle name="常规 4 2 6 2 6" xfId="40236" xr:uid="{00000000-0005-0000-0000-00002C9D0000}"/>
    <cellStyle name="常规 4 2 6 3" xfId="40237" xr:uid="{00000000-0005-0000-0000-00002D9D0000}"/>
    <cellStyle name="常规 4 2 6 3 2" xfId="40238" xr:uid="{00000000-0005-0000-0000-00002E9D0000}"/>
    <cellStyle name="常规 4 2 6 3 2 2" xfId="40239" xr:uid="{00000000-0005-0000-0000-00002F9D0000}"/>
    <cellStyle name="常规 4 2 6 3 3" xfId="40240" xr:uid="{00000000-0005-0000-0000-0000309D0000}"/>
    <cellStyle name="常规 4 2 6 4" xfId="40241" xr:uid="{00000000-0005-0000-0000-0000319D0000}"/>
    <cellStyle name="常规 4 2 6 4 2" xfId="40242" xr:uid="{00000000-0005-0000-0000-0000329D0000}"/>
    <cellStyle name="常规 4 2 6 4 2 2" xfId="40243" xr:uid="{00000000-0005-0000-0000-0000339D0000}"/>
    <cellStyle name="常规 4 2 6 5" xfId="40244" xr:uid="{00000000-0005-0000-0000-0000349D0000}"/>
    <cellStyle name="常规 4 2 6 5 2" xfId="40245" xr:uid="{00000000-0005-0000-0000-0000359D0000}"/>
    <cellStyle name="常规 4 2 6 5 3" xfId="40246" xr:uid="{00000000-0005-0000-0000-0000369D0000}"/>
    <cellStyle name="常规 4 2 6 6" xfId="40247" xr:uid="{00000000-0005-0000-0000-0000379D0000}"/>
    <cellStyle name="常规 4 2 6 6 2" xfId="40248" xr:uid="{00000000-0005-0000-0000-0000389D0000}"/>
    <cellStyle name="常规 4 2 6 7" xfId="40249" xr:uid="{00000000-0005-0000-0000-0000399D0000}"/>
    <cellStyle name="常规 4 2 7" xfId="40250" xr:uid="{00000000-0005-0000-0000-00003A9D0000}"/>
    <cellStyle name="常规 4 2 7 2" xfId="40251" xr:uid="{00000000-0005-0000-0000-00003B9D0000}"/>
    <cellStyle name="常规 4 2 7 2 2" xfId="40252" xr:uid="{00000000-0005-0000-0000-00003C9D0000}"/>
    <cellStyle name="常规 4 2 7 2 2 2" xfId="40253" xr:uid="{00000000-0005-0000-0000-00003D9D0000}"/>
    <cellStyle name="常规 4 2 7 2 2 2 2" xfId="40254" xr:uid="{00000000-0005-0000-0000-00003E9D0000}"/>
    <cellStyle name="常规 4 2 7 2 3" xfId="40255" xr:uid="{00000000-0005-0000-0000-00003F9D0000}"/>
    <cellStyle name="常规 4 2 7 2 3 2" xfId="40256" xr:uid="{00000000-0005-0000-0000-0000409D0000}"/>
    <cellStyle name="常规 4 2 7 2 3 2 2" xfId="40257" xr:uid="{00000000-0005-0000-0000-0000419D0000}"/>
    <cellStyle name="常规 4 2 7 2 4" xfId="40258" xr:uid="{00000000-0005-0000-0000-0000429D0000}"/>
    <cellStyle name="常规 4 2 7 2 4 2" xfId="40259" xr:uid="{00000000-0005-0000-0000-0000439D0000}"/>
    <cellStyle name="常规 4 2 7 2 5" xfId="40260" xr:uid="{00000000-0005-0000-0000-0000449D0000}"/>
    <cellStyle name="常规 4 2 7 3" xfId="40261" xr:uid="{00000000-0005-0000-0000-0000459D0000}"/>
    <cellStyle name="常规 4 2 7 3 2" xfId="40262" xr:uid="{00000000-0005-0000-0000-0000469D0000}"/>
    <cellStyle name="常规 4 2 7 3 2 2" xfId="40263" xr:uid="{00000000-0005-0000-0000-0000479D0000}"/>
    <cellStyle name="常规 4 2 7 3 3" xfId="40264" xr:uid="{00000000-0005-0000-0000-0000489D0000}"/>
    <cellStyle name="常规 4 2 7 4" xfId="40265" xr:uid="{00000000-0005-0000-0000-0000499D0000}"/>
    <cellStyle name="常规 4 2 7 4 2" xfId="40266" xr:uid="{00000000-0005-0000-0000-00004A9D0000}"/>
    <cellStyle name="常规 4 2 7 4 2 2" xfId="40267" xr:uid="{00000000-0005-0000-0000-00004B9D0000}"/>
    <cellStyle name="常规 4 2 7 5" xfId="40268" xr:uid="{00000000-0005-0000-0000-00004C9D0000}"/>
    <cellStyle name="常规 4 2 7 5 2" xfId="40269" xr:uid="{00000000-0005-0000-0000-00004D9D0000}"/>
    <cellStyle name="常规 4 2 7 5 3" xfId="40270" xr:uid="{00000000-0005-0000-0000-00004E9D0000}"/>
    <cellStyle name="常规 4 2 7 6" xfId="40271" xr:uid="{00000000-0005-0000-0000-00004F9D0000}"/>
    <cellStyle name="常规 4 2 7 6 2" xfId="40272" xr:uid="{00000000-0005-0000-0000-0000509D0000}"/>
    <cellStyle name="常规 4 2 8" xfId="40273" xr:uid="{00000000-0005-0000-0000-0000519D0000}"/>
    <cellStyle name="常规 4 2 8 2" xfId="40274" xr:uid="{00000000-0005-0000-0000-0000529D0000}"/>
    <cellStyle name="常规 4 2 8 2 2" xfId="40275" xr:uid="{00000000-0005-0000-0000-0000539D0000}"/>
    <cellStyle name="常规 4 2 8 2 2 2" xfId="40276" xr:uid="{00000000-0005-0000-0000-0000549D0000}"/>
    <cellStyle name="常规 4 2 8 3" xfId="40277" xr:uid="{00000000-0005-0000-0000-0000559D0000}"/>
    <cellStyle name="常规 4 2 8 3 2" xfId="40278" xr:uid="{00000000-0005-0000-0000-0000569D0000}"/>
    <cellStyle name="常规 4 2 8 3 2 2" xfId="40279" xr:uid="{00000000-0005-0000-0000-0000579D0000}"/>
    <cellStyle name="常规 4 2 8 4" xfId="40280" xr:uid="{00000000-0005-0000-0000-0000589D0000}"/>
    <cellStyle name="常规 4 2 8 4 2" xfId="40281" xr:uid="{00000000-0005-0000-0000-0000599D0000}"/>
    <cellStyle name="常规 4 2 8 5" xfId="40282" xr:uid="{00000000-0005-0000-0000-00005A9D0000}"/>
    <cellStyle name="常规 4 2 9" xfId="40283" xr:uid="{00000000-0005-0000-0000-00005B9D0000}"/>
    <cellStyle name="常规 4 2 9 2" xfId="40284" xr:uid="{00000000-0005-0000-0000-00005C9D0000}"/>
    <cellStyle name="常规 4 2 9 2 2" xfId="40285" xr:uid="{00000000-0005-0000-0000-00005D9D0000}"/>
    <cellStyle name="常规 4 3" xfId="40286" xr:uid="{00000000-0005-0000-0000-00005E9D0000}"/>
    <cellStyle name="常规 4 3 10" xfId="40287" xr:uid="{00000000-0005-0000-0000-00005F9D0000}"/>
    <cellStyle name="常规 4 3 10 2" xfId="40288" xr:uid="{00000000-0005-0000-0000-0000609D0000}"/>
    <cellStyle name="常规 4 3 10 3" xfId="40289" xr:uid="{00000000-0005-0000-0000-0000619D0000}"/>
    <cellStyle name="常规 4 3 10 4" xfId="40290" xr:uid="{00000000-0005-0000-0000-0000629D0000}"/>
    <cellStyle name="常规 4 3 11" xfId="40291" xr:uid="{00000000-0005-0000-0000-0000639D0000}"/>
    <cellStyle name="常规 4 3 12" xfId="40292" xr:uid="{00000000-0005-0000-0000-0000649D0000}"/>
    <cellStyle name="常规 4 3 13" xfId="40293" xr:uid="{00000000-0005-0000-0000-0000659D0000}"/>
    <cellStyle name="常规 4 3 14" xfId="40294" xr:uid="{00000000-0005-0000-0000-0000669D0000}"/>
    <cellStyle name="常规 4 3 14 2" xfId="40295" xr:uid="{00000000-0005-0000-0000-0000679D0000}"/>
    <cellStyle name="常规 4 3 2" xfId="40296" xr:uid="{00000000-0005-0000-0000-0000689D0000}"/>
    <cellStyle name="常规 4 3 2 2" xfId="40297" xr:uid="{00000000-0005-0000-0000-0000699D0000}"/>
    <cellStyle name="常规 4 3 2 2 2" xfId="40298" xr:uid="{00000000-0005-0000-0000-00006A9D0000}"/>
    <cellStyle name="常规 4 3 2 2 2 2" xfId="40299" xr:uid="{00000000-0005-0000-0000-00006B9D0000}"/>
    <cellStyle name="常规 4 3 2 2 2 3" xfId="40300" xr:uid="{00000000-0005-0000-0000-00006C9D0000}"/>
    <cellStyle name="常规 4 3 2 2 2 4" xfId="40301" xr:uid="{00000000-0005-0000-0000-00006D9D0000}"/>
    <cellStyle name="常规 4 3 2 2 3" xfId="40302" xr:uid="{00000000-0005-0000-0000-00006E9D0000}"/>
    <cellStyle name="常规 4 3 2 2 4" xfId="40303" xr:uid="{00000000-0005-0000-0000-00006F9D0000}"/>
    <cellStyle name="常规 4 3 2 2 5" xfId="40304" xr:uid="{00000000-0005-0000-0000-0000709D0000}"/>
    <cellStyle name="常规 4 3 2 3" xfId="40305" xr:uid="{00000000-0005-0000-0000-0000719D0000}"/>
    <cellStyle name="常规 4 3 2 3 2" xfId="40306" xr:uid="{00000000-0005-0000-0000-0000729D0000}"/>
    <cellStyle name="常规 4 3 2 3 2 2" xfId="40307" xr:uid="{00000000-0005-0000-0000-0000739D0000}"/>
    <cellStyle name="常规 4 3 2 3 2 3" xfId="40308" xr:uid="{00000000-0005-0000-0000-0000749D0000}"/>
    <cellStyle name="常规 4 3 2 3 2 4" xfId="40309" xr:uid="{00000000-0005-0000-0000-0000759D0000}"/>
    <cellStyle name="常规 4 3 2 3 3" xfId="40310" xr:uid="{00000000-0005-0000-0000-0000769D0000}"/>
    <cellStyle name="常规 4 3 2 3 4" xfId="40311" xr:uid="{00000000-0005-0000-0000-0000779D0000}"/>
    <cellStyle name="常规 4 3 2 3 5" xfId="40312" xr:uid="{00000000-0005-0000-0000-0000789D0000}"/>
    <cellStyle name="常规 4 3 2 4" xfId="40313" xr:uid="{00000000-0005-0000-0000-0000799D0000}"/>
    <cellStyle name="常规 4 3 2 4 2" xfId="40314" xr:uid="{00000000-0005-0000-0000-00007A9D0000}"/>
    <cellStyle name="常规 4 3 2 4 3" xfId="40315" xr:uid="{00000000-0005-0000-0000-00007B9D0000}"/>
    <cellStyle name="常规 4 3 2 4 4" xfId="40316" xr:uid="{00000000-0005-0000-0000-00007C9D0000}"/>
    <cellStyle name="常规 4 3 2 5" xfId="40317" xr:uid="{00000000-0005-0000-0000-00007D9D0000}"/>
    <cellStyle name="常规 4 3 2 6" xfId="40318" xr:uid="{00000000-0005-0000-0000-00007E9D0000}"/>
    <cellStyle name="常规 4 3 2 7" xfId="40319" xr:uid="{00000000-0005-0000-0000-00007F9D0000}"/>
    <cellStyle name="常规 4 3 3" xfId="40320" xr:uid="{00000000-0005-0000-0000-0000809D0000}"/>
    <cellStyle name="常规 4 3 3 2" xfId="40321" xr:uid="{00000000-0005-0000-0000-0000819D0000}"/>
    <cellStyle name="常规 4 3 3 2 2" xfId="40322" xr:uid="{00000000-0005-0000-0000-0000829D0000}"/>
    <cellStyle name="常规 4 3 3 2 2 2" xfId="40323" xr:uid="{00000000-0005-0000-0000-0000839D0000}"/>
    <cellStyle name="常规 4 3 3 2 2 3" xfId="40324" xr:uid="{00000000-0005-0000-0000-0000849D0000}"/>
    <cellStyle name="常规 4 3 3 2 2 4" xfId="40325" xr:uid="{00000000-0005-0000-0000-0000859D0000}"/>
    <cellStyle name="常规 4 3 3 2 3" xfId="40326" xr:uid="{00000000-0005-0000-0000-0000869D0000}"/>
    <cellStyle name="常规 4 3 3 2 4" xfId="40327" xr:uid="{00000000-0005-0000-0000-0000879D0000}"/>
    <cellStyle name="常规 4 3 3 2 5" xfId="40328" xr:uid="{00000000-0005-0000-0000-0000889D0000}"/>
    <cellStyle name="常规 4 3 3 3" xfId="40329" xr:uid="{00000000-0005-0000-0000-0000899D0000}"/>
    <cellStyle name="常规 4 3 3 3 2" xfId="40330" xr:uid="{00000000-0005-0000-0000-00008A9D0000}"/>
    <cellStyle name="常规 4 3 3 3 2 2" xfId="40331" xr:uid="{00000000-0005-0000-0000-00008B9D0000}"/>
    <cellStyle name="常规 4 3 3 3 2 3" xfId="40332" xr:uid="{00000000-0005-0000-0000-00008C9D0000}"/>
    <cellStyle name="常规 4 3 3 3 2 4" xfId="40333" xr:uid="{00000000-0005-0000-0000-00008D9D0000}"/>
    <cellStyle name="常规 4 3 3 3 3" xfId="40334" xr:uid="{00000000-0005-0000-0000-00008E9D0000}"/>
    <cellStyle name="常规 4 3 3 3 4" xfId="40335" xr:uid="{00000000-0005-0000-0000-00008F9D0000}"/>
    <cellStyle name="常规 4 3 3 3 5" xfId="40336" xr:uid="{00000000-0005-0000-0000-0000909D0000}"/>
    <cellStyle name="常规 4 3 3 4" xfId="40337" xr:uid="{00000000-0005-0000-0000-0000919D0000}"/>
    <cellStyle name="常规 4 3 3 4 2" xfId="40338" xr:uid="{00000000-0005-0000-0000-0000929D0000}"/>
    <cellStyle name="常规 4 3 3 4 3" xfId="40339" xr:uid="{00000000-0005-0000-0000-0000939D0000}"/>
    <cellStyle name="常规 4 3 3 4 4" xfId="40340" xr:uid="{00000000-0005-0000-0000-0000949D0000}"/>
    <cellStyle name="常规 4 3 3 5" xfId="40341" xr:uid="{00000000-0005-0000-0000-0000959D0000}"/>
    <cellStyle name="常规 4 3 3 6" xfId="40342" xr:uid="{00000000-0005-0000-0000-0000969D0000}"/>
    <cellStyle name="常规 4 3 3 7" xfId="40343" xr:uid="{00000000-0005-0000-0000-0000979D0000}"/>
    <cellStyle name="常规 4 3 4" xfId="40344" xr:uid="{00000000-0005-0000-0000-0000989D0000}"/>
    <cellStyle name="常规 4 3 4 2" xfId="40345" xr:uid="{00000000-0005-0000-0000-0000999D0000}"/>
    <cellStyle name="常规 4 3 4 2 2" xfId="40346" xr:uid="{00000000-0005-0000-0000-00009A9D0000}"/>
    <cellStyle name="常规 4 3 4 2 2 2" xfId="40347" xr:uid="{00000000-0005-0000-0000-00009B9D0000}"/>
    <cellStyle name="常规 4 3 4 2 2 3" xfId="40348" xr:uid="{00000000-0005-0000-0000-00009C9D0000}"/>
    <cellStyle name="常规 4 3 4 2 2 4" xfId="40349" xr:uid="{00000000-0005-0000-0000-00009D9D0000}"/>
    <cellStyle name="常规 4 3 4 2 3" xfId="40350" xr:uid="{00000000-0005-0000-0000-00009E9D0000}"/>
    <cellStyle name="常规 4 3 4 2 4" xfId="40351" xr:uid="{00000000-0005-0000-0000-00009F9D0000}"/>
    <cellStyle name="常规 4 3 4 2 5" xfId="40352" xr:uid="{00000000-0005-0000-0000-0000A09D0000}"/>
    <cellStyle name="常规 4 3 4 3" xfId="40353" xr:uid="{00000000-0005-0000-0000-0000A19D0000}"/>
    <cellStyle name="常规 4 3 4 3 2" xfId="40354" xr:uid="{00000000-0005-0000-0000-0000A29D0000}"/>
    <cellStyle name="常规 4 3 4 3 2 2" xfId="40355" xr:uid="{00000000-0005-0000-0000-0000A39D0000}"/>
    <cellStyle name="常规 4 3 4 3 2 3" xfId="40356" xr:uid="{00000000-0005-0000-0000-0000A49D0000}"/>
    <cellStyle name="常规 4 3 4 3 2 4" xfId="40357" xr:uid="{00000000-0005-0000-0000-0000A59D0000}"/>
    <cellStyle name="常规 4 3 4 3 3" xfId="40358" xr:uid="{00000000-0005-0000-0000-0000A69D0000}"/>
    <cellStyle name="常规 4 3 4 3 4" xfId="40359" xr:uid="{00000000-0005-0000-0000-0000A79D0000}"/>
    <cellStyle name="常规 4 3 4 3 5" xfId="40360" xr:uid="{00000000-0005-0000-0000-0000A89D0000}"/>
    <cellStyle name="常规 4 3 4 4" xfId="40361" xr:uid="{00000000-0005-0000-0000-0000A99D0000}"/>
    <cellStyle name="常规 4 3 4 4 2" xfId="40362" xr:uid="{00000000-0005-0000-0000-0000AA9D0000}"/>
    <cellStyle name="常规 4 3 4 4 3" xfId="40363" xr:uid="{00000000-0005-0000-0000-0000AB9D0000}"/>
    <cellStyle name="常规 4 3 4 4 4" xfId="40364" xr:uid="{00000000-0005-0000-0000-0000AC9D0000}"/>
    <cellStyle name="常规 4 3 4 5" xfId="40365" xr:uid="{00000000-0005-0000-0000-0000AD9D0000}"/>
    <cellStyle name="常规 4 3 4 6" xfId="40366" xr:uid="{00000000-0005-0000-0000-0000AE9D0000}"/>
    <cellStyle name="常规 4 3 4 7" xfId="40367" xr:uid="{00000000-0005-0000-0000-0000AF9D0000}"/>
    <cellStyle name="常规 4 3 5" xfId="40368" xr:uid="{00000000-0005-0000-0000-0000B09D0000}"/>
    <cellStyle name="常规 4 3 5 2" xfId="40369" xr:uid="{00000000-0005-0000-0000-0000B19D0000}"/>
    <cellStyle name="常规 4 3 5 2 2" xfId="40370" xr:uid="{00000000-0005-0000-0000-0000B29D0000}"/>
    <cellStyle name="常规 4 3 5 2 2 2" xfId="40371" xr:uid="{00000000-0005-0000-0000-0000B39D0000}"/>
    <cellStyle name="常规 4 3 5 2 2 3" xfId="40372" xr:uid="{00000000-0005-0000-0000-0000B49D0000}"/>
    <cellStyle name="常规 4 3 5 2 2 4" xfId="40373" xr:uid="{00000000-0005-0000-0000-0000B59D0000}"/>
    <cellStyle name="常规 4 3 5 2 3" xfId="40374" xr:uid="{00000000-0005-0000-0000-0000B69D0000}"/>
    <cellStyle name="常规 4 3 5 2 4" xfId="40375" xr:uid="{00000000-0005-0000-0000-0000B79D0000}"/>
    <cellStyle name="常规 4 3 5 2 5" xfId="40376" xr:uid="{00000000-0005-0000-0000-0000B89D0000}"/>
    <cellStyle name="常规 4 3 5 3" xfId="40377" xr:uid="{00000000-0005-0000-0000-0000B99D0000}"/>
    <cellStyle name="常规 4 3 5 3 2" xfId="40378" xr:uid="{00000000-0005-0000-0000-0000BA9D0000}"/>
    <cellStyle name="常规 4 3 5 3 2 2" xfId="40379" xr:uid="{00000000-0005-0000-0000-0000BB9D0000}"/>
    <cellStyle name="常规 4 3 5 3 2 3" xfId="40380" xr:uid="{00000000-0005-0000-0000-0000BC9D0000}"/>
    <cellStyle name="常规 4 3 5 3 2 4" xfId="40381" xr:uid="{00000000-0005-0000-0000-0000BD9D0000}"/>
    <cellStyle name="常规 4 3 5 3 3" xfId="40382" xr:uid="{00000000-0005-0000-0000-0000BE9D0000}"/>
    <cellStyle name="常规 4 3 5 3 4" xfId="40383" xr:uid="{00000000-0005-0000-0000-0000BF9D0000}"/>
    <cellStyle name="常规 4 3 5 3 5" xfId="40384" xr:uid="{00000000-0005-0000-0000-0000C09D0000}"/>
    <cellStyle name="常规 4 3 5 4" xfId="40385" xr:uid="{00000000-0005-0000-0000-0000C19D0000}"/>
    <cellStyle name="常规 4 3 5 4 2" xfId="40386" xr:uid="{00000000-0005-0000-0000-0000C29D0000}"/>
    <cellStyle name="常规 4 3 5 4 3" xfId="40387" xr:uid="{00000000-0005-0000-0000-0000C39D0000}"/>
    <cellStyle name="常规 4 3 5 4 4" xfId="40388" xr:uid="{00000000-0005-0000-0000-0000C49D0000}"/>
    <cellStyle name="常规 4 3 5 5" xfId="40389" xr:uid="{00000000-0005-0000-0000-0000C59D0000}"/>
    <cellStyle name="常规 4 3 5 6" xfId="40390" xr:uid="{00000000-0005-0000-0000-0000C69D0000}"/>
    <cellStyle name="常规 4 3 5 7" xfId="40391" xr:uid="{00000000-0005-0000-0000-0000C79D0000}"/>
    <cellStyle name="常规 4 3 6" xfId="40392" xr:uid="{00000000-0005-0000-0000-0000C89D0000}"/>
    <cellStyle name="常规 4 3 6 2" xfId="40393" xr:uid="{00000000-0005-0000-0000-0000C99D0000}"/>
    <cellStyle name="常规 4 3 6 2 2" xfId="40394" xr:uid="{00000000-0005-0000-0000-0000CA9D0000}"/>
    <cellStyle name="常规 4 3 6 2 2 2" xfId="40395" xr:uid="{00000000-0005-0000-0000-0000CB9D0000}"/>
    <cellStyle name="常规 4 3 6 2 2 3" xfId="40396" xr:uid="{00000000-0005-0000-0000-0000CC9D0000}"/>
    <cellStyle name="常规 4 3 6 2 2 4" xfId="40397" xr:uid="{00000000-0005-0000-0000-0000CD9D0000}"/>
    <cellStyle name="常规 4 3 6 2 3" xfId="40398" xr:uid="{00000000-0005-0000-0000-0000CE9D0000}"/>
    <cellStyle name="常规 4 3 6 2 4" xfId="40399" xr:uid="{00000000-0005-0000-0000-0000CF9D0000}"/>
    <cellStyle name="常规 4 3 6 2 5" xfId="40400" xr:uid="{00000000-0005-0000-0000-0000D09D0000}"/>
    <cellStyle name="常规 4 3 6 3" xfId="40401" xr:uid="{00000000-0005-0000-0000-0000D19D0000}"/>
    <cellStyle name="常规 4 3 6 3 2" xfId="40402" xr:uid="{00000000-0005-0000-0000-0000D29D0000}"/>
    <cellStyle name="常规 4 3 6 3 2 2" xfId="40403" xr:uid="{00000000-0005-0000-0000-0000D39D0000}"/>
    <cellStyle name="常规 4 3 6 3 2 3" xfId="40404" xr:uid="{00000000-0005-0000-0000-0000D49D0000}"/>
    <cellStyle name="常规 4 3 6 3 2 4" xfId="40405" xr:uid="{00000000-0005-0000-0000-0000D59D0000}"/>
    <cellStyle name="常规 4 3 6 3 3" xfId="40406" xr:uid="{00000000-0005-0000-0000-0000D69D0000}"/>
    <cellStyle name="常规 4 3 6 3 4" xfId="40407" xr:uid="{00000000-0005-0000-0000-0000D79D0000}"/>
    <cellStyle name="常规 4 3 6 3 5" xfId="40408" xr:uid="{00000000-0005-0000-0000-0000D89D0000}"/>
    <cellStyle name="常规 4 3 6 4" xfId="40409" xr:uid="{00000000-0005-0000-0000-0000D99D0000}"/>
    <cellStyle name="常规 4 3 6 4 2" xfId="40410" xr:uid="{00000000-0005-0000-0000-0000DA9D0000}"/>
    <cellStyle name="常规 4 3 6 4 3" xfId="40411" xr:uid="{00000000-0005-0000-0000-0000DB9D0000}"/>
    <cellStyle name="常规 4 3 6 4 4" xfId="40412" xr:uid="{00000000-0005-0000-0000-0000DC9D0000}"/>
    <cellStyle name="常规 4 3 6 5" xfId="40413" xr:uid="{00000000-0005-0000-0000-0000DD9D0000}"/>
    <cellStyle name="常规 4 3 6 6" xfId="40414" xr:uid="{00000000-0005-0000-0000-0000DE9D0000}"/>
    <cellStyle name="常规 4 3 6 7" xfId="40415" xr:uid="{00000000-0005-0000-0000-0000DF9D0000}"/>
    <cellStyle name="常规 4 3 7" xfId="40416" xr:uid="{00000000-0005-0000-0000-0000E09D0000}"/>
    <cellStyle name="常规 4 3 7 2" xfId="40417" xr:uid="{00000000-0005-0000-0000-0000E19D0000}"/>
    <cellStyle name="常规 4 3 7 2 2" xfId="40418" xr:uid="{00000000-0005-0000-0000-0000E29D0000}"/>
    <cellStyle name="常规 4 3 7 2 2 2" xfId="40419" xr:uid="{00000000-0005-0000-0000-0000E39D0000}"/>
    <cellStyle name="常规 4 3 7 2 2 2 2" xfId="40420" xr:uid="{00000000-0005-0000-0000-0000E49D0000}"/>
    <cellStyle name="常规 4 3 7 2 2 2 3" xfId="40421" xr:uid="{00000000-0005-0000-0000-0000E59D0000}"/>
    <cellStyle name="常规 4 3 7 2 2 2 4" xfId="40422" xr:uid="{00000000-0005-0000-0000-0000E69D0000}"/>
    <cellStyle name="常规 4 3 7 2 2 3" xfId="40423" xr:uid="{00000000-0005-0000-0000-0000E79D0000}"/>
    <cellStyle name="常规 4 3 7 2 2 4" xfId="40424" xr:uid="{00000000-0005-0000-0000-0000E89D0000}"/>
    <cellStyle name="常规 4 3 7 2 2 5" xfId="40425" xr:uid="{00000000-0005-0000-0000-0000E99D0000}"/>
    <cellStyle name="常规 4 3 7 2 3" xfId="40426" xr:uid="{00000000-0005-0000-0000-0000EA9D0000}"/>
    <cellStyle name="常规 4 3 7 2 3 2" xfId="40427" xr:uid="{00000000-0005-0000-0000-0000EB9D0000}"/>
    <cellStyle name="常规 4 3 7 2 3 2 2" xfId="40428" xr:uid="{00000000-0005-0000-0000-0000EC9D0000}"/>
    <cellStyle name="常规 4 3 7 2 3 2 3" xfId="40429" xr:uid="{00000000-0005-0000-0000-0000ED9D0000}"/>
    <cellStyle name="常规 4 3 7 2 3 2 4" xfId="40430" xr:uid="{00000000-0005-0000-0000-0000EE9D0000}"/>
    <cellStyle name="常规 4 3 7 2 3 3" xfId="40431" xr:uid="{00000000-0005-0000-0000-0000EF9D0000}"/>
    <cellStyle name="常规 4 3 7 2 3 4" xfId="40432" xr:uid="{00000000-0005-0000-0000-0000F09D0000}"/>
    <cellStyle name="常规 4 3 7 2 3 5" xfId="40433" xr:uid="{00000000-0005-0000-0000-0000F19D0000}"/>
    <cellStyle name="常规 4 3 7 2 4" xfId="40434" xr:uid="{00000000-0005-0000-0000-0000F29D0000}"/>
    <cellStyle name="常规 4 3 7 2 4 2" xfId="40435" xr:uid="{00000000-0005-0000-0000-0000F39D0000}"/>
    <cellStyle name="常规 4 3 7 2 4 3" xfId="40436" xr:uid="{00000000-0005-0000-0000-0000F49D0000}"/>
    <cellStyle name="常规 4 3 7 2 4 4" xfId="40437" xr:uid="{00000000-0005-0000-0000-0000F59D0000}"/>
    <cellStyle name="常规 4 3 7 2 5" xfId="40438" xr:uid="{00000000-0005-0000-0000-0000F69D0000}"/>
    <cellStyle name="常规 4 3 7 2 6" xfId="40439" xr:uid="{00000000-0005-0000-0000-0000F79D0000}"/>
    <cellStyle name="常规 4 3 7 2 7" xfId="40440" xr:uid="{00000000-0005-0000-0000-0000F89D0000}"/>
    <cellStyle name="常规 4 3 7 3" xfId="40441" xr:uid="{00000000-0005-0000-0000-0000F99D0000}"/>
    <cellStyle name="常规 4 3 7 3 2" xfId="40442" xr:uid="{00000000-0005-0000-0000-0000FA9D0000}"/>
    <cellStyle name="常规 4 3 7 3 2 2" xfId="40443" xr:uid="{00000000-0005-0000-0000-0000FB9D0000}"/>
    <cellStyle name="常规 4 3 7 3 2 3" xfId="40444" xr:uid="{00000000-0005-0000-0000-0000FC9D0000}"/>
    <cellStyle name="常规 4 3 7 3 2 4" xfId="40445" xr:uid="{00000000-0005-0000-0000-0000FD9D0000}"/>
    <cellStyle name="常规 4 3 7 3 3" xfId="40446" xr:uid="{00000000-0005-0000-0000-0000FE9D0000}"/>
    <cellStyle name="常规 4 3 7 3 4" xfId="40447" xr:uid="{00000000-0005-0000-0000-0000FF9D0000}"/>
    <cellStyle name="常规 4 3 7 3 5" xfId="40448" xr:uid="{00000000-0005-0000-0000-0000009E0000}"/>
    <cellStyle name="常规 4 3 7 4" xfId="40449" xr:uid="{00000000-0005-0000-0000-0000019E0000}"/>
    <cellStyle name="常规 4 3 7 4 2" xfId="40450" xr:uid="{00000000-0005-0000-0000-0000029E0000}"/>
    <cellStyle name="常规 4 3 7 4 2 2" xfId="40451" xr:uid="{00000000-0005-0000-0000-0000039E0000}"/>
    <cellStyle name="常规 4 3 7 4 2 3" xfId="40452" xr:uid="{00000000-0005-0000-0000-0000049E0000}"/>
    <cellStyle name="常规 4 3 7 4 2 4" xfId="40453" xr:uid="{00000000-0005-0000-0000-0000059E0000}"/>
    <cellStyle name="常规 4 3 7 4 3" xfId="40454" xr:uid="{00000000-0005-0000-0000-0000069E0000}"/>
    <cellStyle name="常规 4 3 7 4 4" xfId="40455" xr:uid="{00000000-0005-0000-0000-0000079E0000}"/>
    <cellStyle name="常规 4 3 7 4 5" xfId="40456" xr:uid="{00000000-0005-0000-0000-0000089E0000}"/>
    <cellStyle name="常规 4 3 7 5" xfId="40457" xr:uid="{00000000-0005-0000-0000-0000099E0000}"/>
    <cellStyle name="常规 4 3 7 5 2" xfId="40458" xr:uid="{00000000-0005-0000-0000-00000A9E0000}"/>
    <cellStyle name="常规 4 3 7 5 3" xfId="40459" xr:uid="{00000000-0005-0000-0000-00000B9E0000}"/>
    <cellStyle name="常规 4 3 7 5 4" xfId="40460" xr:uid="{00000000-0005-0000-0000-00000C9E0000}"/>
    <cellStyle name="常规 4 3 7 6" xfId="40461" xr:uid="{00000000-0005-0000-0000-00000D9E0000}"/>
    <cellStyle name="常规 4 3 7 7" xfId="40462" xr:uid="{00000000-0005-0000-0000-00000E9E0000}"/>
    <cellStyle name="常规 4 3 7 8" xfId="40463" xr:uid="{00000000-0005-0000-0000-00000F9E0000}"/>
    <cellStyle name="常规 4 3 8" xfId="40464" xr:uid="{00000000-0005-0000-0000-0000109E0000}"/>
    <cellStyle name="常规 4 3 8 2" xfId="40465" xr:uid="{00000000-0005-0000-0000-0000119E0000}"/>
    <cellStyle name="常规 4 3 8 2 2" xfId="40466" xr:uid="{00000000-0005-0000-0000-0000129E0000}"/>
    <cellStyle name="常规 4 3 8 2 3" xfId="40467" xr:uid="{00000000-0005-0000-0000-0000139E0000}"/>
    <cellStyle name="常规 4 3 8 2 4" xfId="40468" xr:uid="{00000000-0005-0000-0000-0000149E0000}"/>
    <cellStyle name="常规 4 3 8 3" xfId="40469" xr:uid="{00000000-0005-0000-0000-0000159E0000}"/>
    <cellStyle name="常规 4 3 8 4" xfId="40470" xr:uid="{00000000-0005-0000-0000-0000169E0000}"/>
    <cellStyle name="常规 4 3 8 5" xfId="40471" xr:uid="{00000000-0005-0000-0000-0000179E0000}"/>
    <cellStyle name="常规 4 3 9" xfId="40472" xr:uid="{00000000-0005-0000-0000-0000189E0000}"/>
    <cellStyle name="常规 4 3 9 2" xfId="40473" xr:uid="{00000000-0005-0000-0000-0000199E0000}"/>
    <cellStyle name="常规 4 3 9 2 2" xfId="40474" xr:uid="{00000000-0005-0000-0000-00001A9E0000}"/>
    <cellStyle name="常规 4 3 9 2 3" xfId="40475" xr:uid="{00000000-0005-0000-0000-00001B9E0000}"/>
    <cellStyle name="常规 4 3 9 2 4" xfId="40476" xr:uid="{00000000-0005-0000-0000-00001C9E0000}"/>
    <cellStyle name="常规 4 3 9 3" xfId="40477" xr:uid="{00000000-0005-0000-0000-00001D9E0000}"/>
    <cellStyle name="常规 4 3 9 4" xfId="40478" xr:uid="{00000000-0005-0000-0000-00001E9E0000}"/>
    <cellStyle name="常规 4 3 9 5" xfId="40479" xr:uid="{00000000-0005-0000-0000-00001F9E0000}"/>
    <cellStyle name="常规 4 4" xfId="40480" xr:uid="{00000000-0005-0000-0000-0000209E0000}"/>
    <cellStyle name="常规 4 4 10" xfId="40481" xr:uid="{00000000-0005-0000-0000-0000219E0000}"/>
    <cellStyle name="常规 4 4 10 2" xfId="40482" xr:uid="{00000000-0005-0000-0000-0000229E0000}"/>
    <cellStyle name="常规 4 4 10 3" xfId="40483" xr:uid="{00000000-0005-0000-0000-0000239E0000}"/>
    <cellStyle name="常规 4 4 11" xfId="40484" xr:uid="{00000000-0005-0000-0000-0000249E0000}"/>
    <cellStyle name="常规 4 4 2" xfId="40485" xr:uid="{00000000-0005-0000-0000-0000259E0000}"/>
    <cellStyle name="常规 4 4 2 2" xfId="40486" xr:uid="{00000000-0005-0000-0000-0000269E0000}"/>
    <cellStyle name="常规 4 4 2 2 2" xfId="40487" xr:uid="{00000000-0005-0000-0000-0000279E0000}"/>
    <cellStyle name="常规 4 4 2 2 2 2" xfId="40488" xr:uid="{00000000-0005-0000-0000-0000289E0000}"/>
    <cellStyle name="常规 4 4 2 2 2 2 2" xfId="40489" xr:uid="{00000000-0005-0000-0000-0000299E0000}"/>
    <cellStyle name="常规 4 4 2 2 2 2 2 2" xfId="40490" xr:uid="{00000000-0005-0000-0000-00002A9E0000}"/>
    <cellStyle name="常规 4 4 2 2 2 3" xfId="40491" xr:uid="{00000000-0005-0000-0000-00002B9E0000}"/>
    <cellStyle name="常规 4 4 2 2 2 3 2" xfId="40492" xr:uid="{00000000-0005-0000-0000-00002C9E0000}"/>
    <cellStyle name="常规 4 4 2 2 2 3 2 2" xfId="40493" xr:uid="{00000000-0005-0000-0000-00002D9E0000}"/>
    <cellStyle name="常规 4 4 2 2 2 4" xfId="40494" xr:uid="{00000000-0005-0000-0000-00002E9E0000}"/>
    <cellStyle name="常规 4 4 2 2 2 4 2" xfId="40495" xr:uid="{00000000-0005-0000-0000-00002F9E0000}"/>
    <cellStyle name="常规 4 4 2 2 2 4 2 2" xfId="40496" xr:uid="{00000000-0005-0000-0000-0000309E0000}"/>
    <cellStyle name="常规 4 4 2 2 2 5" xfId="40497" xr:uid="{00000000-0005-0000-0000-0000319E0000}"/>
    <cellStyle name="常规 4 4 2 2 2 5 2" xfId="40498" xr:uid="{00000000-0005-0000-0000-0000329E0000}"/>
    <cellStyle name="常规 4 4 2 2 2 5 3" xfId="40499" xr:uid="{00000000-0005-0000-0000-0000339E0000}"/>
    <cellStyle name="常规 4 4 2 2 2 6" xfId="40500" xr:uid="{00000000-0005-0000-0000-0000349E0000}"/>
    <cellStyle name="常规 4 4 2 2 3" xfId="40501" xr:uid="{00000000-0005-0000-0000-0000359E0000}"/>
    <cellStyle name="常规 4 4 2 2 3 2" xfId="40502" xr:uid="{00000000-0005-0000-0000-0000369E0000}"/>
    <cellStyle name="常规 4 4 2 2 3 2 2" xfId="40503" xr:uid="{00000000-0005-0000-0000-0000379E0000}"/>
    <cellStyle name="常规 4 4 2 2 3 2 2 2" xfId="40504" xr:uid="{00000000-0005-0000-0000-0000389E0000}"/>
    <cellStyle name="常规 4 4 2 2 3 3" xfId="40505" xr:uid="{00000000-0005-0000-0000-0000399E0000}"/>
    <cellStyle name="常规 4 4 2 2 3 3 2" xfId="40506" xr:uid="{00000000-0005-0000-0000-00003A9E0000}"/>
    <cellStyle name="常规 4 4 2 2 3 3 2 2" xfId="40507" xr:uid="{00000000-0005-0000-0000-00003B9E0000}"/>
    <cellStyle name="常规 4 4 2 2 3 4" xfId="40508" xr:uid="{00000000-0005-0000-0000-00003C9E0000}"/>
    <cellStyle name="常规 4 4 2 2 3 4 2" xfId="40509" xr:uid="{00000000-0005-0000-0000-00003D9E0000}"/>
    <cellStyle name="常规 4 4 2 2 3 5" xfId="40510" xr:uid="{00000000-0005-0000-0000-00003E9E0000}"/>
    <cellStyle name="常规 4 4 2 2 4" xfId="40511" xr:uid="{00000000-0005-0000-0000-00003F9E0000}"/>
    <cellStyle name="常规 4 4 2 2 4 2" xfId="40512" xr:uid="{00000000-0005-0000-0000-0000409E0000}"/>
    <cellStyle name="常规 4 4 2 2 4 2 2" xfId="40513" xr:uid="{00000000-0005-0000-0000-0000419E0000}"/>
    <cellStyle name="常规 4 4 2 2 5" xfId="40514" xr:uid="{00000000-0005-0000-0000-0000429E0000}"/>
    <cellStyle name="常规 4 4 2 2 5 2" xfId="40515" xr:uid="{00000000-0005-0000-0000-0000439E0000}"/>
    <cellStyle name="常规 4 4 2 2 5 2 2" xfId="40516" xr:uid="{00000000-0005-0000-0000-0000449E0000}"/>
    <cellStyle name="常规 4 4 2 2 6" xfId="40517" xr:uid="{00000000-0005-0000-0000-0000459E0000}"/>
    <cellStyle name="常规 4 4 2 2 7" xfId="40518" xr:uid="{00000000-0005-0000-0000-0000469E0000}"/>
    <cellStyle name="常规 4 4 2 2 7 2" xfId="40519" xr:uid="{00000000-0005-0000-0000-0000479E0000}"/>
    <cellStyle name="常规 4 4 2 2 7 3" xfId="40520" xr:uid="{00000000-0005-0000-0000-0000489E0000}"/>
    <cellStyle name="常规 4 4 2 2 8" xfId="40521" xr:uid="{00000000-0005-0000-0000-0000499E0000}"/>
    <cellStyle name="常规 4 4 2 2 8 2" xfId="40522" xr:uid="{00000000-0005-0000-0000-00004A9E0000}"/>
    <cellStyle name="常规 4 4 2 3" xfId="40523" xr:uid="{00000000-0005-0000-0000-00004B9E0000}"/>
    <cellStyle name="常规 4 4 2 3 2" xfId="40524" xr:uid="{00000000-0005-0000-0000-00004C9E0000}"/>
    <cellStyle name="常规 4 4 2 3 2 2" xfId="40525" xr:uid="{00000000-0005-0000-0000-00004D9E0000}"/>
    <cellStyle name="常规 4 4 2 3 2 3" xfId="40526" xr:uid="{00000000-0005-0000-0000-00004E9E0000}"/>
    <cellStyle name="常规 4 4 2 3 2 4" xfId="40527" xr:uid="{00000000-0005-0000-0000-00004F9E0000}"/>
    <cellStyle name="常规 4 4 2 3 2 5" xfId="40528" xr:uid="{00000000-0005-0000-0000-0000509E0000}"/>
    <cellStyle name="常规 4 4 2 3 2 5 2" xfId="40529" xr:uid="{00000000-0005-0000-0000-0000519E0000}"/>
    <cellStyle name="常规 4 4 2 3 3" xfId="40530" xr:uid="{00000000-0005-0000-0000-0000529E0000}"/>
    <cellStyle name="常规 4 4 2 3 3 2" xfId="40531" xr:uid="{00000000-0005-0000-0000-0000539E0000}"/>
    <cellStyle name="常规 4 4 2 3 3 2 2" xfId="40532" xr:uid="{00000000-0005-0000-0000-0000549E0000}"/>
    <cellStyle name="常规 4 4 2 3 4" xfId="40533" xr:uid="{00000000-0005-0000-0000-0000559E0000}"/>
    <cellStyle name="常规 4 4 2 3 4 2" xfId="40534" xr:uid="{00000000-0005-0000-0000-0000569E0000}"/>
    <cellStyle name="常规 4 4 2 3 4 2 2" xfId="40535" xr:uid="{00000000-0005-0000-0000-0000579E0000}"/>
    <cellStyle name="常规 4 4 2 3 5" xfId="40536" xr:uid="{00000000-0005-0000-0000-0000589E0000}"/>
    <cellStyle name="常规 4 4 2 3 5 2" xfId="40537" xr:uid="{00000000-0005-0000-0000-0000599E0000}"/>
    <cellStyle name="常规 4 4 2 3 5 3" xfId="40538" xr:uid="{00000000-0005-0000-0000-00005A9E0000}"/>
    <cellStyle name="常规 4 4 2 3 6" xfId="40539" xr:uid="{00000000-0005-0000-0000-00005B9E0000}"/>
    <cellStyle name="常规 4 4 2 3 6 2" xfId="40540" xr:uid="{00000000-0005-0000-0000-00005C9E0000}"/>
    <cellStyle name="常规 4 4 2 3 7" xfId="40541" xr:uid="{00000000-0005-0000-0000-00005D9E0000}"/>
    <cellStyle name="常规 4 4 2 4" xfId="40542" xr:uid="{00000000-0005-0000-0000-00005E9E0000}"/>
    <cellStyle name="常规 4 4 2 4 2" xfId="40543" xr:uid="{00000000-0005-0000-0000-00005F9E0000}"/>
    <cellStyle name="常规 4 4 2 4 3" xfId="40544" xr:uid="{00000000-0005-0000-0000-0000609E0000}"/>
    <cellStyle name="常规 4 4 2 4 4" xfId="40545" xr:uid="{00000000-0005-0000-0000-0000619E0000}"/>
    <cellStyle name="常规 4 4 2 4 5" xfId="40546" xr:uid="{00000000-0005-0000-0000-0000629E0000}"/>
    <cellStyle name="常规 4 4 2 4 5 2" xfId="40547" xr:uid="{00000000-0005-0000-0000-0000639E0000}"/>
    <cellStyle name="常规 4 4 2 5" xfId="40548" xr:uid="{00000000-0005-0000-0000-0000649E0000}"/>
    <cellStyle name="常规 4 4 2 5 2" xfId="40549" xr:uid="{00000000-0005-0000-0000-0000659E0000}"/>
    <cellStyle name="常规 4 4 2 5 2 2" xfId="40550" xr:uid="{00000000-0005-0000-0000-0000669E0000}"/>
    <cellStyle name="常规 4 4 2 6" xfId="40551" xr:uid="{00000000-0005-0000-0000-0000679E0000}"/>
    <cellStyle name="常规 4 4 2 6 2" xfId="40552" xr:uid="{00000000-0005-0000-0000-0000689E0000}"/>
    <cellStyle name="常规 4 4 2 6 2 2" xfId="40553" xr:uid="{00000000-0005-0000-0000-0000699E0000}"/>
    <cellStyle name="常规 4 4 2 7" xfId="40554" xr:uid="{00000000-0005-0000-0000-00006A9E0000}"/>
    <cellStyle name="常规 4 4 2 7 2" xfId="40555" xr:uid="{00000000-0005-0000-0000-00006B9E0000}"/>
    <cellStyle name="常规 4 4 2 7 2 2" xfId="40556" xr:uid="{00000000-0005-0000-0000-00006C9E0000}"/>
    <cellStyle name="常规 4 4 2 8" xfId="40557" xr:uid="{00000000-0005-0000-0000-00006D9E0000}"/>
    <cellStyle name="常规 4 4 2 8 2" xfId="40558" xr:uid="{00000000-0005-0000-0000-00006E9E0000}"/>
    <cellStyle name="常规 4 4 2 8 3" xfId="40559" xr:uid="{00000000-0005-0000-0000-00006F9E0000}"/>
    <cellStyle name="常规 4 4 2 9" xfId="40560" xr:uid="{00000000-0005-0000-0000-0000709E0000}"/>
    <cellStyle name="常规 4 4 2 9 2" xfId="40561" xr:uid="{00000000-0005-0000-0000-0000719E0000}"/>
    <cellStyle name="常规 4 4 3" xfId="40562" xr:uid="{00000000-0005-0000-0000-0000729E0000}"/>
    <cellStyle name="常规 4 4 3 10" xfId="40563" xr:uid="{00000000-0005-0000-0000-0000739E0000}"/>
    <cellStyle name="常规 4 4 3 2" xfId="40564" xr:uid="{00000000-0005-0000-0000-0000749E0000}"/>
    <cellStyle name="常规 4 4 3 2 2" xfId="40565" xr:uid="{00000000-0005-0000-0000-0000759E0000}"/>
    <cellStyle name="常规 4 4 3 2 2 2" xfId="40566" xr:uid="{00000000-0005-0000-0000-0000769E0000}"/>
    <cellStyle name="常规 4 4 3 2 2 2 2" xfId="40567" xr:uid="{00000000-0005-0000-0000-0000779E0000}"/>
    <cellStyle name="常规 4 4 3 2 2 2 3" xfId="40568" xr:uid="{00000000-0005-0000-0000-0000789E0000}"/>
    <cellStyle name="常规 4 4 3 2 2 2 4" xfId="40569" xr:uid="{00000000-0005-0000-0000-0000799E0000}"/>
    <cellStyle name="常规 4 4 3 2 2 3" xfId="40570" xr:uid="{00000000-0005-0000-0000-00007A9E0000}"/>
    <cellStyle name="常规 4 4 3 2 2 4" xfId="40571" xr:uid="{00000000-0005-0000-0000-00007B9E0000}"/>
    <cellStyle name="常规 4 4 3 2 2 5" xfId="40572" xr:uid="{00000000-0005-0000-0000-00007C9E0000}"/>
    <cellStyle name="常规 4 4 3 2 2 6" xfId="40573" xr:uid="{00000000-0005-0000-0000-00007D9E0000}"/>
    <cellStyle name="常规 4 4 3 2 2 6 2" xfId="40574" xr:uid="{00000000-0005-0000-0000-00007E9E0000}"/>
    <cellStyle name="常规 4 4 3 2 3" xfId="40575" xr:uid="{00000000-0005-0000-0000-00007F9E0000}"/>
    <cellStyle name="常规 4 4 3 2 3 2" xfId="40576" xr:uid="{00000000-0005-0000-0000-0000809E0000}"/>
    <cellStyle name="常规 4 4 3 2 3 2 2" xfId="40577" xr:uid="{00000000-0005-0000-0000-0000819E0000}"/>
    <cellStyle name="常规 4 4 3 2 3 2 3" xfId="40578" xr:uid="{00000000-0005-0000-0000-0000829E0000}"/>
    <cellStyle name="常规 4 4 3 2 3 2 4" xfId="40579" xr:uid="{00000000-0005-0000-0000-0000839E0000}"/>
    <cellStyle name="常规 4 4 3 2 3 3" xfId="40580" xr:uid="{00000000-0005-0000-0000-0000849E0000}"/>
    <cellStyle name="常规 4 4 3 2 3 4" xfId="40581" xr:uid="{00000000-0005-0000-0000-0000859E0000}"/>
    <cellStyle name="常规 4 4 3 2 3 5" xfId="40582" xr:uid="{00000000-0005-0000-0000-0000869E0000}"/>
    <cellStyle name="常规 4 4 3 2 3 6" xfId="40583" xr:uid="{00000000-0005-0000-0000-0000879E0000}"/>
    <cellStyle name="常规 4 4 3 2 3 6 2" xfId="40584" xr:uid="{00000000-0005-0000-0000-0000889E0000}"/>
    <cellStyle name="常规 4 4 3 2 4" xfId="40585" xr:uid="{00000000-0005-0000-0000-0000899E0000}"/>
    <cellStyle name="常规 4 4 3 2 4 2" xfId="40586" xr:uid="{00000000-0005-0000-0000-00008A9E0000}"/>
    <cellStyle name="常规 4 4 3 2 4 2 2" xfId="40587" xr:uid="{00000000-0005-0000-0000-00008B9E0000}"/>
    <cellStyle name="常规 4 4 3 2 4 3" xfId="40588" xr:uid="{00000000-0005-0000-0000-00008C9E0000}"/>
    <cellStyle name="常规 4 4 3 2 4 4" xfId="40589" xr:uid="{00000000-0005-0000-0000-00008D9E0000}"/>
    <cellStyle name="常规 4 4 3 2 4 5" xfId="40590" xr:uid="{00000000-0005-0000-0000-00008E9E0000}"/>
    <cellStyle name="常规 4 4 3 2 5" xfId="40591" xr:uid="{00000000-0005-0000-0000-00008F9E0000}"/>
    <cellStyle name="常规 4 4 3 2 5 2" xfId="40592" xr:uid="{00000000-0005-0000-0000-0000909E0000}"/>
    <cellStyle name="常规 4 4 3 2 5 3" xfId="40593" xr:uid="{00000000-0005-0000-0000-0000919E0000}"/>
    <cellStyle name="常规 4 4 3 2 6" xfId="40594" xr:uid="{00000000-0005-0000-0000-0000929E0000}"/>
    <cellStyle name="常规 4 4 3 2 7" xfId="40595" xr:uid="{00000000-0005-0000-0000-0000939E0000}"/>
    <cellStyle name="常规 4 4 3 2 8" xfId="40596" xr:uid="{00000000-0005-0000-0000-0000949E0000}"/>
    <cellStyle name="常规 4 4 3 2 8 2" xfId="40597" xr:uid="{00000000-0005-0000-0000-0000959E0000}"/>
    <cellStyle name="常规 4 4 3 2 9" xfId="40598" xr:uid="{00000000-0005-0000-0000-0000969E0000}"/>
    <cellStyle name="常规 4 4 3 3" xfId="40599" xr:uid="{00000000-0005-0000-0000-0000979E0000}"/>
    <cellStyle name="常规 4 4 3 3 2" xfId="40600" xr:uid="{00000000-0005-0000-0000-0000989E0000}"/>
    <cellStyle name="常规 4 4 3 3 2 2" xfId="40601" xr:uid="{00000000-0005-0000-0000-0000999E0000}"/>
    <cellStyle name="常规 4 4 3 3 2 2 2" xfId="40602" xr:uid="{00000000-0005-0000-0000-00009A9E0000}"/>
    <cellStyle name="常规 4 4 3 3 2 3" xfId="40603" xr:uid="{00000000-0005-0000-0000-00009B9E0000}"/>
    <cellStyle name="常规 4 4 3 3 2 4" xfId="40604" xr:uid="{00000000-0005-0000-0000-00009C9E0000}"/>
    <cellStyle name="常规 4 4 3 3 2 5" xfId="40605" xr:uid="{00000000-0005-0000-0000-00009D9E0000}"/>
    <cellStyle name="常规 4 4 3 3 2 5 2" xfId="40606" xr:uid="{00000000-0005-0000-0000-00009E9E0000}"/>
    <cellStyle name="常规 4 4 3 3 2 6" xfId="40607" xr:uid="{00000000-0005-0000-0000-00009F9E0000}"/>
    <cellStyle name="常规 4 4 3 3 3" xfId="40608" xr:uid="{00000000-0005-0000-0000-0000A09E0000}"/>
    <cellStyle name="常规 4 4 3 3 3 2" xfId="40609" xr:uid="{00000000-0005-0000-0000-0000A19E0000}"/>
    <cellStyle name="常规 4 4 3 3 3 2 2" xfId="40610" xr:uid="{00000000-0005-0000-0000-0000A29E0000}"/>
    <cellStyle name="常规 4 4 3 3 4" xfId="40611" xr:uid="{00000000-0005-0000-0000-0000A39E0000}"/>
    <cellStyle name="常规 4 4 3 3 4 2" xfId="40612" xr:uid="{00000000-0005-0000-0000-0000A49E0000}"/>
    <cellStyle name="常规 4 4 3 3 4 3" xfId="40613" xr:uid="{00000000-0005-0000-0000-0000A59E0000}"/>
    <cellStyle name="常规 4 4 3 3 5" xfId="40614" xr:uid="{00000000-0005-0000-0000-0000A69E0000}"/>
    <cellStyle name="常规 4 4 3 3 5 2" xfId="40615" xr:uid="{00000000-0005-0000-0000-0000A79E0000}"/>
    <cellStyle name="常规 4 4 3 3 6" xfId="40616" xr:uid="{00000000-0005-0000-0000-0000A89E0000}"/>
    <cellStyle name="常规 4 4 3 3 6 2" xfId="40617" xr:uid="{00000000-0005-0000-0000-0000A99E0000}"/>
    <cellStyle name="常规 4 4 3 3 7" xfId="40618" xr:uid="{00000000-0005-0000-0000-0000AA9E0000}"/>
    <cellStyle name="常规 4 4 3 4" xfId="40619" xr:uid="{00000000-0005-0000-0000-0000AB9E0000}"/>
    <cellStyle name="常规 4 4 3 4 2" xfId="40620" xr:uid="{00000000-0005-0000-0000-0000AC9E0000}"/>
    <cellStyle name="常规 4 4 3 4 2 2" xfId="40621" xr:uid="{00000000-0005-0000-0000-0000AD9E0000}"/>
    <cellStyle name="常规 4 4 3 4 2 3" xfId="40622" xr:uid="{00000000-0005-0000-0000-0000AE9E0000}"/>
    <cellStyle name="常规 4 4 3 4 2 4" xfId="40623" xr:uid="{00000000-0005-0000-0000-0000AF9E0000}"/>
    <cellStyle name="常规 4 4 3 4 3" xfId="40624" xr:uid="{00000000-0005-0000-0000-0000B09E0000}"/>
    <cellStyle name="常规 4 4 3 4 4" xfId="40625" xr:uid="{00000000-0005-0000-0000-0000B19E0000}"/>
    <cellStyle name="常规 4 4 3 4 5" xfId="40626" xr:uid="{00000000-0005-0000-0000-0000B29E0000}"/>
    <cellStyle name="常规 4 4 3 4 6" xfId="40627" xr:uid="{00000000-0005-0000-0000-0000B39E0000}"/>
    <cellStyle name="常规 4 4 3 4 6 2" xfId="40628" xr:uid="{00000000-0005-0000-0000-0000B49E0000}"/>
    <cellStyle name="常规 4 4 3 5" xfId="40629" xr:uid="{00000000-0005-0000-0000-0000B59E0000}"/>
    <cellStyle name="常规 4 4 3 5 2" xfId="40630" xr:uid="{00000000-0005-0000-0000-0000B69E0000}"/>
    <cellStyle name="常规 4 4 3 5 3" xfId="40631" xr:uid="{00000000-0005-0000-0000-0000B79E0000}"/>
    <cellStyle name="常规 4 4 3 5 4" xfId="40632" xr:uid="{00000000-0005-0000-0000-0000B89E0000}"/>
    <cellStyle name="常规 4 4 3 5 5" xfId="40633" xr:uid="{00000000-0005-0000-0000-0000B99E0000}"/>
    <cellStyle name="常规 4 4 3 5 5 2" xfId="40634" xr:uid="{00000000-0005-0000-0000-0000BA9E0000}"/>
    <cellStyle name="常规 4 4 3 6" xfId="40635" xr:uid="{00000000-0005-0000-0000-0000BB9E0000}"/>
    <cellStyle name="常规 4 4 3 6 2" xfId="40636" xr:uid="{00000000-0005-0000-0000-0000BC9E0000}"/>
    <cellStyle name="常规 4 4 3 6 2 2" xfId="40637" xr:uid="{00000000-0005-0000-0000-0000BD9E0000}"/>
    <cellStyle name="常规 4 4 3 7" xfId="40638" xr:uid="{00000000-0005-0000-0000-0000BE9E0000}"/>
    <cellStyle name="常规 4 4 3 7 2" xfId="40639" xr:uid="{00000000-0005-0000-0000-0000BF9E0000}"/>
    <cellStyle name="常规 4 4 3 7 2 2" xfId="40640" xr:uid="{00000000-0005-0000-0000-0000C09E0000}"/>
    <cellStyle name="常规 4 4 3 8" xfId="40641" xr:uid="{00000000-0005-0000-0000-0000C19E0000}"/>
    <cellStyle name="常规 4 4 3 8 2" xfId="40642" xr:uid="{00000000-0005-0000-0000-0000C29E0000}"/>
    <cellStyle name="常规 4 4 3 8 3" xfId="40643" xr:uid="{00000000-0005-0000-0000-0000C39E0000}"/>
    <cellStyle name="常规 4 4 3 9" xfId="40644" xr:uid="{00000000-0005-0000-0000-0000C49E0000}"/>
    <cellStyle name="常规 4 4 3 9 2" xfId="40645" xr:uid="{00000000-0005-0000-0000-0000C59E0000}"/>
    <cellStyle name="常规 4 4 4" xfId="40646" xr:uid="{00000000-0005-0000-0000-0000C69E0000}"/>
    <cellStyle name="常规 4 4 4 2" xfId="40647" xr:uid="{00000000-0005-0000-0000-0000C79E0000}"/>
    <cellStyle name="常规 4 4 4 2 2" xfId="40648" xr:uid="{00000000-0005-0000-0000-0000C89E0000}"/>
    <cellStyle name="常规 4 4 4 2 3" xfId="40649" xr:uid="{00000000-0005-0000-0000-0000C99E0000}"/>
    <cellStyle name="常规 4 4 4 2 4" xfId="40650" xr:uid="{00000000-0005-0000-0000-0000CA9E0000}"/>
    <cellStyle name="常规 4 4 4 2 5" xfId="40651" xr:uid="{00000000-0005-0000-0000-0000CB9E0000}"/>
    <cellStyle name="常规 4 4 4 2 5 2" xfId="40652" xr:uid="{00000000-0005-0000-0000-0000CC9E0000}"/>
    <cellStyle name="常规 4 4 4 3" xfId="40653" xr:uid="{00000000-0005-0000-0000-0000CD9E0000}"/>
    <cellStyle name="常规 4 4 4 3 2" xfId="40654" xr:uid="{00000000-0005-0000-0000-0000CE9E0000}"/>
    <cellStyle name="常规 4 4 4 3 2 2" xfId="40655" xr:uid="{00000000-0005-0000-0000-0000CF9E0000}"/>
    <cellStyle name="常规 4 4 4 4" xfId="40656" xr:uid="{00000000-0005-0000-0000-0000D09E0000}"/>
    <cellStyle name="常规 4 4 4 4 2" xfId="40657" xr:uid="{00000000-0005-0000-0000-0000D19E0000}"/>
    <cellStyle name="常规 4 4 4 4 2 2" xfId="40658" xr:uid="{00000000-0005-0000-0000-0000D29E0000}"/>
    <cellStyle name="常规 4 4 4 5" xfId="40659" xr:uid="{00000000-0005-0000-0000-0000D39E0000}"/>
    <cellStyle name="常规 4 4 4 5 2" xfId="40660" xr:uid="{00000000-0005-0000-0000-0000D49E0000}"/>
    <cellStyle name="常规 4 4 4 5 3" xfId="40661" xr:uid="{00000000-0005-0000-0000-0000D59E0000}"/>
    <cellStyle name="常规 4 4 4 6" xfId="40662" xr:uid="{00000000-0005-0000-0000-0000D69E0000}"/>
    <cellStyle name="常规 4 4 4 6 2" xfId="40663" xr:uid="{00000000-0005-0000-0000-0000D79E0000}"/>
    <cellStyle name="常规 4 4 4 7" xfId="40664" xr:uid="{00000000-0005-0000-0000-0000D89E0000}"/>
    <cellStyle name="常规 4 4 5" xfId="40665" xr:uid="{00000000-0005-0000-0000-0000D99E0000}"/>
    <cellStyle name="常规 4 4 5 2" xfId="40666" xr:uid="{00000000-0005-0000-0000-0000DA9E0000}"/>
    <cellStyle name="常规 4 4 5 2 2" xfId="40667" xr:uid="{00000000-0005-0000-0000-0000DB9E0000}"/>
    <cellStyle name="常规 4 4 5 2 3" xfId="40668" xr:uid="{00000000-0005-0000-0000-0000DC9E0000}"/>
    <cellStyle name="常规 4 4 5 2 4" xfId="40669" xr:uid="{00000000-0005-0000-0000-0000DD9E0000}"/>
    <cellStyle name="常规 4 4 5 3" xfId="40670" xr:uid="{00000000-0005-0000-0000-0000DE9E0000}"/>
    <cellStyle name="常规 4 4 5 4" xfId="40671" xr:uid="{00000000-0005-0000-0000-0000DF9E0000}"/>
    <cellStyle name="常规 4 4 5 5" xfId="40672" xr:uid="{00000000-0005-0000-0000-0000E09E0000}"/>
    <cellStyle name="常规 4 4 5 6" xfId="40673" xr:uid="{00000000-0005-0000-0000-0000E19E0000}"/>
    <cellStyle name="常规 4 4 5 6 2" xfId="40674" xr:uid="{00000000-0005-0000-0000-0000E29E0000}"/>
    <cellStyle name="常规 4 4 6" xfId="40675" xr:uid="{00000000-0005-0000-0000-0000E39E0000}"/>
    <cellStyle name="常规 4 4 6 2" xfId="40676" xr:uid="{00000000-0005-0000-0000-0000E49E0000}"/>
    <cellStyle name="常规 4 4 6 3" xfId="40677" xr:uid="{00000000-0005-0000-0000-0000E59E0000}"/>
    <cellStyle name="常规 4 4 6 4" xfId="40678" xr:uid="{00000000-0005-0000-0000-0000E69E0000}"/>
    <cellStyle name="常规 4 4 6 5" xfId="40679" xr:uid="{00000000-0005-0000-0000-0000E79E0000}"/>
    <cellStyle name="常规 4 4 6 5 2" xfId="40680" xr:uid="{00000000-0005-0000-0000-0000E89E0000}"/>
    <cellStyle name="常规 4 4 7" xfId="40681" xr:uid="{00000000-0005-0000-0000-0000E99E0000}"/>
    <cellStyle name="常规 4 4 7 2" xfId="40682" xr:uid="{00000000-0005-0000-0000-0000EA9E0000}"/>
    <cellStyle name="常规 4 4 7 2 2" xfId="40683" xr:uid="{00000000-0005-0000-0000-0000EB9E0000}"/>
    <cellStyle name="常规 4 4 8" xfId="40684" xr:uid="{00000000-0005-0000-0000-0000EC9E0000}"/>
    <cellStyle name="常规 4 4 8 2" xfId="40685" xr:uid="{00000000-0005-0000-0000-0000ED9E0000}"/>
    <cellStyle name="常规 4 4 8 2 2" xfId="40686" xr:uid="{00000000-0005-0000-0000-0000EE9E0000}"/>
    <cellStyle name="常规 4 4 9" xfId="40687" xr:uid="{00000000-0005-0000-0000-0000EF9E0000}"/>
    <cellStyle name="常规 4 4 9 2" xfId="40688" xr:uid="{00000000-0005-0000-0000-0000F09E0000}"/>
    <cellStyle name="常规 4 4 9 2 2" xfId="40689" xr:uid="{00000000-0005-0000-0000-0000F19E0000}"/>
    <cellStyle name="常规 4 5" xfId="40690" xr:uid="{00000000-0005-0000-0000-0000F29E0000}"/>
    <cellStyle name="常规 4 5 10" xfId="40691" xr:uid="{00000000-0005-0000-0000-0000F39E0000}"/>
    <cellStyle name="常规 4 5 10 2" xfId="40692" xr:uid="{00000000-0005-0000-0000-0000F49E0000}"/>
    <cellStyle name="常规 4 5 2" xfId="40693" xr:uid="{00000000-0005-0000-0000-0000F59E0000}"/>
    <cellStyle name="常规 4 5 2 10" xfId="40694" xr:uid="{00000000-0005-0000-0000-0000F69E0000}"/>
    <cellStyle name="常规 4 5 2 2" xfId="40695" xr:uid="{00000000-0005-0000-0000-0000F79E0000}"/>
    <cellStyle name="常规 4 5 2 2 2" xfId="40696" xr:uid="{00000000-0005-0000-0000-0000F89E0000}"/>
    <cellStyle name="常规 4 5 2 2 2 2" xfId="40697" xr:uid="{00000000-0005-0000-0000-0000F99E0000}"/>
    <cellStyle name="常规 4 5 2 2 2 2 2" xfId="40698" xr:uid="{00000000-0005-0000-0000-0000FA9E0000}"/>
    <cellStyle name="常规 4 5 2 2 2 2 3" xfId="40699" xr:uid="{00000000-0005-0000-0000-0000FB9E0000}"/>
    <cellStyle name="常规 4 5 2 2 2 2 4" xfId="40700" xr:uid="{00000000-0005-0000-0000-0000FC9E0000}"/>
    <cellStyle name="常规 4 5 2 2 2 3" xfId="40701" xr:uid="{00000000-0005-0000-0000-0000FD9E0000}"/>
    <cellStyle name="常规 4 5 2 2 2 4" xfId="40702" xr:uid="{00000000-0005-0000-0000-0000FE9E0000}"/>
    <cellStyle name="常规 4 5 2 2 2 5" xfId="40703" xr:uid="{00000000-0005-0000-0000-0000FF9E0000}"/>
    <cellStyle name="常规 4 5 2 2 2 6" xfId="40704" xr:uid="{00000000-0005-0000-0000-0000009F0000}"/>
    <cellStyle name="常规 4 5 2 2 2 6 2" xfId="40705" xr:uid="{00000000-0005-0000-0000-0000019F0000}"/>
    <cellStyle name="常规 4 5 2 2 3" xfId="40706" xr:uid="{00000000-0005-0000-0000-0000029F0000}"/>
    <cellStyle name="常规 4 5 2 2 3 2" xfId="40707" xr:uid="{00000000-0005-0000-0000-0000039F0000}"/>
    <cellStyle name="常规 4 5 2 2 3 2 2" xfId="40708" xr:uid="{00000000-0005-0000-0000-0000049F0000}"/>
    <cellStyle name="常规 4 5 2 2 3 2 3" xfId="40709" xr:uid="{00000000-0005-0000-0000-0000059F0000}"/>
    <cellStyle name="常规 4 5 2 2 3 2 4" xfId="40710" xr:uid="{00000000-0005-0000-0000-0000069F0000}"/>
    <cellStyle name="常规 4 5 2 2 3 3" xfId="40711" xr:uid="{00000000-0005-0000-0000-0000079F0000}"/>
    <cellStyle name="常规 4 5 2 2 3 4" xfId="40712" xr:uid="{00000000-0005-0000-0000-0000089F0000}"/>
    <cellStyle name="常规 4 5 2 2 3 5" xfId="40713" xr:uid="{00000000-0005-0000-0000-0000099F0000}"/>
    <cellStyle name="常规 4 5 2 2 3 6" xfId="40714" xr:uid="{00000000-0005-0000-0000-00000A9F0000}"/>
    <cellStyle name="常规 4 5 2 2 3 6 2" xfId="40715" xr:uid="{00000000-0005-0000-0000-00000B9F0000}"/>
    <cellStyle name="常规 4 5 2 2 4" xfId="40716" xr:uid="{00000000-0005-0000-0000-00000C9F0000}"/>
    <cellStyle name="常规 4 5 2 2 4 2" xfId="40717" xr:uid="{00000000-0005-0000-0000-00000D9F0000}"/>
    <cellStyle name="常规 4 5 2 2 4 2 2" xfId="40718" xr:uid="{00000000-0005-0000-0000-00000E9F0000}"/>
    <cellStyle name="常规 4 5 2 2 4 3" xfId="40719" xr:uid="{00000000-0005-0000-0000-00000F9F0000}"/>
    <cellStyle name="常规 4 5 2 2 4 4" xfId="40720" xr:uid="{00000000-0005-0000-0000-0000109F0000}"/>
    <cellStyle name="常规 4 5 2 2 4 5" xfId="40721" xr:uid="{00000000-0005-0000-0000-0000119F0000}"/>
    <cellStyle name="常规 4 5 2 2 5" xfId="40722" xr:uid="{00000000-0005-0000-0000-0000129F0000}"/>
    <cellStyle name="常规 4 5 2 2 5 2" xfId="40723" xr:uid="{00000000-0005-0000-0000-0000139F0000}"/>
    <cellStyle name="常规 4 5 2 2 5 3" xfId="40724" xr:uid="{00000000-0005-0000-0000-0000149F0000}"/>
    <cellStyle name="常规 4 5 2 2 6" xfId="40725" xr:uid="{00000000-0005-0000-0000-0000159F0000}"/>
    <cellStyle name="常规 4 5 2 2 7" xfId="40726" xr:uid="{00000000-0005-0000-0000-0000169F0000}"/>
    <cellStyle name="常规 4 5 2 2 8" xfId="40727" xr:uid="{00000000-0005-0000-0000-0000179F0000}"/>
    <cellStyle name="常规 4 5 2 2 8 2" xfId="40728" xr:uid="{00000000-0005-0000-0000-0000189F0000}"/>
    <cellStyle name="常规 4 5 2 2 9" xfId="40729" xr:uid="{00000000-0005-0000-0000-0000199F0000}"/>
    <cellStyle name="常规 4 5 2 3" xfId="40730" xr:uid="{00000000-0005-0000-0000-00001A9F0000}"/>
    <cellStyle name="常规 4 5 2 3 2" xfId="40731" xr:uid="{00000000-0005-0000-0000-00001B9F0000}"/>
    <cellStyle name="常规 4 5 2 3 2 2" xfId="40732" xr:uid="{00000000-0005-0000-0000-00001C9F0000}"/>
    <cellStyle name="常规 4 5 2 3 2 3" xfId="40733" xr:uid="{00000000-0005-0000-0000-00001D9F0000}"/>
    <cellStyle name="常规 4 5 2 3 2 4" xfId="40734" xr:uid="{00000000-0005-0000-0000-00001E9F0000}"/>
    <cellStyle name="常规 4 5 2 3 3" xfId="40735" xr:uid="{00000000-0005-0000-0000-00001F9F0000}"/>
    <cellStyle name="常规 4 5 2 3 4" xfId="40736" xr:uid="{00000000-0005-0000-0000-0000209F0000}"/>
    <cellStyle name="常规 4 5 2 3 5" xfId="40737" xr:uid="{00000000-0005-0000-0000-0000219F0000}"/>
    <cellStyle name="常规 4 5 2 3 6" xfId="40738" xr:uid="{00000000-0005-0000-0000-0000229F0000}"/>
    <cellStyle name="常规 4 5 2 3 6 2" xfId="40739" xr:uid="{00000000-0005-0000-0000-0000239F0000}"/>
    <cellStyle name="常规 4 5 2 4" xfId="40740" xr:uid="{00000000-0005-0000-0000-0000249F0000}"/>
    <cellStyle name="常规 4 5 2 4 2" xfId="40741" xr:uid="{00000000-0005-0000-0000-0000259F0000}"/>
    <cellStyle name="常规 4 5 2 4 2 2" xfId="40742" xr:uid="{00000000-0005-0000-0000-0000269F0000}"/>
    <cellStyle name="常规 4 5 2 4 2 3" xfId="40743" xr:uid="{00000000-0005-0000-0000-0000279F0000}"/>
    <cellStyle name="常规 4 5 2 4 2 4" xfId="40744" xr:uid="{00000000-0005-0000-0000-0000289F0000}"/>
    <cellStyle name="常规 4 5 2 4 3" xfId="40745" xr:uid="{00000000-0005-0000-0000-0000299F0000}"/>
    <cellStyle name="常规 4 5 2 4 4" xfId="40746" xr:uid="{00000000-0005-0000-0000-00002A9F0000}"/>
    <cellStyle name="常规 4 5 2 4 5" xfId="40747" xr:uid="{00000000-0005-0000-0000-00002B9F0000}"/>
    <cellStyle name="常规 4 5 2 4 6" xfId="40748" xr:uid="{00000000-0005-0000-0000-00002C9F0000}"/>
    <cellStyle name="常规 4 5 2 4 6 2" xfId="40749" xr:uid="{00000000-0005-0000-0000-00002D9F0000}"/>
    <cellStyle name="常规 4 5 2 5" xfId="40750" xr:uid="{00000000-0005-0000-0000-00002E9F0000}"/>
    <cellStyle name="常规 4 5 2 5 2" xfId="40751" xr:uid="{00000000-0005-0000-0000-00002F9F0000}"/>
    <cellStyle name="常规 4 5 2 5 3" xfId="40752" xr:uid="{00000000-0005-0000-0000-0000309F0000}"/>
    <cellStyle name="常规 4 5 2 5 4" xfId="40753" xr:uid="{00000000-0005-0000-0000-0000319F0000}"/>
    <cellStyle name="常规 4 5 2 5 5" xfId="40754" xr:uid="{00000000-0005-0000-0000-0000329F0000}"/>
    <cellStyle name="常规 4 5 2 5 5 2" xfId="40755" xr:uid="{00000000-0005-0000-0000-0000339F0000}"/>
    <cellStyle name="常规 4 5 2 6" xfId="40756" xr:uid="{00000000-0005-0000-0000-0000349F0000}"/>
    <cellStyle name="常规 4 5 2 6 2" xfId="40757" xr:uid="{00000000-0005-0000-0000-0000359F0000}"/>
    <cellStyle name="常规 4 5 2 6 2 2" xfId="40758" xr:uid="{00000000-0005-0000-0000-0000369F0000}"/>
    <cellStyle name="常规 4 5 2 7" xfId="40759" xr:uid="{00000000-0005-0000-0000-0000379F0000}"/>
    <cellStyle name="常规 4 5 2 7 2" xfId="40760" xr:uid="{00000000-0005-0000-0000-0000389F0000}"/>
    <cellStyle name="常规 4 5 2 7 2 2" xfId="40761" xr:uid="{00000000-0005-0000-0000-0000399F0000}"/>
    <cellStyle name="常规 4 5 2 8" xfId="40762" xr:uid="{00000000-0005-0000-0000-00003A9F0000}"/>
    <cellStyle name="常规 4 5 2 8 2" xfId="40763" xr:uid="{00000000-0005-0000-0000-00003B9F0000}"/>
    <cellStyle name="常规 4 5 2 8 3" xfId="40764" xr:uid="{00000000-0005-0000-0000-00003C9F0000}"/>
    <cellStyle name="常规 4 5 2 9" xfId="40765" xr:uid="{00000000-0005-0000-0000-00003D9F0000}"/>
    <cellStyle name="常规 4 5 2 9 2" xfId="40766" xr:uid="{00000000-0005-0000-0000-00003E9F0000}"/>
    <cellStyle name="常规 4 5 3" xfId="40767" xr:uid="{00000000-0005-0000-0000-00003F9F0000}"/>
    <cellStyle name="常规 4 5 3 2" xfId="40768" xr:uid="{00000000-0005-0000-0000-0000409F0000}"/>
    <cellStyle name="常规 4 5 3 2 2" xfId="40769" xr:uid="{00000000-0005-0000-0000-0000419F0000}"/>
    <cellStyle name="常规 4 5 3 2 2 2" xfId="40770" xr:uid="{00000000-0005-0000-0000-0000429F0000}"/>
    <cellStyle name="常规 4 5 3 2 2 2 2" xfId="40771" xr:uid="{00000000-0005-0000-0000-0000439F0000}"/>
    <cellStyle name="常规 4 5 3 2 3" xfId="40772" xr:uid="{00000000-0005-0000-0000-0000449F0000}"/>
    <cellStyle name="常规 4 5 3 2 3 2" xfId="40773" xr:uid="{00000000-0005-0000-0000-0000459F0000}"/>
    <cellStyle name="常规 4 5 3 2 3 2 2" xfId="40774" xr:uid="{00000000-0005-0000-0000-0000469F0000}"/>
    <cellStyle name="常规 4 5 3 2 4" xfId="40775" xr:uid="{00000000-0005-0000-0000-0000479F0000}"/>
    <cellStyle name="常规 4 5 3 2 4 2" xfId="40776" xr:uid="{00000000-0005-0000-0000-0000489F0000}"/>
    <cellStyle name="常规 4 5 3 2 4 2 2" xfId="40777" xr:uid="{00000000-0005-0000-0000-0000499F0000}"/>
    <cellStyle name="常规 4 5 3 2 5" xfId="40778" xr:uid="{00000000-0005-0000-0000-00004A9F0000}"/>
    <cellStyle name="常规 4 5 3 2 5 2" xfId="40779" xr:uid="{00000000-0005-0000-0000-00004B9F0000}"/>
    <cellStyle name="常规 4 5 3 2 5 3" xfId="40780" xr:uid="{00000000-0005-0000-0000-00004C9F0000}"/>
    <cellStyle name="常规 4 5 3 2 6" xfId="40781" xr:uid="{00000000-0005-0000-0000-00004D9F0000}"/>
    <cellStyle name="常规 4 5 3 3" xfId="40782" xr:uid="{00000000-0005-0000-0000-00004E9F0000}"/>
    <cellStyle name="常规 4 5 3 3 2" xfId="40783" xr:uid="{00000000-0005-0000-0000-00004F9F0000}"/>
    <cellStyle name="常规 4 5 3 3 2 2" xfId="40784" xr:uid="{00000000-0005-0000-0000-0000509F0000}"/>
    <cellStyle name="常规 4 5 3 3 2 2 2" xfId="40785" xr:uid="{00000000-0005-0000-0000-0000519F0000}"/>
    <cellStyle name="常规 4 5 3 3 3" xfId="40786" xr:uid="{00000000-0005-0000-0000-0000529F0000}"/>
    <cellStyle name="常规 4 5 3 3 3 2" xfId="40787" xr:uid="{00000000-0005-0000-0000-0000539F0000}"/>
    <cellStyle name="常规 4 5 3 3 3 2 2" xfId="40788" xr:uid="{00000000-0005-0000-0000-0000549F0000}"/>
    <cellStyle name="常规 4 5 3 3 4" xfId="40789" xr:uid="{00000000-0005-0000-0000-0000559F0000}"/>
    <cellStyle name="常规 4 5 3 3 4 2" xfId="40790" xr:uid="{00000000-0005-0000-0000-0000569F0000}"/>
    <cellStyle name="常规 4 5 3 3 5" xfId="40791" xr:uid="{00000000-0005-0000-0000-0000579F0000}"/>
    <cellStyle name="常规 4 5 3 4" xfId="40792" xr:uid="{00000000-0005-0000-0000-0000589F0000}"/>
    <cellStyle name="常规 4 5 3 4 2" xfId="40793" xr:uid="{00000000-0005-0000-0000-0000599F0000}"/>
    <cellStyle name="常规 4 5 3 4 2 2" xfId="40794" xr:uid="{00000000-0005-0000-0000-00005A9F0000}"/>
    <cellStyle name="常规 4 5 3 5" xfId="40795" xr:uid="{00000000-0005-0000-0000-00005B9F0000}"/>
    <cellStyle name="常规 4 5 3 5 2" xfId="40796" xr:uid="{00000000-0005-0000-0000-00005C9F0000}"/>
    <cellStyle name="常规 4 5 3 5 2 2" xfId="40797" xr:uid="{00000000-0005-0000-0000-00005D9F0000}"/>
    <cellStyle name="常规 4 5 3 6" xfId="40798" xr:uid="{00000000-0005-0000-0000-00005E9F0000}"/>
    <cellStyle name="常规 4 5 3 7" xfId="40799" xr:uid="{00000000-0005-0000-0000-00005F9F0000}"/>
    <cellStyle name="常规 4 5 3 7 2" xfId="40800" xr:uid="{00000000-0005-0000-0000-0000609F0000}"/>
    <cellStyle name="常规 4 5 3 7 3" xfId="40801" xr:uid="{00000000-0005-0000-0000-0000619F0000}"/>
    <cellStyle name="常规 4 5 3 8" xfId="40802" xr:uid="{00000000-0005-0000-0000-0000629F0000}"/>
    <cellStyle name="常规 4 5 3 8 2" xfId="40803" xr:uid="{00000000-0005-0000-0000-0000639F0000}"/>
    <cellStyle name="常规 4 5 4" xfId="40804" xr:uid="{00000000-0005-0000-0000-0000649F0000}"/>
    <cellStyle name="常规 4 5 4 2" xfId="40805" xr:uid="{00000000-0005-0000-0000-0000659F0000}"/>
    <cellStyle name="常规 4 5 4 2 2" xfId="40806" xr:uid="{00000000-0005-0000-0000-0000669F0000}"/>
    <cellStyle name="常规 4 5 4 2 3" xfId="40807" xr:uid="{00000000-0005-0000-0000-0000679F0000}"/>
    <cellStyle name="常规 4 5 4 2 4" xfId="40808" xr:uid="{00000000-0005-0000-0000-0000689F0000}"/>
    <cellStyle name="常规 4 5 4 2 5" xfId="40809" xr:uid="{00000000-0005-0000-0000-0000699F0000}"/>
    <cellStyle name="常规 4 5 4 2 5 2" xfId="40810" xr:uid="{00000000-0005-0000-0000-00006A9F0000}"/>
    <cellStyle name="常规 4 5 4 3" xfId="40811" xr:uid="{00000000-0005-0000-0000-00006B9F0000}"/>
    <cellStyle name="常规 4 5 4 3 2" xfId="40812" xr:uid="{00000000-0005-0000-0000-00006C9F0000}"/>
    <cellStyle name="常规 4 5 4 3 2 2" xfId="40813" xr:uid="{00000000-0005-0000-0000-00006D9F0000}"/>
    <cellStyle name="常规 4 5 4 4" xfId="40814" xr:uid="{00000000-0005-0000-0000-00006E9F0000}"/>
    <cellStyle name="常规 4 5 4 4 2" xfId="40815" xr:uid="{00000000-0005-0000-0000-00006F9F0000}"/>
    <cellStyle name="常规 4 5 4 4 2 2" xfId="40816" xr:uid="{00000000-0005-0000-0000-0000709F0000}"/>
    <cellStyle name="常规 4 5 4 5" xfId="40817" xr:uid="{00000000-0005-0000-0000-0000719F0000}"/>
    <cellStyle name="常规 4 5 4 5 2" xfId="40818" xr:uid="{00000000-0005-0000-0000-0000729F0000}"/>
    <cellStyle name="常规 4 5 4 5 3" xfId="40819" xr:uid="{00000000-0005-0000-0000-0000739F0000}"/>
    <cellStyle name="常规 4 5 4 6" xfId="40820" xr:uid="{00000000-0005-0000-0000-0000749F0000}"/>
    <cellStyle name="常规 4 5 4 6 2" xfId="40821" xr:uid="{00000000-0005-0000-0000-0000759F0000}"/>
    <cellStyle name="常规 4 5 4 7" xfId="40822" xr:uid="{00000000-0005-0000-0000-0000769F0000}"/>
    <cellStyle name="常规 4 5 5" xfId="40823" xr:uid="{00000000-0005-0000-0000-0000779F0000}"/>
    <cellStyle name="常规 4 5 5 2" xfId="40824" xr:uid="{00000000-0005-0000-0000-0000789F0000}"/>
    <cellStyle name="常规 4 5 5 3" xfId="40825" xr:uid="{00000000-0005-0000-0000-0000799F0000}"/>
    <cellStyle name="常规 4 5 5 4" xfId="40826" xr:uid="{00000000-0005-0000-0000-00007A9F0000}"/>
    <cellStyle name="常规 4 5 5 5" xfId="40827" xr:uid="{00000000-0005-0000-0000-00007B9F0000}"/>
    <cellStyle name="常规 4 5 5 5 2" xfId="40828" xr:uid="{00000000-0005-0000-0000-00007C9F0000}"/>
    <cellStyle name="常规 4 5 6" xfId="40829" xr:uid="{00000000-0005-0000-0000-00007D9F0000}"/>
    <cellStyle name="常规 4 5 6 2" xfId="40830" xr:uid="{00000000-0005-0000-0000-00007E9F0000}"/>
    <cellStyle name="常规 4 5 6 2 2" xfId="40831" xr:uid="{00000000-0005-0000-0000-00007F9F0000}"/>
    <cellStyle name="常规 4 5 7" xfId="40832" xr:uid="{00000000-0005-0000-0000-0000809F0000}"/>
    <cellStyle name="常规 4 5 7 2" xfId="40833" xr:uid="{00000000-0005-0000-0000-0000819F0000}"/>
    <cellStyle name="常规 4 5 7 2 2" xfId="40834" xr:uid="{00000000-0005-0000-0000-0000829F0000}"/>
    <cellStyle name="常规 4 5 8" xfId="40835" xr:uid="{00000000-0005-0000-0000-0000839F0000}"/>
    <cellStyle name="常规 4 5 8 2" xfId="40836" xr:uid="{00000000-0005-0000-0000-0000849F0000}"/>
    <cellStyle name="常规 4 5 8 2 2" xfId="40837" xr:uid="{00000000-0005-0000-0000-0000859F0000}"/>
    <cellStyle name="常规 4 5 9" xfId="40838" xr:uid="{00000000-0005-0000-0000-0000869F0000}"/>
    <cellStyle name="常规 4 5 9 2" xfId="40839" xr:uid="{00000000-0005-0000-0000-0000879F0000}"/>
    <cellStyle name="常规 4 5 9 3" xfId="40840" xr:uid="{00000000-0005-0000-0000-0000889F0000}"/>
    <cellStyle name="常规 4 6" xfId="40841" xr:uid="{00000000-0005-0000-0000-0000899F0000}"/>
    <cellStyle name="常规 4 6 10" xfId="40842" xr:uid="{00000000-0005-0000-0000-00008A9F0000}"/>
    <cellStyle name="常规 4 6 2" xfId="40843" xr:uid="{00000000-0005-0000-0000-00008B9F0000}"/>
    <cellStyle name="常规 4 6 2 10" xfId="40844" xr:uid="{00000000-0005-0000-0000-00008C9F0000}"/>
    <cellStyle name="常规 4 6 2 2" xfId="40845" xr:uid="{00000000-0005-0000-0000-00008D9F0000}"/>
    <cellStyle name="常规 4 6 2 2 2" xfId="40846" xr:uid="{00000000-0005-0000-0000-00008E9F0000}"/>
    <cellStyle name="常规 4 6 2 2 2 2" xfId="40847" xr:uid="{00000000-0005-0000-0000-00008F9F0000}"/>
    <cellStyle name="常规 4 6 2 2 2 2 2" xfId="40848" xr:uid="{00000000-0005-0000-0000-0000909F0000}"/>
    <cellStyle name="常规 4 6 2 2 2 2 3" xfId="40849" xr:uid="{00000000-0005-0000-0000-0000919F0000}"/>
    <cellStyle name="常规 4 6 2 2 2 2 4" xfId="40850" xr:uid="{00000000-0005-0000-0000-0000929F0000}"/>
    <cellStyle name="常规 4 6 2 2 2 3" xfId="40851" xr:uid="{00000000-0005-0000-0000-0000939F0000}"/>
    <cellStyle name="常规 4 6 2 2 2 4" xfId="40852" xr:uid="{00000000-0005-0000-0000-0000949F0000}"/>
    <cellStyle name="常规 4 6 2 2 2 5" xfId="40853" xr:uid="{00000000-0005-0000-0000-0000959F0000}"/>
    <cellStyle name="常规 4 6 2 2 3" xfId="40854" xr:uid="{00000000-0005-0000-0000-0000969F0000}"/>
    <cellStyle name="常规 4 6 2 2 3 2" xfId="40855" xr:uid="{00000000-0005-0000-0000-0000979F0000}"/>
    <cellStyle name="常规 4 6 2 2 3 2 2" xfId="40856" xr:uid="{00000000-0005-0000-0000-0000989F0000}"/>
    <cellStyle name="常规 4 6 2 2 3 2 3" xfId="40857" xr:uid="{00000000-0005-0000-0000-0000999F0000}"/>
    <cellStyle name="常规 4 6 2 2 3 2 4" xfId="40858" xr:uid="{00000000-0005-0000-0000-00009A9F0000}"/>
    <cellStyle name="常规 4 6 2 2 3 3" xfId="40859" xr:uid="{00000000-0005-0000-0000-00009B9F0000}"/>
    <cellStyle name="常规 4 6 2 2 3 4" xfId="40860" xr:uid="{00000000-0005-0000-0000-00009C9F0000}"/>
    <cellStyle name="常规 4 6 2 2 3 5" xfId="40861" xr:uid="{00000000-0005-0000-0000-00009D9F0000}"/>
    <cellStyle name="常规 4 6 2 2 4" xfId="40862" xr:uid="{00000000-0005-0000-0000-00009E9F0000}"/>
    <cellStyle name="常规 4 6 2 2 4 2" xfId="40863" xr:uid="{00000000-0005-0000-0000-00009F9F0000}"/>
    <cellStyle name="常规 4 6 2 2 4 3" xfId="40864" xr:uid="{00000000-0005-0000-0000-0000A09F0000}"/>
    <cellStyle name="常规 4 6 2 2 4 4" xfId="40865" xr:uid="{00000000-0005-0000-0000-0000A19F0000}"/>
    <cellStyle name="常规 4 6 2 2 5" xfId="40866" xr:uid="{00000000-0005-0000-0000-0000A29F0000}"/>
    <cellStyle name="常规 4 6 2 2 6" xfId="40867" xr:uid="{00000000-0005-0000-0000-0000A39F0000}"/>
    <cellStyle name="常规 4 6 2 2 7" xfId="40868" xr:uid="{00000000-0005-0000-0000-0000A49F0000}"/>
    <cellStyle name="常规 4 6 2 2 8" xfId="40869" xr:uid="{00000000-0005-0000-0000-0000A59F0000}"/>
    <cellStyle name="常规 4 6 2 2 8 2" xfId="40870" xr:uid="{00000000-0005-0000-0000-0000A69F0000}"/>
    <cellStyle name="常规 4 6 2 3" xfId="40871" xr:uid="{00000000-0005-0000-0000-0000A79F0000}"/>
    <cellStyle name="常规 4 6 2 3 2" xfId="40872" xr:uid="{00000000-0005-0000-0000-0000A89F0000}"/>
    <cellStyle name="常规 4 6 2 3 2 2" xfId="40873" xr:uid="{00000000-0005-0000-0000-0000A99F0000}"/>
    <cellStyle name="常规 4 6 2 3 2 3" xfId="40874" xr:uid="{00000000-0005-0000-0000-0000AA9F0000}"/>
    <cellStyle name="常规 4 6 2 3 2 4" xfId="40875" xr:uid="{00000000-0005-0000-0000-0000AB9F0000}"/>
    <cellStyle name="常规 4 6 2 3 3" xfId="40876" xr:uid="{00000000-0005-0000-0000-0000AC9F0000}"/>
    <cellStyle name="常规 4 6 2 3 4" xfId="40877" xr:uid="{00000000-0005-0000-0000-0000AD9F0000}"/>
    <cellStyle name="常规 4 6 2 3 5" xfId="40878" xr:uid="{00000000-0005-0000-0000-0000AE9F0000}"/>
    <cellStyle name="常规 4 6 2 3 6" xfId="40879" xr:uid="{00000000-0005-0000-0000-0000AF9F0000}"/>
    <cellStyle name="常规 4 6 2 3 6 2" xfId="40880" xr:uid="{00000000-0005-0000-0000-0000B09F0000}"/>
    <cellStyle name="常规 4 6 2 4" xfId="40881" xr:uid="{00000000-0005-0000-0000-0000B19F0000}"/>
    <cellStyle name="常规 4 6 2 4 2" xfId="40882" xr:uid="{00000000-0005-0000-0000-0000B29F0000}"/>
    <cellStyle name="常规 4 6 2 4 2 2" xfId="40883" xr:uid="{00000000-0005-0000-0000-0000B39F0000}"/>
    <cellStyle name="常规 4 6 2 4 2 3" xfId="40884" xr:uid="{00000000-0005-0000-0000-0000B49F0000}"/>
    <cellStyle name="常规 4 6 2 4 2 4" xfId="40885" xr:uid="{00000000-0005-0000-0000-0000B59F0000}"/>
    <cellStyle name="常规 4 6 2 4 2 5" xfId="40886" xr:uid="{00000000-0005-0000-0000-0000B69F0000}"/>
    <cellStyle name="常规 4 6 2 4 3" xfId="40887" xr:uid="{00000000-0005-0000-0000-0000B79F0000}"/>
    <cellStyle name="常规 4 6 2 4 4" xfId="40888" xr:uid="{00000000-0005-0000-0000-0000B89F0000}"/>
    <cellStyle name="常规 4 6 2 4 5" xfId="40889" xr:uid="{00000000-0005-0000-0000-0000B99F0000}"/>
    <cellStyle name="常规 4 6 2 4 6" xfId="40890" xr:uid="{00000000-0005-0000-0000-0000BA9F0000}"/>
    <cellStyle name="常规 4 6 2 5" xfId="40891" xr:uid="{00000000-0005-0000-0000-0000BB9F0000}"/>
    <cellStyle name="常规 4 6 2 5 2" xfId="40892" xr:uid="{00000000-0005-0000-0000-0000BC9F0000}"/>
    <cellStyle name="常规 4 6 2 5 2 2" xfId="40893" xr:uid="{00000000-0005-0000-0000-0000BD9F0000}"/>
    <cellStyle name="常规 4 6 2 5 3" xfId="40894" xr:uid="{00000000-0005-0000-0000-0000BE9F0000}"/>
    <cellStyle name="常规 4 6 2 5 4" xfId="40895" xr:uid="{00000000-0005-0000-0000-0000BF9F0000}"/>
    <cellStyle name="常规 4 6 2 5 5" xfId="40896" xr:uid="{00000000-0005-0000-0000-0000C09F0000}"/>
    <cellStyle name="常规 4 6 2 6" xfId="40897" xr:uid="{00000000-0005-0000-0000-0000C19F0000}"/>
    <cellStyle name="常规 4 6 2 7" xfId="40898" xr:uid="{00000000-0005-0000-0000-0000C29F0000}"/>
    <cellStyle name="常规 4 6 2 8" xfId="40899" xr:uid="{00000000-0005-0000-0000-0000C39F0000}"/>
    <cellStyle name="常规 4 6 2 9" xfId="40900" xr:uid="{00000000-0005-0000-0000-0000C49F0000}"/>
    <cellStyle name="常规 4 6 2 9 2" xfId="40901" xr:uid="{00000000-0005-0000-0000-0000C59F0000}"/>
    <cellStyle name="常规 4 6 3" xfId="40902" xr:uid="{00000000-0005-0000-0000-0000C69F0000}"/>
    <cellStyle name="常规 4 6 3 2" xfId="40903" xr:uid="{00000000-0005-0000-0000-0000C79F0000}"/>
    <cellStyle name="常规 4 6 3 2 2" xfId="40904" xr:uid="{00000000-0005-0000-0000-0000C89F0000}"/>
    <cellStyle name="常规 4 6 3 2 2 2" xfId="40905" xr:uid="{00000000-0005-0000-0000-0000C99F0000}"/>
    <cellStyle name="常规 4 6 3 2 3" xfId="40906" xr:uid="{00000000-0005-0000-0000-0000CA9F0000}"/>
    <cellStyle name="常规 4 6 3 2 4" xfId="40907" xr:uid="{00000000-0005-0000-0000-0000CB9F0000}"/>
    <cellStyle name="常规 4 6 3 2 5" xfId="40908" xr:uid="{00000000-0005-0000-0000-0000CC9F0000}"/>
    <cellStyle name="常规 4 6 3 2 5 2" xfId="40909" xr:uid="{00000000-0005-0000-0000-0000CD9F0000}"/>
    <cellStyle name="常规 4 6 3 2 6" xfId="40910" xr:uid="{00000000-0005-0000-0000-0000CE9F0000}"/>
    <cellStyle name="常规 4 6 3 3" xfId="40911" xr:uid="{00000000-0005-0000-0000-0000CF9F0000}"/>
    <cellStyle name="常规 4 6 3 3 2" xfId="40912" xr:uid="{00000000-0005-0000-0000-0000D09F0000}"/>
    <cellStyle name="常规 4 6 3 3 2 2" xfId="40913" xr:uid="{00000000-0005-0000-0000-0000D19F0000}"/>
    <cellStyle name="常规 4 6 3 4" xfId="40914" xr:uid="{00000000-0005-0000-0000-0000D29F0000}"/>
    <cellStyle name="常规 4 6 3 4 2" xfId="40915" xr:uid="{00000000-0005-0000-0000-0000D39F0000}"/>
    <cellStyle name="常规 4 6 3 4 3" xfId="40916" xr:uid="{00000000-0005-0000-0000-0000D49F0000}"/>
    <cellStyle name="常规 4 6 3 5" xfId="40917" xr:uid="{00000000-0005-0000-0000-0000D59F0000}"/>
    <cellStyle name="常规 4 6 3 5 2" xfId="40918" xr:uid="{00000000-0005-0000-0000-0000D69F0000}"/>
    <cellStyle name="常规 4 6 3 6" xfId="40919" xr:uid="{00000000-0005-0000-0000-0000D79F0000}"/>
    <cellStyle name="常规 4 6 3 6 2" xfId="40920" xr:uid="{00000000-0005-0000-0000-0000D89F0000}"/>
    <cellStyle name="常规 4 6 3 7" xfId="40921" xr:uid="{00000000-0005-0000-0000-0000D99F0000}"/>
    <cellStyle name="常规 4 6 4" xfId="40922" xr:uid="{00000000-0005-0000-0000-0000DA9F0000}"/>
    <cellStyle name="常规 4 6 4 2" xfId="40923" xr:uid="{00000000-0005-0000-0000-0000DB9F0000}"/>
    <cellStyle name="常规 4 6 4 2 2" xfId="40924" xr:uid="{00000000-0005-0000-0000-0000DC9F0000}"/>
    <cellStyle name="常规 4 6 4 2 3" xfId="40925" xr:uid="{00000000-0005-0000-0000-0000DD9F0000}"/>
    <cellStyle name="常规 4 6 4 2 4" xfId="40926" xr:uid="{00000000-0005-0000-0000-0000DE9F0000}"/>
    <cellStyle name="常规 4 6 4 3" xfId="40927" xr:uid="{00000000-0005-0000-0000-0000DF9F0000}"/>
    <cellStyle name="常规 4 6 4 4" xfId="40928" xr:uid="{00000000-0005-0000-0000-0000E09F0000}"/>
    <cellStyle name="常规 4 6 4 5" xfId="40929" xr:uid="{00000000-0005-0000-0000-0000E19F0000}"/>
    <cellStyle name="常规 4 6 4 6" xfId="40930" xr:uid="{00000000-0005-0000-0000-0000E29F0000}"/>
    <cellStyle name="常规 4 6 4 6 2" xfId="40931" xr:uid="{00000000-0005-0000-0000-0000E39F0000}"/>
    <cellStyle name="常规 4 6 5" xfId="40932" xr:uid="{00000000-0005-0000-0000-0000E49F0000}"/>
    <cellStyle name="常规 4 6 5 2" xfId="40933" xr:uid="{00000000-0005-0000-0000-0000E59F0000}"/>
    <cellStyle name="常规 4 6 5 3" xfId="40934" xr:uid="{00000000-0005-0000-0000-0000E69F0000}"/>
    <cellStyle name="常规 4 6 5 4" xfId="40935" xr:uid="{00000000-0005-0000-0000-0000E79F0000}"/>
    <cellStyle name="常规 4 6 5 5" xfId="40936" xr:uid="{00000000-0005-0000-0000-0000E89F0000}"/>
    <cellStyle name="常规 4 6 5 5 2" xfId="40937" xr:uid="{00000000-0005-0000-0000-0000E99F0000}"/>
    <cellStyle name="常规 4 6 6" xfId="40938" xr:uid="{00000000-0005-0000-0000-0000EA9F0000}"/>
    <cellStyle name="常规 4 6 6 2" xfId="40939" xr:uid="{00000000-0005-0000-0000-0000EB9F0000}"/>
    <cellStyle name="常规 4 6 6 2 2" xfId="40940" xr:uid="{00000000-0005-0000-0000-0000EC9F0000}"/>
    <cellStyle name="常规 4 6 7" xfId="40941" xr:uid="{00000000-0005-0000-0000-0000ED9F0000}"/>
    <cellStyle name="常规 4 6 7 2" xfId="40942" xr:uid="{00000000-0005-0000-0000-0000EE9F0000}"/>
    <cellStyle name="常规 4 6 7 2 2" xfId="40943" xr:uid="{00000000-0005-0000-0000-0000EF9F0000}"/>
    <cellStyle name="常规 4 6 8" xfId="40944" xr:uid="{00000000-0005-0000-0000-0000F09F0000}"/>
    <cellStyle name="常规 4 6 8 2" xfId="40945" xr:uid="{00000000-0005-0000-0000-0000F19F0000}"/>
    <cellStyle name="常规 4 6 8 3" xfId="40946" xr:uid="{00000000-0005-0000-0000-0000F29F0000}"/>
    <cellStyle name="常规 4 6 9" xfId="40947" xr:uid="{00000000-0005-0000-0000-0000F39F0000}"/>
    <cellStyle name="常规 4 6 9 2" xfId="40948" xr:uid="{00000000-0005-0000-0000-0000F49F0000}"/>
    <cellStyle name="常规 4 7" xfId="40949" xr:uid="{00000000-0005-0000-0000-0000F59F0000}"/>
    <cellStyle name="常规 4 7 10" xfId="40950" xr:uid="{00000000-0005-0000-0000-0000F69F0000}"/>
    <cellStyle name="常规 4 7 2" xfId="40951" xr:uid="{00000000-0005-0000-0000-0000F79F0000}"/>
    <cellStyle name="常规 4 7 2 2" xfId="40952" xr:uid="{00000000-0005-0000-0000-0000F89F0000}"/>
    <cellStyle name="常规 4 7 2 2 2" xfId="40953" xr:uid="{00000000-0005-0000-0000-0000F99F0000}"/>
    <cellStyle name="常规 4 7 2 2 2 2" xfId="40954" xr:uid="{00000000-0005-0000-0000-0000FA9F0000}"/>
    <cellStyle name="常规 4 7 2 2 2 3" xfId="40955" xr:uid="{00000000-0005-0000-0000-0000FB9F0000}"/>
    <cellStyle name="常规 4 7 2 2 2 4" xfId="40956" xr:uid="{00000000-0005-0000-0000-0000FC9F0000}"/>
    <cellStyle name="常规 4 7 2 2 3" xfId="40957" xr:uid="{00000000-0005-0000-0000-0000FD9F0000}"/>
    <cellStyle name="常规 4 7 2 2 4" xfId="40958" xr:uid="{00000000-0005-0000-0000-0000FE9F0000}"/>
    <cellStyle name="常规 4 7 2 2 5" xfId="40959" xr:uid="{00000000-0005-0000-0000-0000FF9F0000}"/>
    <cellStyle name="常规 4 7 2 2 6" xfId="40960" xr:uid="{00000000-0005-0000-0000-000000A00000}"/>
    <cellStyle name="常规 4 7 2 2 6 2" xfId="40961" xr:uid="{00000000-0005-0000-0000-000001A00000}"/>
    <cellStyle name="常规 4 7 2 3" xfId="40962" xr:uid="{00000000-0005-0000-0000-000002A00000}"/>
    <cellStyle name="常规 4 7 2 3 2" xfId="40963" xr:uid="{00000000-0005-0000-0000-000003A00000}"/>
    <cellStyle name="常规 4 7 2 3 2 2" xfId="40964" xr:uid="{00000000-0005-0000-0000-000004A00000}"/>
    <cellStyle name="常规 4 7 2 3 2 3" xfId="40965" xr:uid="{00000000-0005-0000-0000-000005A00000}"/>
    <cellStyle name="常规 4 7 2 3 2 4" xfId="40966" xr:uid="{00000000-0005-0000-0000-000006A00000}"/>
    <cellStyle name="常规 4 7 2 3 3" xfId="40967" xr:uid="{00000000-0005-0000-0000-000007A00000}"/>
    <cellStyle name="常规 4 7 2 3 4" xfId="40968" xr:uid="{00000000-0005-0000-0000-000008A00000}"/>
    <cellStyle name="常规 4 7 2 3 5" xfId="40969" xr:uid="{00000000-0005-0000-0000-000009A00000}"/>
    <cellStyle name="常规 4 7 2 3 6" xfId="40970" xr:uid="{00000000-0005-0000-0000-00000AA00000}"/>
    <cellStyle name="常规 4 7 2 3 6 2" xfId="40971" xr:uid="{00000000-0005-0000-0000-00000BA00000}"/>
    <cellStyle name="常规 4 7 2 4" xfId="40972" xr:uid="{00000000-0005-0000-0000-00000CA00000}"/>
    <cellStyle name="常规 4 7 2 4 2" xfId="40973" xr:uid="{00000000-0005-0000-0000-00000DA00000}"/>
    <cellStyle name="常规 4 7 2 4 2 2" xfId="40974" xr:uid="{00000000-0005-0000-0000-00000EA00000}"/>
    <cellStyle name="常规 4 7 2 4 3" xfId="40975" xr:uid="{00000000-0005-0000-0000-00000FA00000}"/>
    <cellStyle name="常规 4 7 2 4 4" xfId="40976" xr:uid="{00000000-0005-0000-0000-000010A00000}"/>
    <cellStyle name="常规 4 7 2 4 5" xfId="40977" xr:uid="{00000000-0005-0000-0000-000011A00000}"/>
    <cellStyle name="常规 4 7 2 5" xfId="40978" xr:uid="{00000000-0005-0000-0000-000012A00000}"/>
    <cellStyle name="常规 4 7 2 5 2" xfId="40979" xr:uid="{00000000-0005-0000-0000-000013A00000}"/>
    <cellStyle name="常规 4 7 2 5 3" xfId="40980" xr:uid="{00000000-0005-0000-0000-000014A00000}"/>
    <cellStyle name="常规 4 7 2 6" xfId="40981" xr:uid="{00000000-0005-0000-0000-000015A00000}"/>
    <cellStyle name="常规 4 7 2 7" xfId="40982" xr:uid="{00000000-0005-0000-0000-000016A00000}"/>
    <cellStyle name="常规 4 7 2 8" xfId="40983" xr:uid="{00000000-0005-0000-0000-000017A00000}"/>
    <cellStyle name="常规 4 7 2 8 2" xfId="40984" xr:uid="{00000000-0005-0000-0000-000018A00000}"/>
    <cellStyle name="常规 4 7 2 9" xfId="40985" xr:uid="{00000000-0005-0000-0000-000019A00000}"/>
    <cellStyle name="常规 4 7 3" xfId="40986" xr:uid="{00000000-0005-0000-0000-00001AA00000}"/>
    <cellStyle name="常规 4 7 3 2" xfId="40987" xr:uid="{00000000-0005-0000-0000-00001BA00000}"/>
    <cellStyle name="常规 4 7 3 2 2" xfId="40988" xr:uid="{00000000-0005-0000-0000-00001CA00000}"/>
    <cellStyle name="常规 4 7 3 2 3" xfId="40989" xr:uid="{00000000-0005-0000-0000-00001DA00000}"/>
    <cellStyle name="常规 4 7 3 2 4" xfId="40990" xr:uid="{00000000-0005-0000-0000-00001EA00000}"/>
    <cellStyle name="常规 4 7 3 3" xfId="40991" xr:uid="{00000000-0005-0000-0000-00001FA00000}"/>
    <cellStyle name="常规 4 7 3 4" xfId="40992" xr:uid="{00000000-0005-0000-0000-000020A00000}"/>
    <cellStyle name="常规 4 7 3 5" xfId="40993" xr:uid="{00000000-0005-0000-0000-000021A00000}"/>
    <cellStyle name="常规 4 7 3 6" xfId="40994" xr:uid="{00000000-0005-0000-0000-000022A00000}"/>
    <cellStyle name="常规 4 7 3 6 2" xfId="40995" xr:uid="{00000000-0005-0000-0000-000023A00000}"/>
    <cellStyle name="常规 4 7 4" xfId="40996" xr:uid="{00000000-0005-0000-0000-000024A00000}"/>
    <cellStyle name="常规 4 7 4 2" xfId="40997" xr:uid="{00000000-0005-0000-0000-000025A00000}"/>
    <cellStyle name="常规 4 7 4 2 2" xfId="40998" xr:uid="{00000000-0005-0000-0000-000026A00000}"/>
    <cellStyle name="常规 4 7 4 2 3" xfId="40999" xr:uid="{00000000-0005-0000-0000-000027A00000}"/>
    <cellStyle name="常规 4 7 4 2 4" xfId="41000" xr:uid="{00000000-0005-0000-0000-000028A00000}"/>
    <cellStyle name="常规 4 7 4 3" xfId="41001" xr:uid="{00000000-0005-0000-0000-000029A00000}"/>
    <cellStyle name="常规 4 7 4 4" xfId="41002" xr:uid="{00000000-0005-0000-0000-00002AA00000}"/>
    <cellStyle name="常规 4 7 4 5" xfId="41003" xr:uid="{00000000-0005-0000-0000-00002BA00000}"/>
    <cellStyle name="常规 4 7 4 6" xfId="41004" xr:uid="{00000000-0005-0000-0000-00002CA00000}"/>
    <cellStyle name="常规 4 7 4 6 2" xfId="41005" xr:uid="{00000000-0005-0000-0000-00002DA00000}"/>
    <cellStyle name="常规 4 7 5" xfId="41006" xr:uid="{00000000-0005-0000-0000-00002EA00000}"/>
    <cellStyle name="常规 4 7 5 2" xfId="41007" xr:uid="{00000000-0005-0000-0000-00002FA00000}"/>
    <cellStyle name="常规 4 7 5 3" xfId="41008" xr:uid="{00000000-0005-0000-0000-000030A00000}"/>
    <cellStyle name="常规 4 7 5 4" xfId="41009" xr:uid="{00000000-0005-0000-0000-000031A00000}"/>
    <cellStyle name="常规 4 7 5 5" xfId="41010" xr:uid="{00000000-0005-0000-0000-000032A00000}"/>
    <cellStyle name="常规 4 7 5 5 2" xfId="41011" xr:uid="{00000000-0005-0000-0000-000033A00000}"/>
    <cellStyle name="常规 4 7 6" xfId="41012" xr:uid="{00000000-0005-0000-0000-000034A00000}"/>
    <cellStyle name="常规 4 7 6 2" xfId="41013" xr:uid="{00000000-0005-0000-0000-000035A00000}"/>
    <cellStyle name="常规 4 7 6 2 2" xfId="41014" xr:uid="{00000000-0005-0000-0000-000036A00000}"/>
    <cellStyle name="常规 4 7 7" xfId="41015" xr:uid="{00000000-0005-0000-0000-000037A00000}"/>
    <cellStyle name="常规 4 7 7 2" xfId="41016" xr:uid="{00000000-0005-0000-0000-000038A00000}"/>
    <cellStyle name="常规 4 7 7 2 2" xfId="41017" xr:uid="{00000000-0005-0000-0000-000039A00000}"/>
    <cellStyle name="常规 4 7 8" xfId="41018" xr:uid="{00000000-0005-0000-0000-00003AA00000}"/>
    <cellStyle name="常规 4 7 8 2" xfId="41019" xr:uid="{00000000-0005-0000-0000-00003BA00000}"/>
    <cellStyle name="常规 4 7 8 3" xfId="41020" xr:uid="{00000000-0005-0000-0000-00003CA00000}"/>
    <cellStyle name="常规 4 7 9" xfId="41021" xr:uid="{00000000-0005-0000-0000-00003DA00000}"/>
    <cellStyle name="常规 4 7 9 2" xfId="41022" xr:uid="{00000000-0005-0000-0000-00003EA00000}"/>
    <cellStyle name="常规 4 8" xfId="41023" xr:uid="{00000000-0005-0000-0000-00003FA00000}"/>
    <cellStyle name="常规 4 8 2" xfId="41024" xr:uid="{00000000-0005-0000-0000-000040A00000}"/>
    <cellStyle name="常规 4 8 2 2" xfId="41025" xr:uid="{00000000-0005-0000-0000-000041A00000}"/>
    <cellStyle name="常规 4 8 2 2 2" xfId="41026" xr:uid="{00000000-0005-0000-0000-000042A00000}"/>
    <cellStyle name="常规 4 8 2 2 3" xfId="41027" xr:uid="{00000000-0005-0000-0000-000043A00000}"/>
    <cellStyle name="常规 4 8 2 2 4" xfId="41028" xr:uid="{00000000-0005-0000-0000-000044A00000}"/>
    <cellStyle name="常规 4 8 2 2 5" xfId="41029" xr:uid="{00000000-0005-0000-0000-000045A00000}"/>
    <cellStyle name="常规 4 8 2 2 5 2" xfId="41030" xr:uid="{00000000-0005-0000-0000-000046A00000}"/>
    <cellStyle name="常规 4 8 2 3" xfId="41031" xr:uid="{00000000-0005-0000-0000-000047A00000}"/>
    <cellStyle name="常规 4 8 2 3 2" xfId="41032" xr:uid="{00000000-0005-0000-0000-000048A00000}"/>
    <cellStyle name="常规 4 8 2 3 2 2" xfId="41033" xr:uid="{00000000-0005-0000-0000-000049A00000}"/>
    <cellStyle name="常规 4 8 2 4" xfId="41034" xr:uid="{00000000-0005-0000-0000-00004AA00000}"/>
    <cellStyle name="常规 4 8 2 4 2" xfId="41035" xr:uid="{00000000-0005-0000-0000-00004BA00000}"/>
    <cellStyle name="常规 4 8 2 4 2 2" xfId="41036" xr:uid="{00000000-0005-0000-0000-00004CA00000}"/>
    <cellStyle name="常规 4 8 2 5" xfId="41037" xr:uid="{00000000-0005-0000-0000-00004DA00000}"/>
    <cellStyle name="常规 4 8 2 5 2" xfId="41038" xr:uid="{00000000-0005-0000-0000-00004EA00000}"/>
    <cellStyle name="常规 4 8 2 5 3" xfId="41039" xr:uid="{00000000-0005-0000-0000-00004FA00000}"/>
    <cellStyle name="常规 4 8 2 6" xfId="41040" xr:uid="{00000000-0005-0000-0000-000050A00000}"/>
    <cellStyle name="常规 4 8 2 6 2" xfId="41041" xr:uid="{00000000-0005-0000-0000-000051A00000}"/>
    <cellStyle name="常规 4 8 2 7" xfId="41042" xr:uid="{00000000-0005-0000-0000-000052A00000}"/>
    <cellStyle name="常规 4 8 3" xfId="41043" xr:uid="{00000000-0005-0000-0000-000053A00000}"/>
    <cellStyle name="常规 4 8 3 2" xfId="41044" xr:uid="{00000000-0005-0000-0000-000054A00000}"/>
    <cellStyle name="常规 4 8 3 2 2" xfId="41045" xr:uid="{00000000-0005-0000-0000-000055A00000}"/>
    <cellStyle name="常规 4 8 3 2 3" xfId="41046" xr:uid="{00000000-0005-0000-0000-000056A00000}"/>
    <cellStyle name="常规 4 8 3 2 4" xfId="41047" xr:uid="{00000000-0005-0000-0000-000057A00000}"/>
    <cellStyle name="常规 4 8 3 3" xfId="41048" xr:uid="{00000000-0005-0000-0000-000058A00000}"/>
    <cellStyle name="常规 4 8 3 4" xfId="41049" xr:uid="{00000000-0005-0000-0000-000059A00000}"/>
    <cellStyle name="常规 4 8 3 5" xfId="41050" xr:uid="{00000000-0005-0000-0000-00005AA00000}"/>
    <cellStyle name="常规 4 8 3 6" xfId="41051" xr:uid="{00000000-0005-0000-0000-00005BA00000}"/>
    <cellStyle name="常规 4 8 3 6 2" xfId="41052" xr:uid="{00000000-0005-0000-0000-00005CA00000}"/>
    <cellStyle name="常规 4 8 4" xfId="41053" xr:uid="{00000000-0005-0000-0000-00005DA00000}"/>
    <cellStyle name="常规 4 8 4 2" xfId="41054" xr:uid="{00000000-0005-0000-0000-00005EA00000}"/>
    <cellStyle name="常规 4 8 4 3" xfId="41055" xr:uid="{00000000-0005-0000-0000-00005FA00000}"/>
    <cellStyle name="常规 4 8 4 4" xfId="41056" xr:uid="{00000000-0005-0000-0000-000060A00000}"/>
    <cellStyle name="常规 4 8 4 5" xfId="41057" xr:uid="{00000000-0005-0000-0000-000061A00000}"/>
    <cellStyle name="常规 4 8 4 5 2" xfId="41058" xr:uid="{00000000-0005-0000-0000-000062A00000}"/>
    <cellStyle name="常规 4 8 5" xfId="41059" xr:uid="{00000000-0005-0000-0000-000063A00000}"/>
    <cellStyle name="常规 4 8 5 2" xfId="41060" xr:uid="{00000000-0005-0000-0000-000064A00000}"/>
    <cellStyle name="常规 4 8 5 2 2" xfId="41061" xr:uid="{00000000-0005-0000-0000-000065A00000}"/>
    <cellStyle name="常规 4 8 6" xfId="41062" xr:uid="{00000000-0005-0000-0000-000066A00000}"/>
    <cellStyle name="常规 4 8 6 2" xfId="41063" xr:uid="{00000000-0005-0000-0000-000067A00000}"/>
    <cellStyle name="常规 4 8 6 2 2" xfId="41064" xr:uid="{00000000-0005-0000-0000-000068A00000}"/>
    <cellStyle name="常规 4 8 7" xfId="41065" xr:uid="{00000000-0005-0000-0000-000069A00000}"/>
    <cellStyle name="常规 4 8 7 2" xfId="41066" xr:uid="{00000000-0005-0000-0000-00006AA00000}"/>
    <cellStyle name="常规 4 8 7 3" xfId="41067" xr:uid="{00000000-0005-0000-0000-00006BA00000}"/>
    <cellStyle name="常规 4 8 8" xfId="41068" xr:uid="{00000000-0005-0000-0000-00006CA00000}"/>
    <cellStyle name="常规 4 8 8 2" xfId="41069" xr:uid="{00000000-0005-0000-0000-00006DA00000}"/>
    <cellStyle name="常规 4 8 9" xfId="41070" xr:uid="{00000000-0005-0000-0000-00006EA00000}"/>
    <cellStyle name="常规 4 9" xfId="41071" xr:uid="{00000000-0005-0000-0000-00006FA00000}"/>
    <cellStyle name="常规 4 9 2" xfId="41072" xr:uid="{00000000-0005-0000-0000-000070A00000}"/>
    <cellStyle name="常规 4 9 2 2" xfId="41073" xr:uid="{00000000-0005-0000-0000-000071A00000}"/>
    <cellStyle name="常规 4 9 2 2 2" xfId="41074" xr:uid="{00000000-0005-0000-0000-000072A00000}"/>
    <cellStyle name="常规 4 9 2 2 2 2" xfId="41075" xr:uid="{00000000-0005-0000-0000-000073A00000}"/>
    <cellStyle name="常规 4 9 2 2 3" xfId="41076" xr:uid="{00000000-0005-0000-0000-000074A00000}"/>
    <cellStyle name="常规 4 9 2 2 4" xfId="41077" xr:uid="{00000000-0005-0000-0000-000075A00000}"/>
    <cellStyle name="常规 4 9 2 2 5" xfId="41078" xr:uid="{00000000-0005-0000-0000-000076A00000}"/>
    <cellStyle name="常规 4 9 2 2 5 2" xfId="41079" xr:uid="{00000000-0005-0000-0000-000077A00000}"/>
    <cellStyle name="常规 4 9 2 2 6" xfId="41080" xr:uid="{00000000-0005-0000-0000-000078A00000}"/>
    <cellStyle name="常规 4 9 2 3" xfId="41081" xr:uid="{00000000-0005-0000-0000-000079A00000}"/>
    <cellStyle name="常规 4 9 2 3 2" xfId="41082" xr:uid="{00000000-0005-0000-0000-00007AA00000}"/>
    <cellStyle name="常规 4 9 2 3 2 2" xfId="41083" xr:uid="{00000000-0005-0000-0000-00007BA00000}"/>
    <cellStyle name="常规 4 9 2 4" xfId="41084" xr:uid="{00000000-0005-0000-0000-00007CA00000}"/>
    <cellStyle name="常规 4 9 2 4 2" xfId="41085" xr:uid="{00000000-0005-0000-0000-00007DA00000}"/>
    <cellStyle name="常规 4 9 2 4 3" xfId="41086" xr:uid="{00000000-0005-0000-0000-00007EA00000}"/>
    <cellStyle name="常规 4 9 2 5" xfId="41087" xr:uid="{00000000-0005-0000-0000-00007FA00000}"/>
    <cellStyle name="常规 4 9 2 5 2" xfId="41088" xr:uid="{00000000-0005-0000-0000-000080A00000}"/>
    <cellStyle name="常规 4 9 2 6" xfId="41089" xr:uid="{00000000-0005-0000-0000-000081A00000}"/>
    <cellStyle name="常规 4 9 2 6 2" xfId="41090" xr:uid="{00000000-0005-0000-0000-000082A00000}"/>
    <cellStyle name="常规 4 9 2 7" xfId="41091" xr:uid="{00000000-0005-0000-0000-000083A00000}"/>
    <cellStyle name="常规 4 9 3" xfId="41092" xr:uid="{00000000-0005-0000-0000-000084A00000}"/>
    <cellStyle name="常规 4 9 3 2" xfId="41093" xr:uid="{00000000-0005-0000-0000-000085A00000}"/>
    <cellStyle name="常规 4 9 3 2 2" xfId="41094" xr:uid="{00000000-0005-0000-0000-000086A00000}"/>
    <cellStyle name="常规 4 9 3 2 3" xfId="41095" xr:uid="{00000000-0005-0000-0000-000087A00000}"/>
    <cellStyle name="常规 4 9 3 2 4" xfId="41096" xr:uid="{00000000-0005-0000-0000-000088A00000}"/>
    <cellStyle name="常规 4 9 3 3" xfId="41097" xr:uid="{00000000-0005-0000-0000-000089A00000}"/>
    <cellStyle name="常规 4 9 3 4" xfId="41098" xr:uid="{00000000-0005-0000-0000-00008AA00000}"/>
    <cellStyle name="常规 4 9 3 5" xfId="41099" xr:uid="{00000000-0005-0000-0000-00008BA00000}"/>
    <cellStyle name="常规 4 9 3 6" xfId="41100" xr:uid="{00000000-0005-0000-0000-00008CA00000}"/>
    <cellStyle name="常规 4 9 3 6 2" xfId="41101" xr:uid="{00000000-0005-0000-0000-00008DA00000}"/>
    <cellStyle name="常规 4 9 4" xfId="41102" xr:uid="{00000000-0005-0000-0000-00008EA00000}"/>
    <cellStyle name="常规 4 9 4 2" xfId="41103" xr:uid="{00000000-0005-0000-0000-00008FA00000}"/>
    <cellStyle name="常规 4 9 4 2 2" xfId="41104" xr:uid="{00000000-0005-0000-0000-000090A00000}"/>
    <cellStyle name="常规 4 9 4 3" xfId="41105" xr:uid="{00000000-0005-0000-0000-000091A00000}"/>
    <cellStyle name="常规 4 9 4 4" xfId="41106" xr:uid="{00000000-0005-0000-0000-000092A00000}"/>
    <cellStyle name="常规 4 9 4 5" xfId="41107" xr:uid="{00000000-0005-0000-0000-000093A00000}"/>
    <cellStyle name="常规 4 9 5" xfId="41108" xr:uid="{00000000-0005-0000-0000-000094A00000}"/>
    <cellStyle name="常规 4 9 5 2" xfId="41109" xr:uid="{00000000-0005-0000-0000-000095A00000}"/>
    <cellStyle name="常规 4 9 5 3" xfId="41110" xr:uid="{00000000-0005-0000-0000-000096A00000}"/>
    <cellStyle name="常规 4 9 6" xfId="41111" xr:uid="{00000000-0005-0000-0000-000097A00000}"/>
    <cellStyle name="常规 4 9 7" xfId="41112" xr:uid="{00000000-0005-0000-0000-000098A00000}"/>
    <cellStyle name="常规 4 9 8" xfId="41113" xr:uid="{00000000-0005-0000-0000-000099A00000}"/>
    <cellStyle name="常规 4 9 8 2" xfId="41114" xr:uid="{00000000-0005-0000-0000-00009AA00000}"/>
    <cellStyle name="常规 4 9 9" xfId="41115" xr:uid="{00000000-0005-0000-0000-00009BA00000}"/>
    <cellStyle name="常规 5" xfId="41116" xr:uid="{00000000-0005-0000-0000-00009CA00000}"/>
    <cellStyle name="常规 5 10" xfId="41117" xr:uid="{00000000-0005-0000-0000-00009DA00000}"/>
    <cellStyle name="常规 5 10 2" xfId="41118" xr:uid="{00000000-0005-0000-0000-00009EA00000}"/>
    <cellStyle name="常规 5 10 2 2" xfId="41119" xr:uid="{00000000-0005-0000-0000-00009FA00000}"/>
    <cellStyle name="常规 5 10 2 2 2" xfId="41120" xr:uid="{00000000-0005-0000-0000-0000A0A00000}"/>
    <cellStyle name="常规 5 10 3" xfId="41121" xr:uid="{00000000-0005-0000-0000-0000A1A00000}"/>
    <cellStyle name="常规 5 10 3 2" xfId="41122" xr:uid="{00000000-0005-0000-0000-0000A2A00000}"/>
    <cellStyle name="常规 5 10 4" xfId="41123" xr:uid="{00000000-0005-0000-0000-0000A3A00000}"/>
    <cellStyle name="常规 5 10 4 2" xfId="41124" xr:uid="{00000000-0005-0000-0000-0000A4A00000}"/>
    <cellStyle name="常规 5 10 5" xfId="41125" xr:uid="{00000000-0005-0000-0000-0000A5A00000}"/>
    <cellStyle name="常规 5 11" xfId="41126" xr:uid="{00000000-0005-0000-0000-0000A6A00000}"/>
    <cellStyle name="常规 5 12" xfId="41127" xr:uid="{00000000-0005-0000-0000-0000A7A00000}"/>
    <cellStyle name="常规 5 12 2" xfId="41128" xr:uid="{00000000-0005-0000-0000-0000A8A00000}"/>
    <cellStyle name="常规 5 12 2 2" xfId="41129" xr:uid="{00000000-0005-0000-0000-0000A9A00000}"/>
    <cellStyle name="常规 5 12 3" xfId="41130" xr:uid="{00000000-0005-0000-0000-0000AAA00000}"/>
    <cellStyle name="常规 5 12 3 2" xfId="41131" xr:uid="{00000000-0005-0000-0000-0000ABA00000}"/>
    <cellStyle name="常规 5 13" xfId="41132" xr:uid="{00000000-0005-0000-0000-0000ACA00000}"/>
    <cellStyle name="常规 5 13 2" xfId="41133" xr:uid="{00000000-0005-0000-0000-0000ADA00000}"/>
    <cellStyle name="常规 5 2" xfId="41134" xr:uid="{00000000-0005-0000-0000-0000AEA00000}"/>
    <cellStyle name="常规 5 2 10" xfId="41135" xr:uid="{00000000-0005-0000-0000-0000AFA00000}"/>
    <cellStyle name="常规 5 2 10 2" xfId="41136" xr:uid="{00000000-0005-0000-0000-0000B0A00000}"/>
    <cellStyle name="常规 5 2 2" xfId="41137" xr:uid="{00000000-0005-0000-0000-0000B1A00000}"/>
    <cellStyle name="常规 5 2 2 2" xfId="41138" xr:uid="{00000000-0005-0000-0000-0000B2A00000}"/>
    <cellStyle name="常规 5 2 2 2 2" xfId="41139" xr:uid="{00000000-0005-0000-0000-0000B3A00000}"/>
    <cellStyle name="常规 5 2 2 2 2 2" xfId="41140" xr:uid="{00000000-0005-0000-0000-0000B4A00000}"/>
    <cellStyle name="常规 5 2 2 2 2 2 2" xfId="41141" xr:uid="{00000000-0005-0000-0000-0000B5A00000}"/>
    <cellStyle name="常规 5 2 2 2 2 2 2 2" xfId="41142" xr:uid="{00000000-0005-0000-0000-0000B6A00000}"/>
    <cellStyle name="常规 5 2 2 2 2 3" xfId="41143" xr:uid="{00000000-0005-0000-0000-0000B7A00000}"/>
    <cellStyle name="常规 5 2 2 2 2 3 2" xfId="41144" xr:uid="{00000000-0005-0000-0000-0000B8A00000}"/>
    <cellStyle name="常规 5 2 2 2 2 3 2 2" xfId="41145" xr:uid="{00000000-0005-0000-0000-0000B9A00000}"/>
    <cellStyle name="常规 5 2 2 2 2 4" xfId="41146" xr:uid="{00000000-0005-0000-0000-0000BAA00000}"/>
    <cellStyle name="常规 5 2 2 2 2 4 2" xfId="41147" xr:uid="{00000000-0005-0000-0000-0000BBA00000}"/>
    <cellStyle name="常规 5 2 2 2 2 4 2 2" xfId="41148" xr:uid="{00000000-0005-0000-0000-0000BCA00000}"/>
    <cellStyle name="常规 5 2 2 2 2 5" xfId="41149" xr:uid="{00000000-0005-0000-0000-0000BDA00000}"/>
    <cellStyle name="常规 5 2 2 2 2 5 2" xfId="41150" xr:uid="{00000000-0005-0000-0000-0000BEA00000}"/>
    <cellStyle name="常规 5 2 2 2 2 5 3" xfId="41151" xr:uid="{00000000-0005-0000-0000-0000BFA00000}"/>
    <cellStyle name="常规 5 2 2 2 2 6" xfId="41152" xr:uid="{00000000-0005-0000-0000-0000C0A00000}"/>
    <cellStyle name="常规 5 2 2 2 3" xfId="41153" xr:uid="{00000000-0005-0000-0000-0000C1A00000}"/>
    <cellStyle name="常规 5 2 2 2 3 2" xfId="41154" xr:uid="{00000000-0005-0000-0000-0000C2A00000}"/>
    <cellStyle name="常规 5 2 2 2 3 2 2" xfId="41155" xr:uid="{00000000-0005-0000-0000-0000C3A00000}"/>
    <cellStyle name="常规 5 2 2 2 3 2 2 2" xfId="41156" xr:uid="{00000000-0005-0000-0000-0000C4A00000}"/>
    <cellStyle name="常规 5 2 2 2 3 3" xfId="41157" xr:uid="{00000000-0005-0000-0000-0000C5A00000}"/>
    <cellStyle name="常规 5 2 2 2 3 3 2" xfId="41158" xr:uid="{00000000-0005-0000-0000-0000C6A00000}"/>
    <cellStyle name="常规 5 2 2 2 3 3 2 2" xfId="41159" xr:uid="{00000000-0005-0000-0000-0000C7A00000}"/>
    <cellStyle name="常规 5 2 2 2 3 4" xfId="41160" xr:uid="{00000000-0005-0000-0000-0000C8A00000}"/>
    <cellStyle name="常规 5 2 2 2 3 4 2" xfId="41161" xr:uid="{00000000-0005-0000-0000-0000C9A00000}"/>
    <cellStyle name="常规 5 2 2 2 3 5" xfId="41162" xr:uid="{00000000-0005-0000-0000-0000CAA00000}"/>
    <cellStyle name="常规 5 2 2 2 4" xfId="41163" xr:uid="{00000000-0005-0000-0000-0000CBA00000}"/>
    <cellStyle name="常规 5 2 2 2 4 2" xfId="41164" xr:uid="{00000000-0005-0000-0000-0000CCA00000}"/>
    <cellStyle name="常规 5 2 2 2 4 2 2" xfId="41165" xr:uid="{00000000-0005-0000-0000-0000CDA00000}"/>
    <cellStyle name="常规 5 2 2 2 5" xfId="41166" xr:uid="{00000000-0005-0000-0000-0000CEA00000}"/>
    <cellStyle name="常规 5 2 2 2 5 2" xfId="41167" xr:uid="{00000000-0005-0000-0000-0000CFA00000}"/>
    <cellStyle name="常规 5 2 2 2 5 2 2" xfId="41168" xr:uid="{00000000-0005-0000-0000-0000D0A00000}"/>
    <cellStyle name="常规 5 2 2 2 6" xfId="41169" xr:uid="{00000000-0005-0000-0000-0000D1A00000}"/>
    <cellStyle name="常规 5 2 2 2 7" xfId="41170" xr:uid="{00000000-0005-0000-0000-0000D2A00000}"/>
    <cellStyle name="常规 5 2 2 2 7 2" xfId="41171" xr:uid="{00000000-0005-0000-0000-0000D3A00000}"/>
    <cellStyle name="常规 5 2 2 2 7 3" xfId="41172" xr:uid="{00000000-0005-0000-0000-0000D4A00000}"/>
    <cellStyle name="常规 5 2 2 2 8" xfId="41173" xr:uid="{00000000-0005-0000-0000-0000D5A00000}"/>
    <cellStyle name="常规 5 2 2 2 8 2" xfId="41174" xr:uid="{00000000-0005-0000-0000-0000D6A00000}"/>
    <cellStyle name="常规 5 2 2 3" xfId="41175" xr:uid="{00000000-0005-0000-0000-0000D7A00000}"/>
    <cellStyle name="常规 5 2 2 3 2" xfId="41176" xr:uid="{00000000-0005-0000-0000-0000D8A00000}"/>
    <cellStyle name="常规 5 2 2 3 2 2" xfId="41177" xr:uid="{00000000-0005-0000-0000-0000D9A00000}"/>
    <cellStyle name="常规 5 2 2 3 2 3" xfId="41178" xr:uid="{00000000-0005-0000-0000-0000DAA00000}"/>
    <cellStyle name="常规 5 2 2 3 2 4" xfId="41179" xr:uid="{00000000-0005-0000-0000-0000DBA00000}"/>
    <cellStyle name="常规 5 2 2 3 2 5" xfId="41180" xr:uid="{00000000-0005-0000-0000-0000DCA00000}"/>
    <cellStyle name="常规 5 2 2 3 2 5 2" xfId="41181" xr:uid="{00000000-0005-0000-0000-0000DDA00000}"/>
    <cellStyle name="常规 5 2 2 3 3" xfId="41182" xr:uid="{00000000-0005-0000-0000-0000DEA00000}"/>
    <cellStyle name="常规 5 2 2 3 3 2" xfId="41183" xr:uid="{00000000-0005-0000-0000-0000DFA00000}"/>
    <cellStyle name="常规 5 2 2 3 3 2 2" xfId="41184" xr:uid="{00000000-0005-0000-0000-0000E0A00000}"/>
    <cellStyle name="常规 5 2 2 3 4" xfId="41185" xr:uid="{00000000-0005-0000-0000-0000E1A00000}"/>
    <cellStyle name="常规 5 2 2 3 4 2" xfId="41186" xr:uid="{00000000-0005-0000-0000-0000E2A00000}"/>
    <cellStyle name="常规 5 2 2 3 4 2 2" xfId="41187" xr:uid="{00000000-0005-0000-0000-0000E3A00000}"/>
    <cellStyle name="常规 5 2 2 3 5" xfId="41188" xr:uid="{00000000-0005-0000-0000-0000E4A00000}"/>
    <cellStyle name="常规 5 2 2 3 5 2" xfId="41189" xr:uid="{00000000-0005-0000-0000-0000E5A00000}"/>
    <cellStyle name="常规 5 2 2 3 5 3" xfId="41190" xr:uid="{00000000-0005-0000-0000-0000E6A00000}"/>
    <cellStyle name="常规 5 2 2 3 6" xfId="41191" xr:uid="{00000000-0005-0000-0000-0000E7A00000}"/>
    <cellStyle name="常规 5 2 2 3 6 2" xfId="41192" xr:uid="{00000000-0005-0000-0000-0000E8A00000}"/>
    <cellStyle name="常规 5 2 2 3 7" xfId="41193" xr:uid="{00000000-0005-0000-0000-0000E9A00000}"/>
    <cellStyle name="常规 5 2 2 4" xfId="41194" xr:uid="{00000000-0005-0000-0000-0000EAA00000}"/>
    <cellStyle name="常规 5 2 2 4 2" xfId="41195" xr:uid="{00000000-0005-0000-0000-0000EBA00000}"/>
    <cellStyle name="常规 5 2 2 4 3" xfId="41196" xr:uid="{00000000-0005-0000-0000-0000ECA00000}"/>
    <cellStyle name="常规 5 2 2 4 4" xfId="41197" xr:uid="{00000000-0005-0000-0000-0000EDA00000}"/>
    <cellStyle name="常规 5 2 2 4 5" xfId="41198" xr:uid="{00000000-0005-0000-0000-0000EEA00000}"/>
    <cellStyle name="常规 5 2 2 4 5 2" xfId="41199" xr:uid="{00000000-0005-0000-0000-0000EFA00000}"/>
    <cellStyle name="常规 5 2 2 5" xfId="41200" xr:uid="{00000000-0005-0000-0000-0000F0A00000}"/>
    <cellStyle name="常规 5 2 2 5 2" xfId="41201" xr:uid="{00000000-0005-0000-0000-0000F1A00000}"/>
    <cellStyle name="常规 5 2 2 5 2 2" xfId="41202" xr:uid="{00000000-0005-0000-0000-0000F2A00000}"/>
    <cellStyle name="常规 5 2 2 6" xfId="41203" xr:uid="{00000000-0005-0000-0000-0000F3A00000}"/>
    <cellStyle name="常规 5 2 2 6 2" xfId="41204" xr:uid="{00000000-0005-0000-0000-0000F4A00000}"/>
    <cellStyle name="常规 5 2 2 6 2 2" xfId="41205" xr:uid="{00000000-0005-0000-0000-0000F5A00000}"/>
    <cellStyle name="常规 5 2 2 7" xfId="41206" xr:uid="{00000000-0005-0000-0000-0000F6A00000}"/>
    <cellStyle name="常规 5 2 2 7 2" xfId="41207" xr:uid="{00000000-0005-0000-0000-0000F7A00000}"/>
    <cellStyle name="常规 5 2 2 7 2 2" xfId="41208" xr:uid="{00000000-0005-0000-0000-0000F8A00000}"/>
    <cellStyle name="常规 5 2 2 8" xfId="41209" xr:uid="{00000000-0005-0000-0000-0000F9A00000}"/>
    <cellStyle name="常规 5 2 2 8 2" xfId="41210" xr:uid="{00000000-0005-0000-0000-0000FAA00000}"/>
    <cellStyle name="常规 5 2 2 8 3" xfId="41211" xr:uid="{00000000-0005-0000-0000-0000FBA00000}"/>
    <cellStyle name="常规 5 2 2 9" xfId="41212" xr:uid="{00000000-0005-0000-0000-0000FCA00000}"/>
    <cellStyle name="常规 5 2 2 9 2" xfId="41213" xr:uid="{00000000-0005-0000-0000-0000FDA00000}"/>
    <cellStyle name="常规 5 2 3" xfId="41214" xr:uid="{00000000-0005-0000-0000-0000FEA00000}"/>
    <cellStyle name="常规 5 2 3 2" xfId="41215" xr:uid="{00000000-0005-0000-0000-0000FFA00000}"/>
    <cellStyle name="常规 5 2 3 2 2" xfId="41216" xr:uid="{00000000-0005-0000-0000-000000A10000}"/>
    <cellStyle name="常规 5 2 3 2 2 2" xfId="41217" xr:uid="{00000000-0005-0000-0000-000001A10000}"/>
    <cellStyle name="常规 5 2 3 2 2 2 2" xfId="41218" xr:uid="{00000000-0005-0000-0000-000002A10000}"/>
    <cellStyle name="常规 5 2 3 2 3" xfId="41219" xr:uid="{00000000-0005-0000-0000-000003A10000}"/>
    <cellStyle name="常规 5 2 3 2 3 2" xfId="41220" xr:uid="{00000000-0005-0000-0000-000004A10000}"/>
    <cellStyle name="常规 5 2 3 2 3 2 2" xfId="41221" xr:uid="{00000000-0005-0000-0000-000005A10000}"/>
    <cellStyle name="常规 5 2 3 2 4" xfId="41222" xr:uid="{00000000-0005-0000-0000-000006A10000}"/>
    <cellStyle name="常规 5 2 3 2 4 2" xfId="41223" xr:uid="{00000000-0005-0000-0000-000007A10000}"/>
    <cellStyle name="常规 5 2 3 2 4 2 2" xfId="41224" xr:uid="{00000000-0005-0000-0000-000008A10000}"/>
    <cellStyle name="常规 5 2 3 2 5" xfId="41225" xr:uid="{00000000-0005-0000-0000-000009A10000}"/>
    <cellStyle name="常规 5 2 3 2 5 2" xfId="41226" xr:uid="{00000000-0005-0000-0000-00000AA10000}"/>
    <cellStyle name="常规 5 2 3 2 5 3" xfId="41227" xr:uid="{00000000-0005-0000-0000-00000BA10000}"/>
    <cellStyle name="常规 5 2 3 2 6" xfId="41228" xr:uid="{00000000-0005-0000-0000-00000CA10000}"/>
    <cellStyle name="常规 5 2 3 3" xfId="41229" xr:uid="{00000000-0005-0000-0000-00000DA10000}"/>
    <cellStyle name="常规 5 2 3 3 2" xfId="41230" xr:uid="{00000000-0005-0000-0000-00000EA10000}"/>
    <cellStyle name="常规 5 2 3 3 2 2" xfId="41231" xr:uid="{00000000-0005-0000-0000-00000FA10000}"/>
    <cellStyle name="常规 5 2 3 3 2 2 2" xfId="41232" xr:uid="{00000000-0005-0000-0000-000010A10000}"/>
    <cellStyle name="常规 5 2 3 3 3" xfId="41233" xr:uid="{00000000-0005-0000-0000-000011A10000}"/>
    <cellStyle name="常规 5 2 3 3 3 2" xfId="41234" xr:uid="{00000000-0005-0000-0000-000012A10000}"/>
    <cellStyle name="常规 5 2 3 3 3 2 2" xfId="41235" xr:uid="{00000000-0005-0000-0000-000013A10000}"/>
    <cellStyle name="常规 5 2 3 3 4" xfId="41236" xr:uid="{00000000-0005-0000-0000-000014A10000}"/>
    <cellStyle name="常规 5 2 3 3 4 2" xfId="41237" xr:uid="{00000000-0005-0000-0000-000015A10000}"/>
    <cellStyle name="常规 5 2 3 3 5" xfId="41238" xr:uid="{00000000-0005-0000-0000-000016A10000}"/>
    <cellStyle name="常规 5 2 3 4" xfId="41239" xr:uid="{00000000-0005-0000-0000-000017A10000}"/>
    <cellStyle name="常规 5 2 3 4 2" xfId="41240" xr:uid="{00000000-0005-0000-0000-000018A10000}"/>
    <cellStyle name="常规 5 2 3 4 2 2" xfId="41241" xr:uid="{00000000-0005-0000-0000-000019A10000}"/>
    <cellStyle name="常规 5 2 3 5" xfId="41242" xr:uid="{00000000-0005-0000-0000-00001AA10000}"/>
    <cellStyle name="常规 5 2 3 5 2" xfId="41243" xr:uid="{00000000-0005-0000-0000-00001BA10000}"/>
    <cellStyle name="常规 5 2 3 5 2 2" xfId="41244" xr:uid="{00000000-0005-0000-0000-00001CA10000}"/>
    <cellStyle name="常规 5 2 3 6" xfId="41245" xr:uid="{00000000-0005-0000-0000-00001DA10000}"/>
    <cellStyle name="常规 5 2 3 7" xfId="41246" xr:uid="{00000000-0005-0000-0000-00001EA10000}"/>
    <cellStyle name="常规 5 2 3 7 2" xfId="41247" xr:uid="{00000000-0005-0000-0000-00001FA10000}"/>
    <cellStyle name="常规 5 2 3 7 3" xfId="41248" xr:uid="{00000000-0005-0000-0000-000020A10000}"/>
    <cellStyle name="常规 5 2 3 8" xfId="41249" xr:uid="{00000000-0005-0000-0000-000021A10000}"/>
    <cellStyle name="常规 5 2 3 8 2" xfId="41250" xr:uid="{00000000-0005-0000-0000-000022A10000}"/>
    <cellStyle name="常规 5 2 4" xfId="41251" xr:uid="{00000000-0005-0000-0000-000023A10000}"/>
    <cellStyle name="常规 5 2 4 2" xfId="41252" xr:uid="{00000000-0005-0000-0000-000024A10000}"/>
    <cellStyle name="常规 5 2 4 2 2" xfId="41253" xr:uid="{00000000-0005-0000-0000-000025A10000}"/>
    <cellStyle name="常规 5 2 4 2 3" xfId="41254" xr:uid="{00000000-0005-0000-0000-000026A10000}"/>
    <cellStyle name="常规 5 2 4 2 4" xfId="41255" xr:uid="{00000000-0005-0000-0000-000027A10000}"/>
    <cellStyle name="常规 5 2 4 2 5" xfId="41256" xr:uid="{00000000-0005-0000-0000-000028A10000}"/>
    <cellStyle name="常规 5 2 4 2 5 2" xfId="41257" xr:uid="{00000000-0005-0000-0000-000029A10000}"/>
    <cellStyle name="常规 5 2 4 3" xfId="41258" xr:uid="{00000000-0005-0000-0000-00002AA10000}"/>
    <cellStyle name="常规 5 2 4 3 2" xfId="41259" xr:uid="{00000000-0005-0000-0000-00002BA10000}"/>
    <cellStyle name="常规 5 2 4 3 2 2" xfId="41260" xr:uid="{00000000-0005-0000-0000-00002CA10000}"/>
    <cellStyle name="常规 5 2 4 4" xfId="41261" xr:uid="{00000000-0005-0000-0000-00002DA10000}"/>
    <cellStyle name="常规 5 2 4 4 2" xfId="41262" xr:uid="{00000000-0005-0000-0000-00002EA10000}"/>
    <cellStyle name="常规 5 2 4 4 2 2" xfId="41263" xr:uid="{00000000-0005-0000-0000-00002FA10000}"/>
    <cellStyle name="常规 5 2 4 5" xfId="41264" xr:uid="{00000000-0005-0000-0000-000030A10000}"/>
    <cellStyle name="常规 5 2 4 5 2" xfId="41265" xr:uid="{00000000-0005-0000-0000-000031A10000}"/>
    <cellStyle name="常规 5 2 4 5 3" xfId="41266" xr:uid="{00000000-0005-0000-0000-000032A10000}"/>
    <cellStyle name="常规 5 2 4 6" xfId="41267" xr:uid="{00000000-0005-0000-0000-000033A10000}"/>
    <cellStyle name="常规 5 2 4 6 2" xfId="41268" xr:uid="{00000000-0005-0000-0000-000034A10000}"/>
    <cellStyle name="常规 5 2 4 7" xfId="41269" xr:uid="{00000000-0005-0000-0000-000035A10000}"/>
    <cellStyle name="常规 5 2 5" xfId="41270" xr:uid="{00000000-0005-0000-0000-000036A10000}"/>
    <cellStyle name="常规 5 2 5 2" xfId="41271" xr:uid="{00000000-0005-0000-0000-000037A10000}"/>
    <cellStyle name="常规 5 2 5 3" xfId="41272" xr:uid="{00000000-0005-0000-0000-000038A10000}"/>
    <cellStyle name="常规 5 2 5 4" xfId="41273" xr:uid="{00000000-0005-0000-0000-000039A10000}"/>
    <cellStyle name="常规 5 2 5 5" xfId="41274" xr:uid="{00000000-0005-0000-0000-00003AA10000}"/>
    <cellStyle name="常规 5 2 5 5 2" xfId="41275" xr:uid="{00000000-0005-0000-0000-00003BA10000}"/>
    <cellStyle name="常规 5 2 6" xfId="41276" xr:uid="{00000000-0005-0000-0000-00003CA10000}"/>
    <cellStyle name="常规 5 2 6 2" xfId="41277" xr:uid="{00000000-0005-0000-0000-00003DA10000}"/>
    <cellStyle name="常规 5 2 6 2 2" xfId="41278" xr:uid="{00000000-0005-0000-0000-00003EA10000}"/>
    <cellStyle name="常规 5 2 7" xfId="41279" xr:uid="{00000000-0005-0000-0000-00003FA10000}"/>
    <cellStyle name="常规 5 2 7 2" xfId="41280" xr:uid="{00000000-0005-0000-0000-000040A10000}"/>
    <cellStyle name="常规 5 2 7 2 2" xfId="41281" xr:uid="{00000000-0005-0000-0000-000041A10000}"/>
    <cellStyle name="常规 5 2 8" xfId="41282" xr:uid="{00000000-0005-0000-0000-000042A10000}"/>
    <cellStyle name="常规 5 2 8 2" xfId="41283" xr:uid="{00000000-0005-0000-0000-000043A10000}"/>
    <cellStyle name="常规 5 2 8 2 2" xfId="41284" xr:uid="{00000000-0005-0000-0000-000044A10000}"/>
    <cellStyle name="常规 5 2 9" xfId="41285" xr:uid="{00000000-0005-0000-0000-000045A10000}"/>
    <cellStyle name="常规 5 2 9 2" xfId="41286" xr:uid="{00000000-0005-0000-0000-000046A10000}"/>
    <cellStyle name="常规 5 2 9 3" xfId="41287" xr:uid="{00000000-0005-0000-0000-000047A10000}"/>
    <cellStyle name="常规 5 3" xfId="41288" xr:uid="{00000000-0005-0000-0000-000048A10000}"/>
    <cellStyle name="常规 5 3 2" xfId="41289" xr:uid="{00000000-0005-0000-0000-000049A10000}"/>
    <cellStyle name="常规 5 3 2 2" xfId="41290" xr:uid="{00000000-0005-0000-0000-00004AA10000}"/>
    <cellStyle name="常规 5 3 2 2 2" xfId="41291" xr:uid="{00000000-0005-0000-0000-00004BA10000}"/>
    <cellStyle name="常规 5 3 2 2 2 2" xfId="41292" xr:uid="{00000000-0005-0000-0000-00004CA10000}"/>
    <cellStyle name="常规 5 3 2 3" xfId="41293" xr:uid="{00000000-0005-0000-0000-00004DA10000}"/>
    <cellStyle name="常规 5 3 2 3 2" xfId="41294" xr:uid="{00000000-0005-0000-0000-00004EA10000}"/>
    <cellStyle name="常规 5 3 2 3 2 2" xfId="41295" xr:uid="{00000000-0005-0000-0000-00004FA10000}"/>
    <cellStyle name="常规 5 3 2 4" xfId="41296" xr:uid="{00000000-0005-0000-0000-000050A10000}"/>
    <cellStyle name="常规 5 3 2 4 2" xfId="41297" xr:uid="{00000000-0005-0000-0000-000051A10000}"/>
    <cellStyle name="常规 5 3 2 4 2 2" xfId="41298" xr:uid="{00000000-0005-0000-0000-000052A10000}"/>
    <cellStyle name="常规 5 3 2 5" xfId="41299" xr:uid="{00000000-0005-0000-0000-000053A10000}"/>
    <cellStyle name="常规 5 3 2 5 2" xfId="41300" xr:uid="{00000000-0005-0000-0000-000054A10000}"/>
    <cellStyle name="常规 5 3 2 5 3" xfId="41301" xr:uid="{00000000-0005-0000-0000-000055A10000}"/>
    <cellStyle name="常规 5 3 2 6" xfId="41302" xr:uid="{00000000-0005-0000-0000-000056A10000}"/>
    <cellStyle name="常规 5 3 3" xfId="41303" xr:uid="{00000000-0005-0000-0000-000057A10000}"/>
    <cellStyle name="常规 5 3 3 2" xfId="41304" xr:uid="{00000000-0005-0000-0000-000058A10000}"/>
    <cellStyle name="常规 5 3 3 2 2" xfId="41305" xr:uid="{00000000-0005-0000-0000-000059A10000}"/>
    <cellStyle name="常规 5 3 3 2 2 2" xfId="41306" xr:uid="{00000000-0005-0000-0000-00005AA10000}"/>
    <cellStyle name="常规 5 3 3 3" xfId="41307" xr:uid="{00000000-0005-0000-0000-00005BA10000}"/>
    <cellStyle name="常规 5 3 3 3 2" xfId="41308" xr:uid="{00000000-0005-0000-0000-00005CA10000}"/>
    <cellStyle name="常规 5 3 3 3 2 2" xfId="41309" xr:uid="{00000000-0005-0000-0000-00005DA10000}"/>
    <cellStyle name="常规 5 3 3 4" xfId="41310" xr:uid="{00000000-0005-0000-0000-00005EA10000}"/>
    <cellStyle name="常规 5 3 3 4 2" xfId="41311" xr:uid="{00000000-0005-0000-0000-00005FA10000}"/>
    <cellStyle name="常规 5 3 3 5" xfId="41312" xr:uid="{00000000-0005-0000-0000-000060A10000}"/>
    <cellStyle name="常规 5 3 4" xfId="41313" xr:uid="{00000000-0005-0000-0000-000061A10000}"/>
    <cellStyle name="常规 5 3 4 2" xfId="41314" xr:uid="{00000000-0005-0000-0000-000062A10000}"/>
    <cellStyle name="常规 5 3 4 2 2" xfId="41315" xr:uid="{00000000-0005-0000-0000-000063A10000}"/>
    <cellStyle name="常规 5 3 5" xfId="41316" xr:uid="{00000000-0005-0000-0000-000064A10000}"/>
    <cellStyle name="常规 5 3 5 2" xfId="41317" xr:uid="{00000000-0005-0000-0000-000065A10000}"/>
    <cellStyle name="常规 5 3 5 2 2" xfId="41318" xr:uid="{00000000-0005-0000-0000-000066A10000}"/>
    <cellStyle name="常规 5 3 6" xfId="41319" xr:uid="{00000000-0005-0000-0000-000067A10000}"/>
    <cellStyle name="常规 5 3 7" xfId="41320" xr:uid="{00000000-0005-0000-0000-000068A10000}"/>
    <cellStyle name="常规 5 3 7 2" xfId="41321" xr:uid="{00000000-0005-0000-0000-000069A10000}"/>
    <cellStyle name="常规 5 3 7 3" xfId="41322" xr:uid="{00000000-0005-0000-0000-00006AA10000}"/>
    <cellStyle name="常规 5 3 8" xfId="41323" xr:uid="{00000000-0005-0000-0000-00006BA10000}"/>
    <cellStyle name="常规 5 3 8 2" xfId="41324" xr:uid="{00000000-0005-0000-0000-00006CA10000}"/>
    <cellStyle name="常规 5 4" xfId="41325" xr:uid="{00000000-0005-0000-0000-00006DA10000}"/>
    <cellStyle name="常规 5 4 2" xfId="41326" xr:uid="{00000000-0005-0000-0000-00006EA10000}"/>
    <cellStyle name="常规 5 4 2 2" xfId="41327" xr:uid="{00000000-0005-0000-0000-00006FA10000}"/>
    <cellStyle name="常规 5 4 2 2 2" xfId="41328" xr:uid="{00000000-0005-0000-0000-000070A10000}"/>
    <cellStyle name="常规 5 4 2 2 2 2" xfId="41329" xr:uid="{00000000-0005-0000-0000-000071A10000}"/>
    <cellStyle name="常规 5 4 2 3" xfId="41330" xr:uid="{00000000-0005-0000-0000-000072A10000}"/>
    <cellStyle name="常规 5 4 2 3 2" xfId="41331" xr:uid="{00000000-0005-0000-0000-000073A10000}"/>
    <cellStyle name="常规 5 4 2 3 2 2" xfId="41332" xr:uid="{00000000-0005-0000-0000-000074A10000}"/>
    <cellStyle name="常规 5 4 2 4" xfId="41333" xr:uid="{00000000-0005-0000-0000-000075A10000}"/>
    <cellStyle name="常规 5 4 2 4 2" xfId="41334" xr:uid="{00000000-0005-0000-0000-000076A10000}"/>
    <cellStyle name="常规 5 4 2 4 2 2" xfId="41335" xr:uid="{00000000-0005-0000-0000-000077A10000}"/>
    <cellStyle name="常规 5 4 2 5" xfId="41336" xr:uid="{00000000-0005-0000-0000-000078A10000}"/>
    <cellStyle name="常规 5 4 2 5 2" xfId="41337" xr:uid="{00000000-0005-0000-0000-000079A10000}"/>
    <cellStyle name="常规 5 4 2 5 3" xfId="41338" xr:uid="{00000000-0005-0000-0000-00007AA10000}"/>
    <cellStyle name="常规 5 4 2 6" xfId="41339" xr:uid="{00000000-0005-0000-0000-00007BA10000}"/>
    <cellStyle name="常规 5 4 3" xfId="41340" xr:uid="{00000000-0005-0000-0000-00007CA10000}"/>
    <cellStyle name="常规 5 4 3 2" xfId="41341" xr:uid="{00000000-0005-0000-0000-00007DA10000}"/>
    <cellStyle name="常规 5 4 3 2 2" xfId="41342" xr:uid="{00000000-0005-0000-0000-00007EA10000}"/>
    <cellStyle name="常规 5 4 4" xfId="41343" xr:uid="{00000000-0005-0000-0000-00007FA10000}"/>
    <cellStyle name="常规 5 4 4 2" xfId="41344" xr:uid="{00000000-0005-0000-0000-000080A10000}"/>
    <cellStyle name="常规 5 4 4 2 2" xfId="41345" xr:uid="{00000000-0005-0000-0000-000081A10000}"/>
    <cellStyle name="常规 5 4 5" xfId="41346" xr:uid="{00000000-0005-0000-0000-000082A10000}"/>
    <cellStyle name="常规 5 4 5 2" xfId="41347" xr:uid="{00000000-0005-0000-0000-000083A10000}"/>
    <cellStyle name="常规 5 4 5 2 2" xfId="41348" xr:uid="{00000000-0005-0000-0000-000084A10000}"/>
    <cellStyle name="常规 5 4 6" xfId="41349" xr:uid="{00000000-0005-0000-0000-000085A10000}"/>
    <cellStyle name="常规 5 4 7" xfId="41350" xr:uid="{00000000-0005-0000-0000-000086A10000}"/>
    <cellStyle name="常规 5 4 7 2" xfId="41351" xr:uid="{00000000-0005-0000-0000-000087A10000}"/>
    <cellStyle name="常规 5 4 7 3" xfId="41352" xr:uid="{00000000-0005-0000-0000-000088A10000}"/>
    <cellStyle name="常规 5 4 8" xfId="41353" xr:uid="{00000000-0005-0000-0000-000089A10000}"/>
    <cellStyle name="常规 5 4 8 2" xfId="41354" xr:uid="{00000000-0005-0000-0000-00008AA10000}"/>
    <cellStyle name="常规 5 5" xfId="41355" xr:uid="{00000000-0005-0000-0000-00008BA10000}"/>
    <cellStyle name="常规 5 5 2" xfId="41356" xr:uid="{00000000-0005-0000-0000-00008CA10000}"/>
    <cellStyle name="常规 5 5 2 2" xfId="41357" xr:uid="{00000000-0005-0000-0000-00008DA10000}"/>
    <cellStyle name="常规 5 5 2 3" xfId="41358" xr:uid="{00000000-0005-0000-0000-00008EA10000}"/>
    <cellStyle name="常规 5 5 2 3 2" xfId="41359" xr:uid="{00000000-0005-0000-0000-00008FA10000}"/>
    <cellStyle name="常规 5 5 3" xfId="41360" xr:uid="{00000000-0005-0000-0000-000090A10000}"/>
    <cellStyle name="常规 5 5 3 2" xfId="41361" xr:uid="{00000000-0005-0000-0000-000091A10000}"/>
    <cellStyle name="常规 5 5 3 2 2" xfId="41362" xr:uid="{00000000-0005-0000-0000-000092A10000}"/>
    <cellStyle name="常规 5 5 4" xfId="41363" xr:uid="{00000000-0005-0000-0000-000093A10000}"/>
    <cellStyle name="常规 5 5 4 2" xfId="41364" xr:uid="{00000000-0005-0000-0000-000094A10000}"/>
    <cellStyle name="常规 5 5 4 2 2" xfId="41365" xr:uid="{00000000-0005-0000-0000-000095A10000}"/>
    <cellStyle name="常规 5 5 5" xfId="41366" xr:uid="{00000000-0005-0000-0000-000096A10000}"/>
    <cellStyle name="常规 5 5 5 2" xfId="41367" xr:uid="{00000000-0005-0000-0000-000097A10000}"/>
    <cellStyle name="常规 5 5 6" xfId="41368" xr:uid="{00000000-0005-0000-0000-000098A10000}"/>
    <cellStyle name="常规 5 6" xfId="41369" xr:uid="{00000000-0005-0000-0000-000099A10000}"/>
    <cellStyle name="常规 5 6 2" xfId="41370" xr:uid="{00000000-0005-0000-0000-00009AA10000}"/>
    <cellStyle name="常规 5 6 2 2" xfId="41371" xr:uid="{00000000-0005-0000-0000-00009BA10000}"/>
    <cellStyle name="常规 5 6 3" xfId="41372" xr:uid="{00000000-0005-0000-0000-00009CA10000}"/>
    <cellStyle name="常规 5 6 4" xfId="41373" xr:uid="{00000000-0005-0000-0000-00009DA10000}"/>
    <cellStyle name="常规 5 6 5" xfId="41374" xr:uid="{00000000-0005-0000-0000-00009EA10000}"/>
    <cellStyle name="常规 5 6 5 2" xfId="41375" xr:uid="{00000000-0005-0000-0000-00009FA10000}"/>
    <cellStyle name="常规 5 6 6" xfId="41376" xr:uid="{00000000-0005-0000-0000-0000A0A10000}"/>
    <cellStyle name="常规 5 7" xfId="41377" xr:uid="{00000000-0005-0000-0000-0000A1A10000}"/>
    <cellStyle name="常规 5 7 2" xfId="41378" xr:uid="{00000000-0005-0000-0000-0000A2A10000}"/>
    <cellStyle name="常规 5 7 2 2" xfId="41379" xr:uid="{00000000-0005-0000-0000-0000A3A10000}"/>
    <cellStyle name="常规 5 7 2 2 2" xfId="41380" xr:uid="{00000000-0005-0000-0000-0000A4A10000}"/>
    <cellStyle name="常规 5 7 2 2 2 2" xfId="41381" xr:uid="{00000000-0005-0000-0000-0000A5A10000}"/>
    <cellStyle name="常规 5 7 2 3" xfId="41382" xr:uid="{00000000-0005-0000-0000-0000A6A10000}"/>
    <cellStyle name="常规 5 7 2 3 2" xfId="41383" xr:uid="{00000000-0005-0000-0000-0000A7A10000}"/>
    <cellStyle name="常规 5 7 2 4" xfId="41384" xr:uid="{00000000-0005-0000-0000-0000A8A10000}"/>
    <cellStyle name="常规 5 7 2 4 2" xfId="41385" xr:uid="{00000000-0005-0000-0000-0000A9A10000}"/>
    <cellStyle name="常规 5 7 2 5" xfId="41386" xr:uid="{00000000-0005-0000-0000-0000AAA10000}"/>
    <cellStyle name="常规 5 7 3" xfId="41387" xr:uid="{00000000-0005-0000-0000-0000ABA10000}"/>
    <cellStyle name="常规 5 7 4" xfId="41388" xr:uid="{00000000-0005-0000-0000-0000ACA10000}"/>
    <cellStyle name="常规 5 7 4 2" xfId="41389" xr:uid="{00000000-0005-0000-0000-0000ADA10000}"/>
    <cellStyle name="常规 5 7 4 3" xfId="41390" xr:uid="{00000000-0005-0000-0000-0000AEA10000}"/>
    <cellStyle name="常规 5 7 5" xfId="41391" xr:uid="{00000000-0005-0000-0000-0000AFA10000}"/>
    <cellStyle name="常规 5 7 5 2" xfId="41392" xr:uid="{00000000-0005-0000-0000-0000B0A10000}"/>
    <cellStyle name="常规 5 8" xfId="41393" xr:uid="{00000000-0005-0000-0000-0000B1A10000}"/>
    <cellStyle name="常规 5 8 2" xfId="41394" xr:uid="{00000000-0005-0000-0000-0000B2A10000}"/>
    <cellStyle name="常规 5 8 2 2" xfId="41395" xr:uid="{00000000-0005-0000-0000-0000B3A10000}"/>
    <cellStyle name="常规 5 8 2 2 2" xfId="41396" xr:uid="{00000000-0005-0000-0000-0000B4A10000}"/>
    <cellStyle name="常规 5 8 2 2 2 2" xfId="41397" xr:uid="{00000000-0005-0000-0000-0000B5A10000}"/>
    <cellStyle name="常规 5 8 2 3" xfId="41398" xr:uid="{00000000-0005-0000-0000-0000B6A10000}"/>
    <cellStyle name="常规 5 8 2 3 2" xfId="41399" xr:uid="{00000000-0005-0000-0000-0000B7A10000}"/>
    <cellStyle name="常规 5 8 2 4" xfId="41400" xr:uid="{00000000-0005-0000-0000-0000B8A10000}"/>
    <cellStyle name="常规 5 8 2 4 2" xfId="41401" xr:uid="{00000000-0005-0000-0000-0000B9A10000}"/>
    <cellStyle name="常规 5 8 2 5" xfId="41402" xr:uid="{00000000-0005-0000-0000-0000BAA10000}"/>
    <cellStyle name="常规 5 8 3" xfId="41403" xr:uid="{00000000-0005-0000-0000-0000BBA10000}"/>
    <cellStyle name="常规 5 8 3 2" xfId="41404" xr:uid="{00000000-0005-0000-0000-0000BCA10000}"/>
    <cellStyle name="常规 5 8 3 2 2" xfId="41405" xr:uid="{00000000-0005-0000-0000-0000BDA10000}"/>
    <cellStyle name="常规 5 8 4" xfId="41406" xr:uid="{00000000-0005-0000-0000-0000BEA10000}"/>
    <cellStyle name="常规 5 8 4 2" xfId="41407" xr:uid="{00000000-0005-0000-0000-0000BFA10000}"/>
    <cellStyle name="常规 5 8 4 2 2" xfId="41408" xr:uid="{00000000-0005-0000-0000-0000C0A10000}"/>
    <cellStyle name="常规 5 8 5" xfId="41409" xr:uid="{00000000-0005-0000-0000-0000C1A10000}"/>
    <cellStyle name="常规 5 8 5 2" xfId="41410" xr:uid="{00000000-0005-0000-0000-0000C2A10000}"/>
    <cellStyle name="常规 5 8 6" xfId="41411" xr:uid="{00000000-0005-0000-0000-0000C3A10000}"/>
    <cellStyle name="常规 5 9" xfId="41412" xr:uid="{00000000-0005-0000-0000-0000C4A10000}"/>
    <cellStyle name="常规 5 9 2" xfId="41413" xr:uid="{00000000-0005-0000-0000-0000C5A10000}"/>
    <cellStyle name="常规 5 9 2 2" xfId="41414" xr:uid="{00000000-0005-0000-0000-0000C6A10000}"/>
    <cellStyle name="常规 5 9 2 2 2" xfId="41415" xr:uid="{00000000-0005-0000-0000-0000C7A10000}"/>
    <cellStyle name="常规 5 9 2 2 2 2" xfId="41416" xr:uid="{00000000-0005-0000-0000-0000C8A10000}"/>
    <cellStyle name="常规 5 9 2 3" xfId="41417" xr:uid="{00000000-0005-0000-0000-0000C9A10000}"/>
    <cellStyle name="常规 5 9 2 3 2" xfId="41418" xr:uid="{00000000-0005-0000-0000-0000CAA10000}"/>
    <cellStyle name="常规 5 9 2 4" xfId="41419" xr:uid="{00000000-0005-0000-0000-0000CBA10000}"/>
    <cellStyle name="常规 5 9 2 4 2" xfId="41420" xr:uid="{00000000-0005-0000-0000-0000CCA10000}"/>
    <cellStyle name="常规 5 9 2 5" xfId="41421" xr:uid="{00000000-0005-0000-0000-0000CDA10000}"/>
    <cellStyle name="常规 5 9 3" xfId="41422" xr:uid="{00000000-0005-0000-0000-0000CEA10000}"/>
    <cellStyle name="常规 5 9 3 2" xfId="41423" xr:uid="{00000000-0005-0000-0000-0000CFA10000}"/>
    <cellStyle name="常规 5 9 3 2 2" xfId="41424" xr:uid="{00000000-0005-0000-0000-0000D0A10000}"/>
    <cellStyle name="常规 5 9 4" xfId="41425" xr:uid="{00000000-0005-0000-0000-0000D1A10000}"/>
    <cellStyle name="常规 5 9 4 2" xfId="41426" xr:uid="{00000000-0005-0000-0000-0000D2A10000}"/>
    <cellStyle name="常规 5 9 5" xfId="41427" xr:uid="{00000000-0005-0000-0000-0000D3A10000}"/>
    <cellStyle name="常规 5 9 5 2" xfId="41428" xr:uid="{00000000-0005-0000-0000-0000D4A10000}"/>
    <cellStyle name="常规 5 9 6" xfId="41429" xr:uid="{00000000-0005-0000-0000-0000D5A10000}"/>
    <cellStyle name="常规 5_Profit Statement  072610" xfId="41430" xr:uid="{00000000-0005-0000-0000-0000D6A10000}"/>
    <cellStyle name="常规 6" xfId="41431" xr:uid="{00000000-0005-0000-0000-0000D7A10000}"/>
    <cellStyle name="常规 6 10" xfId="41432" xr:uid="{00000000-0005-0000-0000-0000D8A10000}"/>
    <cellStyle name="常规 6 10 2" xfId="41433" xr:uid="{00000000-0005-0000-0000-0000D9A10000}"/>
    <cellStyle name="常规 6 2" xfId="41434" xr:uid="{00000000-0005-0000-0000-0000DAA10000}"/>
    <cellStyle name="常规 6 2 10" xfId="41435" xr:uid="{00000000-0005-0000-0000-0000DBA10000}"/>
    <cellStyle name="常规 6 2 10 2" xfId="41436" xr:uid="{00000000-0005-0000-0000-0000DCA10000}"/>
    <cellStyle name="常规 6 2 2" xfId="41437" xr:uid="{00000000-0005-0000-0000-0000DDA10000}"/>
    <cellStyle name="常规 6 2 2 2" xfId="41438" xr:uid="{00000000-0005-0000-0000-0000DEA10000}"/>
    <cellStyle name="常规 6 2 2 2 2" xfId="41439" xr:uid="{00000000-0005-0000-0000-0000DFA10000}"/>
    <cellStyle name="常规 6 2 2 2 2 2" xfId="41440" xr:uid="{00000000-0005-0000-0000-0000E0A10000}"/>
    <cellStyle name="常规 6 2 2 2 2 3" xfId="41441" xr:uid="{00000000-0005-0000-0000-0000E1A10000}"/>
    <cellStyle name="常规 6 2 2 2 2 4" xfId="41442" xr:uid="{00000000-0005-0000-0000-0000E2A10000}"/>
    <cellStyle name="常规 6 2 2 2 2 4 2" xfId="41443" xr:uid="{00000000-0005-0000-0000-0000E3A10000}"/>
    <cellStyle name="常规 6 2 2 2 2 4 3" xfId="41444" xr:uid="{00000000-0005-0000-0000-0000E4A10000}"/>
    <cellStyle name="常规 6 2 2 2 2 5" xfId="41445" xr:uid="{00000000-0005-0000-0000-0000E5A10000}"/>
    <cellStyle name="常规 6 2 2 2 2 5 2" xfId="41446" xr:uid="{00000000-0005-0000-0000-0000E6A10000}"/>
    <cellStyle name="常规 6 2 2 2 3" xfId="41447" xr:uid="{00000000-0005-0000-0000-0000E7A10000}"/>
    <cellStyle name="常规 6 2 2 2 3 2" xfId="41448" xr:uid="{00000000-0005-0000-0000-0000E8A10000}"/>
    <cellStyle name="常规 6 2 2 2 3 2 2" xfId="41449" xr:uid="{00000000-0005-0000-0000-0000E9A10000}"/>
    <cellStyle name="常规 6 2 2 2 3 2 2 2" xfId="41450" xr:uid="{00000000-0005-0000-0000-0000EAA10000}"/>
    <cellStyle name="常规 6 2 2 2 3 3" xfId="41451" xr:uid="{00000000-0005-0000-0000-0000EBA10000}"/>
    <cellStyle name="常规 6 2 2 2 3 3 2" xfId="41452" xr:uid="{00000000-0005-0000-0000-0000ECA10000}"/>
    <cellStyle name="常规 6 2 2 2 3 3 2 2" xfId="41453" xr:uid="{00000000-0005-0000-0000-0000EDA10000}"/>
    <cellStyle name="常规 6 2 2 2 3 4" xfId="41454" xr:uid="{00000000-0005-0000-0000-0000EEA10000}"/>
    <cellStyle name="常规 6 2 2 2 3 4 2" xfId="41455" xr:uid="{00000000-0005-0000-0000-0000EFA10000}"/>
    <cellStyle name="常规 6 2 2 2 3 5" xfId="41456" xr:uid="{00000000-0005-0000-0000-0000F0A10000}"/>
    <cellStyle name="常规 6 2 2 2 4" xfId="41457" xr:uid="{00000000-0005-0000-0000-0000F1A10000}"/>
    <cellStyle name="常规 6 2 2 2 5" xfId="41458" xr:uid="{00000000-0005-0000-0000-0000F2A10000}"/>
    <cellStyle name="常规 6 2 2 2 6" xfId="41459" xr:uid="{00000000-0005-0000-0000-0000F3A10000}"/>
    <cellStyle name="常规 6 2 2 2 7" xfId="41460" xr:uid="{00000000-0005-0000-0000-0000F4A10000}"/>
    <cellStyle name="常规 6 2 2 2 7 2" xfId="41461" xr:uid="{00000000-0005-0000-0000-0000F5A10000}"/>
    <cellStyle name="常规 6 2 2 2 7 3" xfId="41462" xr:uid="{00000000-0005-0000-0000-0000F6A10000}"/>
    <cellStyle name="常规 6 2 2 2 8" xfId="41463" xr:uid="{00000000-0005-0000-0000-0000F7A10000}"/>
    <cellStyle name="常规 6 2 2 2 8 2" xfId="41464" xr:uid="{00000000-0005-0000-0000-0000F8A10000}"/>
    <cellStyle name="常规 6 2 2 3" xfId="41465" xr:uid="{00000000-0005-0000-0000-0000F9A10000}"/>
    <cellStyle name="常规 6 2 2 3 2" xfId="41466" xr:uid="{00000000-0005-0000-0000-0000FAA10000}"/>
    <cellStyle name="常规 6 2 2 3 3" xfId="41467" xr:uid="{00000000-0005-0000-0000-0000FBA10000}"/>
    <cellStyle name="常规 6 2 2 3 4" xfId="41468" xr:uid="{00000000-0005-0000-0000-0000FCA10000}"/>
    <cellStyle name="常规 6 2 2 3 4 2" xfId="41469" xr:uid="{00000000-0005-0000-0000-0000FDA10000}"/>
    <cellStyle name="常规 6 2 2 3 4 3" xfId="41470" xr:uid="{00000000-0005-0000-0000-0000FEA10000}"/>
    <cellStyle name="常规 6 2 2 3 5" xfId="41471" xr:uid="{00000000-0005-0000-0000-0000FFA10000}"/>
    <cellStyle name="常规 6 2 2 3 5 2" xfId="41472" xr:uid="{00000000-0005-0000-0000-000000A20000}"/>
    <cellStyle name="常规 6 2 2 4" xfId="41473" xr:uid="{00000000-0005-0000-0000-000001A20000}"/>
    <cellStyle name="常规 6 2 2 4 2" xfId="41474" xr:uid="{00000000-0005-0000-0000-000002A20000}"/>
    <cellStyle name="常规 6 2 2 4 2 2" xfId="41475" xr:uid="{00000000-0005-0000-0000-000003A20000}"/>
    <cellStyle name="常规 6 2 2 5" xfId="41476" xr:uid="{00000000-0005-0000-0000-000004A20000}"/>
    <cellStyle name="常规 6 2 2 6" xfId="41477" xr:uid="{00000000-0005-0000-0000-000005A20000}"/>
    <cellStyle name="常规 6 2 2 7" xfId="41478" xr:uid="{00000000-0005-0000-0000-000006A20000}"/>
    <cellStyle name="常规 6 2 2 8" xfId="41479" xr:uid="{00000000-0005-0000-0000-000007A20000}"/>
    <cellStyle name="常规 6 2 2 8 2" xfId="41480" xr:uid="{00000000-0005-0000-0000-000008A20000}"/>
    <cellStyle name="常规 6 2 2 8 3" xfId="41481" xr:uid="{00000000-0005-0000-0000-000009A20000}"/>
    <cellStyle name="常规 6 2 2 9" xfId="41482" xr:uid="{00000000-0005-0000-0000-00000AA20000}"/>
    <cellStyle name="常规 6 2 2 9 2" xfId="41483" xr:uid="{00000000-0005-0000-0000-00000BA20000}"/>
    <cellStyle name="常规 6 2 3" xfId="41484" xr:uid="{00000000-0005-0000-0000-00000CA20000}"/>
    <cellStyle name="常规 6 2 3 2" xfId="41485" xr:uid="{00000000-0005-0000-0000-00000DA20000}"/>
    <cellStyle name="常规 6 2 3 2 2" xfId="41486" xr:uid="{00000000-0005-0000-0000-00000EA20000}"/>
    <cellStyle name="常规 6 2 3 2 3" xfId="41487" xr:uid="{00000000-0005-0000-0000-00000FA20000}"/>
    <cellStyle name="常规 6 2 3 2 4" xfId="41488" xr:uid="{00000000-0005-0000-0000-000010A20000}"/>
    <cellStyle name="常规 6 2 3 2 4 2" xfId="41489" xr:uid="{00000000-0005-0000-0000-000011A20000}"/>
    <cellStyle name="常规 6 2 3 2 4 3" xfId="41490" xr:uid="{00000000-0005-0000-0000-000012A20000}"/>
    <cellStyle name="常规 6 2 3 2 5" xfId="41491" xr:uid="{00000000-0005-0000-0000-000013A20000}"/>
    <cellStyle name="常规 6 2 3 2 5 2" xfId="41492" xr:uid="{00000000-0005-0000-0000-000014A20000}"/>
    <cellStyle name="常规 6 2 3 3" xfId="41493" xr:uid="{00000000-0005-0000-0000-000015A20000}"/>
    <cellStyle name="常规 6 2 3 3 2" xfId="41494" xr:uid="{00000000-0005-0000-0000-000016A20000}"/>
    <cellStyle name="常规 6 2 3 3 2 2" xfId="41495" xr:uid="{00000000-0005-0000-0000-000017A20000}"/>
    <cellStyle name="常规 6 2 3 3 2 2 2" xfId="41496" xr:uid="{00000000-0005-0000-0000-000018A20000}"/>
    <cellStyle name="常规 6 2 3 3 3" xfId="41497" xr:uid="{00000000-0005-0000-0000-000019A20000}"/>
    <cellStyle name="常规 6 2 3 3 3 2" xfId="41498" xr:uid="{00000000-0005-0000-0000-00001AA20000}"/>
    <cellStyle name="常规 6 2 3 3 3 2 2" xfId="41499" xr:uid="{00000000-0005-0000-0000-00001BA20000}"/>
    <cellStyle name="常规 6 2 3 3 4" xfId="41500" xr:uid="{00000000-0005-0000-0000-00001CA20000}"/>
    <cellStyle name="常规 6 2 3 3 4 2" xfId="41501" xr:uid="{00000000-0005-0000-0000-00001DA20000}"/>
    <cellStyle name="常规 6 2 3 3 5" xfId="41502" xr:uid="{00000000-0005-0000-0000-00001EA20000}"/>
    <cellStyle name="常规 6 2 3 4" xfId="41503" xr:uid="{00000000-0005-0000-0000-00001FA20000}"/>
    <cellStyle name="常规 6 2 3 5" xfId="41504" xr:uid="{00000000-0005-0000-0000-000020A20000}"/>
    <cellStyle name="常规 6 2 3 6" xfId="41505" xr:uid="{00000000-0005-0000-0000-000021A20000}"/>
    <cellStyle name="常规 6 2 3 7" xfId="41506" xr:uid="{00000000-0005-0000-0000-000022A20000}"/>
    <cellStyle name="常规 6 2 3 7 2" xfId="41507" xr:uid="{00000000-0005-0000-0000-000023A20000}"/>
    <cellStyle name="常规 6 2 3 7 3" xfId="41508" xr:uid="{00000000-0005-0000-0000-000024A20000}"/>
    <cellStyle name="常规 6 2 3 8" xfId="41509" xr:uid="{00000000-0005-0000-0000-000025A20000}"/>
    <cellStyle name="常规 6 2 3 8 2" xfId="41510" xr:uid="{00000000-0005-0000-0000-000026A20000}"/>
    <cellStyle name="常规 6 2 4" xfId="41511" xr:uid="{00000000-0005-0000-0000-000027A20000}"/>
    <cellStyle name="常规 6 2 4 2" xfId="41512" xr:uid="{00000000-0005-0000-0000-000028A20000}"/>
    <cellStyle name="常规 6 2 4 3" xfId="41513" xr:uid="{00000000-0005-0000-0000-000029A20000}"/>
    <cellStyle name="常规 6 2 4 4" xfId="41514" xr:uid="{00000000-0005-0000-0000-00002AA20000}"/>
    <cellStyle name="常规 6 2 4 4 2" xfId="41515" xr:uid="{00000000-0005-0000-0000-00002BA20000}"/>
    <cellStyle name="常规 6 2 4 4 3" xfId="41516" xr:uid="{00000000-0005-0000-0000-00002CA20000}"/>
    <cellStyle name="常规 6 2 4 5" xfId="41517" xr:uid="{00000000-0005-0000-0000-00002DA20000}"/>
    <cellStyle name="常规 6 2 4 5 2" xfId="41518" xr:uid="{00000000-0005-0000-0000-00002EA20000}"/>
    <cellStyle name="常规 6 2 5" xfId="41519" xr:uid="{00000000-0005-0000-0000-00002FA20000}"/>
    <cellStyle name="常规 6 2 5 2" xfId="41520" xr:uid="{00000000-0005-0000-0000-000030A20000}"/>
    <cellStyle name="常规 6 2 5 2 2" xfId="41521" xr:uid="{00000000-0005-0000-0000-000031A20000}"/>
    <cellStyle name="常规 6 2 6" xfId="41522" xr:uid="{00000000-0005-0000-0000-000032A20000}"/>
    <cellStyle name="常规 6 2 7" xfId="41523" xr:uid="{00000000-0005-0000-0000-000033A20000}"/>
    <cellStyle name="常规 6 2 8" xfId="41524" xr:uid="{00000000-0005-0000-0000-000034A20000}"/>
    <cellStyle name="常规 6 2 9" xfId="41525" xr:uid="{00000000-0005-0000-0000-000035A20000}"/>
    <cellStyle name="常规 6 2 9 2" xfId="41526" xr:uid="{00000000-0005-0000-0000-000036A20000}"/>
    <cellStyle name="常规 6 2 9 3" xfId="41527" xr:uid="{00000000-0005-0000-0000-000037A20000}"/>
    <cellStyle name="常规 6 3" xfId="41528" xr:uid="{00000000-0005-0000-0000-000038A20000}"/>
    <cellStyle name="常规 6 3 2" xfId="41529" xr:uid="{00000000-0005-0000-0000-000039A20000}"/>
    <cellStyle name="常规 6 3 2 2" xfId="41530" xr:uid="{00000000-0005-0000-0000-00003AA20000}"/>
    <cellStyle name="常规 6 3 2 2 2" xfId="41531" xr:uid="{00000000-0005-0000-0000-00003BA20000}"/>
    <cellStyle name="常规 6 3 2 2 3" xfId="41532" xr:uid="{00000000-0005-0000-0000-00003CA20000}"/>
    <cellStyle name="常规 6 3 2 2 4" xfId="41533" xr:uid="{00000000-0005-0000-0000-00003DA20000}"/>
    <cellStyle name="常规 6 3 2 2 4 2" xfId="41534" xr:uid="{00000000-0005-0000-0000-00003EA20000}"/>
    <cellStyle name="常规 6 3 2 3" xfId="41535" xr:uid="{00000000-0005-0000-0000-00003FA20000}"/>
    <cellStyle name="常规 6 3 2 3 2" xfId="41536" xr:uid="{00000000-0005-0000-0000-000040A20000}"/>
    <cellStyle name="常规 6 3 2 3 2 2" xfId="41537" xr:uid="{00000000-0005-0000-0000-000041A20000}"/>
    <cellStyle name="常规 6 3 2 4" xfId="41538" xr:uid="{00000000-0005-0000-0000-000042A20000}"/>
    <cellStyle name="常规 6 3 2 4 2" xfId="41539" xr:uid="{00000000-0005-0000-0000-000043A20000}"/>
    <cellStyle name="常规 6 3 2 4 2 2" xfId="41540" xr:uid="{00000000-0005-0000-0000-000044A20000}"/>
    <cellStyle name="常规 6 3 2 5" xfId="41541" xr:uid="{00000000-0005-0000-0000-000045A20000}"/>
    <cellStyle name="常规 6 3 2 5 2" xfId="41542" xr:uid="{00000000-0005-0000-0000-000046A20000}"/>
    <cellStyle name="常规 6 3 2 5 3" xfId="41543" xr:uid="{00000000-0005-0000-0000-000047A20000}"/>
    <cellStyle name="常规 6 3 2 6" xfId="41544" xr:uid="{00000000-0005-0000-0000-000048A20000}"/>
    <cellStyle name="常规 6 3 2 7" xfId="41545" xr:uid="{00000000-0005-0000-0000-000049A20000}"/>
    <cellStyle name="常规 6 3 2 7 2" xfId="41546" xr:uid="{00000000-0005-0000-0000-00004AA20000}"/>
    <cellStyle name="常规 6 3 2 8" xfId="41547" xr:uid="{00000000-0005-0000-0000-00004BA20000}"/>
    <cellStyle name="常规 6 3 3" xfId="41548" xr:uid="{00000000-0005-0000-0000-00004CA20000}"/>
    <cellStyle name="常规 6 3 3 2" xfId="41549" xr:uid="{00000000-0005-0000-0000-00004DA20000}"/>
    <cellStyle name="常规 6 3 3 2 2" xfId="41550" xr:uid="{00000000-0005-0000-0000-00004EA20000}"/>
    <cellStyle name="常规 6 3 3 2 2 2" xfId="41551" xr:uid="{00000000-0005-0000-0000-00004FA20000}"/>
    <cellStyle name="常规 6 3 3 2 3" xfId="41552" xr:uid="{00000000-0005-0000-0000-000050A20000}"/>
    <cellStyle name="常规 6 3 3 3" xfId="41553" xr:uid="{00000000-0005-0000-0000-000051A20000}"/>
    <cellStyle name="常规 6 3 3 3 2" xfId="41554" xr:uid="{00000000-0005-0000-0000-000052A20000}"/>
    <cellStyle name="常规 6 3 3 3 2 2" xfId="41555" xr:uid="{00000000-0005-0000-0000-000053A20000}"/>
    <cellStyle name="常规 6 3 3 4" xfId="41556" xr:uid="{00000000-0005-0000-0000-000054A20000}"/>
    <cellStyle name="常规 6 3 3 4 2" xfId="41557" xr:uid="{00000000-0005-0000-0000-000055A20000}"/>
    <cellStyle name="常规 6 3 3 4 3" xfId="41558" xr:uid="{00000000-0005-0000-0000-000056A20000}"/>
    <cellStyle name="常规 6 3 3 5" xfId="41559" xr:uid="{00000000-0005-0000-0000-000057A20000}"/>
    <cellStyle name="常规 6 3 3 5 2" xfId="41560" xr:uid="{00000000-0005-0000-0000-000058A20000}"/>
    <cellStyle name="常规 6 3 4" xfId="41561" xr:uid="{00000000-0005-0000-0000-000059A20000}"/>
    <cellStyle name="常规 6 3 4 2" xfId="41562" xr:uid="{00000000-0005-0000-0000-00005AA20000}"/>
    <cellStyle name="常规 6 3 4 2 2" xfId="41563" xr:uid="{00000000-0005-0000-0000-00005BA20000}"/>
    <cellStyle name="常规 6 3 5" xfId="41564" xr:uid="{00000000-0005-0000-0000-00005CA20000}"/>
    <cellStyle name="常规 6 3 5 2" xfId="41565" xr:uid="{00000000-0005-0000-0000-00005DA20000}"/>
    <cellStyle name="常规 6 3 5 2 2" xfId="41566" xr:uid="{00000000-0005-0000-0000-00005EA20000}"/>
    <cellStyle name="常规 6 3 6" xfId="41567" xr:uid="{00000000-0005-0000-0000-00005FA20000}"/>
    <cellStyle name="常规 6 3 6 2" xfId="41568" xr:uid="{00000000-0005-0000-0000-000060A20000}"/>
    <cellStyle name="常规 6 3 6 2 2" xfId="41569" xr:uid="{00000000-0005-0000-0000-000061A20000}"/>
    <cellStyle name="常规 6 3 7" xfId="41570" xr:uid="{00000000-0005-0000-0000-000062A20000}"/>
    <cellStyle name="常规 6 3 7 2" xfId="41571" xr:uid="{00000000-0005-0000-0000-000063A20000}"/>
    <cellStyle name="常规 6 3 7 2 2" xfId="41572" xr:uid="{00000000-0005-0000-0000-000064A20000}"/>
    <cellStyle name="常规 6 3 8" xfId="41573" xr:uid="{00000000-0005-0000-0000-000065A20000}"/>
    <cellStyle name="常规 6 3 8 2" xfId="41574" xr:uid="{00000000-0005-0000-0000-000066A20000}"/>
    <cellStyle name="常规 6 3 8 3" xfId="41575" xr:uid="{00000000-0005-0000-0000-000067A20000}"/>
    <cellStyle name="常规 6 3 9" xfId="41576" xr:uid="{00000000-0005-0000-0000-000068A20000}"/>
    <cellStyle name="常规 6 4" xfId="41577" xr:uid="{00000000-0005-0000-0000-000069A20000}"/>
    <cellStyle name="常规 6 4 2" xfId="41578" xr:uid="{00000000-0005-0000-0000-00006AA20000}"/>
    <cellStyle name="常规 6 4 2 2" xfId="41579" xr:uid="{00000000-0005-0000-0000-00006BA20000}"/>
    <cellStyle name="常规 6 4 2 2 2" xfId="41580" xr:uid="{00000000-0005-0000-0000-00006CA20000}"/>
    <cellStyle name="常规 6 4 2 2 2 2" xfId="41581" xr:uid="{00000000-0005-0000-0000-00006DA20000}"/>
    <cellStyle name="常规 6 4 2 3" xfId="41582" xr:uid="{00000000-0005-0000-0000-00006EA20000}"/>
    <cellStyle name="常规 6 4 2 3 2" xfId="41583" xr:uid="{00000000-0005-0000-0000-00006FA20000}"/>
    <cellStyle name="常规 6 4 2 3 2 2" xfId="41584" xr:uid="{00000000-0005-0000-0000-000070A20000}"/>
    <cellStyle name="常规 6 4 2 4" xfId="41585" xr:uid="{00000000-0005-0000-0000-000071A20000}"/>
    <cellStyle name="常规 6 4 2 4 2" xfId="41586" xr:uid="{00000000-0005-0000-0000-000072A20000}"/>
    <cellStyle name="常规 6 4 2 4 3" xfId="41587" xr:uid="{00000000-0005-0000-0000-000073A20000}"/>
    <cellStyle name="常规 6 4 2 5" xfId="41588" xr:uid="{00000000-0005-0000-0000-000074A20000}"/>
    <cellStyle name="常规 6 4 2 5 2" xfId="41589" xr:uid="{00000000-0005-0000-0000-000075A20000}"/>
    <cellStyle name="常规 6 4 3" xfId="41590" xr:uid="{00000000-0005-0000-0000-000076A20000}"/>
    <cellStyle name="常规 6 4 3 2" xfId="41591" xr:uid="{00000000-0005-0000-0000-000077A20000}"/>
    <cellStyle name="常规 6 4 3 2 2" xfId="41592" xr:uid="{00000000-0005-0000-0000-000078A20000}"/>
    <cellStyle name="常规 6 4 4" xfId="41593" xr:uid="{00000000-0005-0000-0000-000079A20000}"/>
    <cellStyle name="常规 6 4 4 2" xfId="41594" xr:uid="{00000000-0005-0000-0000-00007AA20000}"/>
    <cellStyle name="常规 6 4 4 2 2" xfId="41595" xr:uid="{00000000-0005-0000-0000-00007BA20000}"/>
    <cellStyle name="常规 6 4 5" xfId="41596" xr:uid="{00000000-0005-0000-0000-00007CA20000}"/>
    <cellStyle name="常规 6 4 5 2" xfId="41597" xr:uid="{00000000-0005-0000-0000-00007DA20000}"/>
    <cellStyle name="常规 6 4 5 2 2" xfId="41598" xr:uid="{00000000-0005-0000-0000-00007EA20000}"/>
    <cellStyle name="常规 6 4 6" xfId="41599" xr:uid="{00000000-0005-0000-0000-00007FA20000}"/>
    <cellStyle name="常规 6 4 6 2" xfId="41600" xr:uid="{00000000-0005-0000-0000-000080A20000}"/>
    <cellStyle name="常规 6 4 6 2 2" xfId="41601" xr:uid="{00000000-0005-0000-0000-000081A20000}"/>
    <cellStyle name="常规 6 4 7" xfId="41602" xr:uid="{00000000-0005-0000-0000-000082A20000}"/>
    <cellStyle name="常规 6 4 7 2" xfId="41603" xr:uid="{00000000-0005-0000-0000-000083A20000}"/>
    <cellStyle name="常规 6 4 7 3" xfId="41604" xr:uid="{00000000-0005-0000-0000-000084A20000}"/>
    <cellStyle name="常规 6 4 8" xfId="41605" xr:uid="{00000000-0005-0000-0000-000085A20000}"/>
    <cellStyle name="常规 6 4 8 2" xfId="41606" xr:uid="{00000000-0005-0000-0000-000086A20000}"/>
    <cellStyle name="常规 6 5" xfId="41607" xr:uid="{00000000-0005-0000-0000-000087A20000}"/>
    <cellStyle name="常规 6 5 2" xfId="41608" xr:uid="{00000000-0005-0000-0000-000088A20000}"/>
    <cellStyle name="常规 6 5 2 2" xfId="41609" xr:uid="{00000000-0005-0000-0000-000089A20000}"/>
    <cellStyle name="常规 6 5 2 2 2" xfId="41610" xr:uid="{00000000-0005-0000-0000-00008AA20000}"/>
    <cellStyle name="常规 6 5 2 2 2 2" xfId="41611" xr:uid="{00000000-0005-0000-0000-00008BA20000}"/>
    <cellStyle name="常规 6 5 2 3" xfId="41612" xr:uid="{00000000-0005-0000-0000-00008CA20000}"/>
    <cellStyle name="常规 6 5 2 3 2" xfId="41613" xr:uid="{00000000-0005-0000-0000-00008DA20000}"/>
    <cellStyle name="常规 6 5 2 3 2 2" xfId="41614" xr:uid="{00000000-0005-0000-0000-00008EA20000}"/>
    <cellStyle name="常规 6 5 2 4" xfId="41615" xr:uid="{00000000-0005-0000-0000-00008FA20000}"/>
    <cellStyle name="常规 6 5 2 4 2" xfId="41616" xr:uid="{00000000-0005-0000-0000-000090A20000}"/>
    <cellStyle name="常规 6 5 2 5" xfId="41617" xr:uid="{00000000-0005-0000-0000-000091A20000}"/>
    <cellStyle name="常规 6 5 3" xfId="41618" xr:uid="{00000000-0005-0000-0000-000092A20000}"/>
    <cellStyle name="常规 6 5 3 2" xfId="41619" xr:uid="{00000000-0005-0000-0000-000093A20000}"/>
    <cellStyle name="常规 6 5 3 2 2" xfId="41620" xr:uid="{00000000-0005-0000-0000-000094A20000}"/>
    <cellStyle name="常规 6 5 4" xfId="41621" xr:uid="{00000000-0005-0000-0000-000095A20000}"/>
    <cellStyle name="常规 6 5 4 2" xfId="41622" xr:uid="{00000000-0005-0000-0000-000096A20000}"/>
    <cellStyle name="常规 6 5 4 3" xfId="41623" xr:uid="{00000000-0005-0000-0000-000097A20000}"/>
    <cellStyle name="常规 6 5 5" xfId="41624" xr:uid="{00000000-0005-0000-0000-000098A20000}"/>
    <cellStyle name="常规 6 5 5 2" xfId="41625" xr:uid="{00000000-0005-0000-0000-000099A20000}"/>
    <cellStyle name="常规 6 6" xfId="41626" xr:uid="{00000000-0005-0000-0000-00009AA20000}"/>
    <cellStyle name="常规 6 6 2" xfId="41627" xr:uid="{00000000-0005-0000-0000-00009BA20000}"/>
    <cellStyle name="常规 6 6 2 2" xfId="41628" xr:uid="{00000000-0005-0000-0000-00009CA20000}"/>
    <cellStyle name="常规 6 6 2 2 2" xfId="41629" xr:uid="{00000000-0005-0000-0000-00009DA20000}"/>
    <cellStyle name="常规 6 6 3" xfId="41630" xr:uid="{00000000-0005-0000-0000-00009EA20000}"/>
    <cellStyle name="常规 6 6 3 2" xfId="41631" xr:uid="{00000000-0005-0000-0000-00009FA20000}"/>
    <cellStyle name="常规 6 6 3 2 2" xfId="41632" xr:uid="{00000000-0005-0000-0000-0000A0A20000}"/>
    <cellStyle name="常规 6 6 4" xfId="41633" xr:uid="{00000000-0005-0000-0000-0000A1A20000}"/>
    <cellStyle name="常规 6 6 4 2" xfId="41634" xr:uid="{00000000-0005-0000-0000-0000A2A20000}"/>
    <cellStyle name="常规 6 6 5" xfId="41635" xr:uid="{00000000-0005-0000-0000-0000A3A20000}"/>
    <cellStyle name="常规 6 7" xfId="41636" xr:uid="{00000000-0005-0000-0000-0000A4A20000}"/>
    <cellStyle name="常规 6 7 2" xfId="41637" xr:uid="{00000000-0005-0000-0000-0000A5A20000}"/>
    <cellStyle name="常规 6 7 2 2" xfId="41638" xr:uid="{00000000-0005-0000-0000-0000A6A20000}"/>
    <cellStyle name="常规 6 8" xfId="41639" xr:uid="{00000000-0005-0000-0000-0000A7A20000}"/>
    <cellStyle name="常规 6 9" xfId="41640" xr:uid="{00000000-0005-0000-0000-0000A8A20000}"/>
    <cellStyle name="常规 6 9 2" xfId="41641" xr:uid="{00000000-0005-0000-0000-0000A9A20000}"/>
    <cellStyle name="常规 6 9 2 2" xfId="41642" xr:uid="{00000000-0005-0000-0000-0000AAA20000}"/>
    <cellStyle name="常规 6 9 3" xfId="41643" xr:uid="{00000000-0005-0000-0000-0000ABA20000}"/>
    <cellStyle name="常规 6 9 3 2" xfId="41644" xr:uid="{00000000-0005-0000-0000-0000ACA20000}"/>
    <cellStyle name="常规 7" xfId="41645" xr:uid="{00000000-0005-0000-0000-0000ADA20000}"/>
    <cellStyle name="常规 7 10" xfId="41646" xr:uid="{00000000-0005-0000-0000-0000AEA20000}"/>
    <cellStyle name="常规 7 10 2" xfId="41647" xr:uid="{00000000-0005-0000-0000-0000AFA20000}"/>
    <cellStyle name="常规 7 10 3" xfId="41648" xr:uid="{00000000-0005-0000-0000-0000B0A20000}"/>
    <cellStyle name="常规 7 11" xfId="41649" xr:uid="{00000000-0005-0000-0000-0000B1A20000}"/>
    <cellStyle name="常规 7 2" xfId="41650" xr:uid="{00000000-0005-0000-0000-0000B2A20000}"/>
    <cellStyle name="常规 7 2 10" xfId="41651" xr:uid="{00000000-0005-0000-0000-0000B3A20000}"/>
    <cellStyle name="常规 7 2 10 2" xfId="41652" xr:uid="{00000000-0005-0000-0000-0000B4A20000}"/>
    <cellStyle name="常规 7 2 2" xfId="41653" xr:uid="{00000000-0005-0000-0000-0000B5A20000}"/>
    <cellStyle name="常规 7 2 2 2" xfId="41654" xr:uid="{00000000-0005-0000-0000-0000B6A20000}"/>
    <cellStyle name="常规 7 2 2 2 2" xfId="41655" xr:uid="{00000000-0005-0000-0000-0000B7A20000}"/>
    <cellStyle name="常规 7 2 2 2 2 2" xfId="41656" xr:uid="{00000000-0005-0000-0000-0000B8A20000}"/>
    <cellStyle name="常规 7 2 2 2 2 3" xfId="41657" xr:uid="{00000000-0005-0000-0000-0000B9A20000}"/>
    <cellStyle name="常规 7 2 2 2 2 4" xfId="41658" xr:uid="{00000000-0005-0000-0000-0000BAA20000}"/>
    <cellStyle name="常规 7 2 2 2 2 4 2" xfId="41659" xr:uid="{00000000-0005-0000-0000-0000BBA20000}"/>
    <cellStyle name="常规 7 2 2 2 2 4 3" xfId="41660" xr:uid="{00000000-0005-0000-0000-0000BCA20000}"/>
    <cellStyle name="常规 7 2 2 2 2 5" xfId="41661" xr:uid="{00000000-0005-0000-0000-0000BDA20000}"/>
    <cellStyle name="常规 7 2 2 2 2 5 2" xfId="41662" xr:uid="{00000000-0005-0000-0000-0000BEA20000}"/>
    <cellStyle name="常规 7 2 2 2 3" xfId="41663" xr:uid="{00000000-0005-0000-0000-0000BFA20000}"/>
    <cellStyle name="常规 7 2 2 2 3 2" xfId="41664" xr:uid="{00000000-0005-0000-0000-0000C0A20000}"/>
    <cellStyle name="常规 7 2 2 2 3 2 2" xfId="41665" xr:uid="{00000000-0005-0000-0000-0000C1A20000}"/>
    <cellStyle name="常规 7 2 2 2 3 2 2 2" xfId="41666" xr:uid="{00000000-0005-0000-0000-0000C2A20000}"/>
    <cellStyle name="常规 7 2 2 2 3 3" xfId="41667" xr:uid="{00000000-0005-0000-0000-0000C3A20000}"/>
    <cellStyle name="常规 7 2 2 2 3 3 2" xfId="41668" xr:uid="{00000000-0005-0000-0000-0000C4A20000}"/>
    <cellStyle name="常规 7 2 2 2 3 3 2 2" xfId="41669" xr:uid="{00000000-0005-0000-0000-0000C5A20000}"/>
    <cellStyle name="常规 7 2 2 2 3 4" xfId="41670" xr:uid="{00000000-0005-0000-0000-0000C6A20000}"/>
    <cellStyle name="常规 7 2 2 2 3 4 2" xfId="41671" xr:uid="{00000000-0005-0000-0000-0000C7A20000}"/>
    <cellStyle name="常规 7 2 2 2 3 5" xfId="41672" xr:uid="{00000000-0005-0000-0000-0000C8A20000}"/>
    <cellStyle name="常规 7 2 2 2 4" xfId="41673" xr:uid="{00000000-0005-0000-0000-0000C9A20000}"/>
    <cellStyle name="常规 7 2 2 2 5" xfId="41674" xr:uid="{00000000-0005-0000-0000-0000CAA20000}"/>
    <cellStyle name="常规 7 2 2 2 6" xfId="41675" xr:uid="{00000000-0005-0000-0000-0000CBA20000}"/>
    <cellStyle name="常规 7 2 2 2 7" xfId="41676" xr:uid="{00000000-0005-0000-0000-0000CCA20000}"/>
    <cellStyle name="常规 7 2 2 2 7 2" xfId="41677" xr:uid="{00000000-0005-0000-0000-0000CDA20000}"/>
    <cellStyle name="常规 7 2 2 2 7 3" xfId="41678" xr:uid="{00000000-0005-0000-0000-0000CEA20000}"/>
    <cellStyle name="常规 7 2 2 2 8" xfId="41679" xr:uid="{00000000-0005-0000-0000-0000CFA20000}"/>
    <cellStyle name="常规 7 2 2 2 8 2" xfId="41680" xr:uid="{00000000-0005-0000-0000-0000D0A20000}"/>
    <cellStyle name="常规 7 2 2 3" xfId="41681" xr:uid="{00000000-0005-0000-0000-0000D1A20000}"/>
    <cellStyle name="常规 7 2 2 3 2" xfId="41682" xr:uid="{00000000-0005-0000-0000-0000D2A20000}"/>
    <cellStyle name="常规 7 2 2 3 3" xfId="41683" xr:uid="{00000000-0005-0000-0000-0000D3A20000}"/>
    <cellStyle name="常规 7 2 2 3 4" xfId="41684" xr:uid="{00000000-0005-0000-0000-0000D4A20000}"/>
    <cellStyle name="常规 7 2 2 3 4 2" xfId="41685" xr:uid="{00000000-0005-0000-0000-0000D5A20000}"/>
    <cellStyle name="常规 7 2 2 3 4 3" xfId="41686" xr:uid="{00000000-0005-0000-0000-0000D6A20000}"/>
    <cellStyle name="常规 7 2 2 3 5" xfId="41687" xr:uid="{00000000-0005-0000-0000-0000D7A20000}"/>
    <cellStyle name="常规 7 2 2 3 5 2" xfId="41688" xr:uid="{00000000-0005-0000-0000-0000D8A20000}"/>
    <cellStyle name="常规 7 2 2 4" xfId="41689" xr:uid="{00000000-0005-0000-0000-0000D9A20000}"/>
    <cellStyle name="常规 7 2 2 4 2" xfId="41690" xr:uid="{00000000-0005-0000-0000-0000DAA20000}"/>
    <cellStyle name="常规 7 2 2 4 2 2" xfId="41691" xr:uid="{00000000-0005-0000-0000-0000DBA20000}"/>
    <cellStyle name="常规 7 2 2 5" xfId="41692" xr:uid="{00000000-0005-0000-0000-0000DCA20000}"/>
    <cellStyle name="常规 7 2 2 5 2" xfId="41693" xr:uid="{00000000-0005-0000-0000-0000DDA20000}"/>
    <cellStyle name="常规 7 2 2 5 2 2" xfId="41694" xr:uid="{00000000-0005-0000-0000-0000DEA20000}"/>
    <cellStyle name="常规 7 2 2 6" xfId="41695" xr:uid="{00000000-0005-0000-0000-0000DFA20000}"/>
    <cellStyle name="常规 7 2 2 6 2" xfId="41696" xr:uid="{00000000-0005-0000-0000-0000E0A20000}"/>
    <cellStyle name="常规 7 2 2 6 2 2" xfId="41697" xr:uid="{00000000-0005-0000-0000-0000E1A20000}"/>
    <cellStyle name="常规 7 2 2 7" xfId="41698" xr:uid="{00000000-0005-0000-0000-0000E2A20000}"/>
    <cellStyle name="常规 7 2 2 8" xfId="41699" xr:uid="{00000000-0005-0000-0000-0000E3A20000}"/>
    <cellStyle name="常规 7 2 2 8 2" xfId="41700" xr:uid="{00000000-0005-0000-0000-0000E4A20000}"/>
    <cellStyle name="常规 7 2 2 8 3" xfId="41701" xr:uid="{00000000-0005-0000-0000-0000E5A20000}"/>
    <cellStyle name="常规 7 2 2 9" xfId="41702" xr:uid="{00000000-0005-0000-0000-0000E6A20000}"/>
    <cellStyle name="常规 7 2 2 9 2" xfId="41703" xr:uid="{00000000-0005-0000-0000-0000E7A20000}"/>
    <cellStyle name="常规 7 2 3" xfId="41704" xr:uid="{00000000-0005-0000-0000-0000E8A20000}"/>
    <cellStyle name="常规 7 2 3 2" xfId="41705" xr:uid="{00000000-0005-0000-0000-0000E9A20000}"/>
    <cellStyle name="常规 7 2 3 2 2" xfId="41706" xr:uid="{00000000-0005-0000-0000-0000EAA20000}"/>
    <cellStyle name="常规 7 2 3 2 3" xfId="41707" xr:uid="{00000000-0005-0000-0000-0000EBA20000}"/>
    <cellStyle name="常规 7 2 3 2 4" xfId="41708" xr:uid="{00000000-0005-0000-0000-0000ECA20000}"/>
    <cellStyle name="常规 7 2 3 2 4 2" xfId="41709" xr:uid="{00000000-0005-0000-0000-0000EDA20000}"/>
    <cellStyle name="常规 7 2 3 2 4 3" xfId="41710" xr:uid="{00000000-0005-0000-0000-0000EEA20000}"/>
    <cellStyle name="常规 7 2 3 2 5" xfId="41711" xr:uid="{00000000-0005-0000-0000-0000EFA20000}"/>
    <cellStyle name="常规 7 2 3 2 5 2" xfId="41712" xr:uid="{00000000-0005-0000-0000-0000F0A20000}"/>
    <cellStyle name="常规 7 2 3 3" xfId="41713" xr:uid="{00000000-0005-0000-0000-0000F1A20000}"/>
    <cellStyle name="常规 7 2 3 3 2" xfId="41714" xr:uid="{00000000-0005-0000-0000-0000F2A20000}"/>
    <cellStyle name="常规 7 2 3 3 2 2" xfId="41715" xr:uid="{00000000-0005-0000-0000-0000F3A20000}"/>
    <cellStyle name="常规 7 2 3 3 2 2 2" xfId="41716" xr:uid="{00000000-0005-0000-0000-0000F4A20000}"/>
    <cellStyle name="常规 7 2 3 3 3" xfId="41717" xr:uid="{00000000-0005-0000-0000-0000F5A20000}"/>
    <cellStyle name="常规 7 2 3 3 3 2" xfId="41718" xr:uid="{00000000-0005-0000-0000-0000F6A20000}"/>
    <cellStyle name="常规 7 2 3 3 3 2 2" xfId="41719" xr:uid="{00000000-0005-0000-0000-0000F7A20000}"/>
    <cellStyle name="常规 7 2 3 3 4" xfId="41720" xr:uid="{00000000-0005-0000-0000-0000F8A20000}"/>
    <cellStyle name="常规 7 2 3 3 4 2" xfId="41721" xr:uid="{00000000-0005-0000-0000-0000F9A20000}"/>
    <cellStyle name="常规 7 2 3 3 5" xfId="41722" xr:uid="{00000000-0005-0000-0000-0000FAA20000}"/>
    <cellStyle name="常规 7 2 3 4" xfId="41723" xr:uid="{00000000-0005-0000-0000-0000FBA20000}"/>
    <cellStyle name="常规 7 2 3 5" xfId="41724" xr:uid="{00000000-0005-0000-0000-0000FCA20000}"/>
    <cellStyle name="常规 7 2 3 6" xfId="41725" xr:uid="{00000000-0005-0000-0000-0000FDA20000}"/>
    <cellStyle name="常规 7 2 3 7" xfId="41726" xr:uid="{00000000-0005-0000-0000-0000FEA20000}"/>
    <cellStyle name="常规 7 2 3 7 2" xfId="41727" xr:uid="{00000000-0005-0000-0000-0000FFA20000}"/>
    <cellStyle name="常规 7 2 3 7 3" xfId="41728" xr:uid="{00000000-0005-0000-0000-000000A30000}"/>
    <cellStyle name="常规 7 2 3 8" xfId="41729" xr:uid="{00000000-0005-0000-0000-000001A30000}"/>
    <cellStyle name="常规 7 2 3 8 2" xfId="41730" xr:uid="{00000000-0005-0000-0000-000002A30000}"/>
    <cellStyle name="常规 7 2 4" xfId="41731" xr:uid="{00000000-0005-0000-0000-000003A30000}"/>
    <cellStyle name="常规 7 2 4 2" xfId="41732" xr:uid="{00000000-0005-0000-0000-000004A30000}"/>
    <cellStyle name="常规 7 2 4 3" xfId="41733" xr:uid="{00000000-0005-0000-0000-000005A30000}"/>
    <cellStyle name="常规 7 2 4 4" xfId="41734" xr:uid="{00000000-0005-0000-0000-000006A30000}"/>
    <cellStyle name="常规 7 2 4 4 2" xfId="41735" xr:uid="{00000000-0005-0000-0000-000007A30000}"/>
    <cellStyle name="常规 7 2 4 4 3" xfId="41736" xr:uid="{00000000-0005-0000-0000-000008A30000}"/>
    <cellStyle name="常规 7 2 4 5" xfId="41737" xr:uid="{00000000-0005-0000-0000-000009A30000}"/>
    <cellStyle name="常规 7 2 4 5 2" xfId="41738" xr:uid="{00000000-0005-0000-0000-00000AA30000}"/>
    <cellStyle name="常规 7 2 5" xfId="41739" xr:uid="{00000000-0005-0000-0000-00000BA30000}"/>
    <cellStyle name="常规 7 2 5 2" xfId="41740" xr:uid="{00000000-0005-0000-0000-00000CA30000}"/>
    <cellStyle name="常规 7 2 5 2 2" xfId="41741" xr:uid="{00000000-0005-0000-0000-00000DA30000}"/>
    <cellStyle name="常规 7 2 6" xfId="41742" xr:uid="{00000000-0005-0000-0000-00000EA30000}"/>
    <cellStyle name="常规 7 2 6 2" xfId="41743" xr:uid="{00000000-0005-0000-0000-00000FA30000}"/>
    <cellStyle name="常规 7 2 6 2 2" xfId="41744" xr:uid="{00000000-0005-0000-0000-000010A30000}"/>
    <cellStyle name="常规 7 2 7" xfId="41745" xr:uid="{00000000-0005-0000-0000-000011A30000}"/>
    <cellStyle name="常规 7 2 7 2" xfId="41746" xr:uid="{00000000-0005-0000-0000-000012A30000}"/>
    <cellStyle name="常规 7 2 7 2 2" xfId="41747" xr:uid="{00000000-0005-0000-0000-000013A30000}"/>
    <cellStyle name="常规 7 2 8" xfId="41748" xr:uid="{00000000-0005-0000-0000-000014A30000}"/>
    <cellStyle name="常规 7 2 9" xfId="41749" xr:uid="{00000000-0005-0000-0000-000015A30000}"/>
    <cellStyle name="常规 7 2 9 2" xfId="41750" xr:uid="{00000000-0005-0000-0000-000016A30000}"/>
    <cellStyle name="常规 7 2 9 3" xfId="41751" xr:uid="{00000000-0005-0000-0000-000017A30000}"/>
    <cellStyle name="常规 7 3" xfId="41752" xr:uid="{00000000-0005-0000-0000-000018A30000}"/>
    <cellStyle name="常规 7 3 2" xfId="41753" xr:uid="{00000000-0005-0000-0000-000019A30000}"/>
    <cellStyle name="常规 7 3 2 2" xfId="41754" xr:uid="{00000000-0005-0000-0000-00001AA30000}"/>
    <cellStyle name="常规 7 3 2 2 2" xfId="41755" xr:uid="{00000000-0005-0000-0000-00001BA30000}"/>
    <cellStyle name="常规 7 3 2 2 3" xfId="41756" xr:uid="{00000000-0005-0000-0000-00001CA30000}"/>
    <cellStyle name="常规 7 3 2 2 4" xfId="41757" xr:uid="{00000000-0005-0000-0000-00001DA30000}"/>
    <cellStyle name="常规 7 3 2 2 4 2" xfId="41758" xr:uid="{00000000-0005-0000-0000-00001EA30000}"/>
    <cellStyle name="常规 7 3 2 3" xfId="41759" xr:uid="{00000000-0005-0000-0000-00001FA30000}"/>
    <cellStyle name="常规 7 3 2 3 2" xfId="41760" xr:uid="{00000000-0005-0000-0000-000020A30000}"/>
    <cellStyle name="常规 7 3 2 3 2 2" xfId="41761" xr:uid="{00000000-0005-0000-0000-000021A30000}"/>
    <cellStyle name="常规 7 3 2 4" xfId="41762" xr:uid="{00000000-0005-0000-0000-000022A30000}"/>
    <cellStyle name="常规 7 3 2 4 2" xfId="41763" xr:uid="{00000000-0005-0000-0000-000023A30000}"/>
    <cellStyle name="常规 7 3 2 4 2 2" xfId="41764" xr:uid="{00000000-0005-0000-0000-000024A30000}"/>
    <cellStyle name="常规 7 3 2 5" xfId="41765" xr:uid="{00000000-0005-0000-0000-000025A30000}"/>
    <cellStyle name="常规 7 3 2 5 2" xfId="41766" xr:uid="{00000000-0005-0000-0000-000026A30000}"/>
    <cellStyle name="常规 7 3 2 5 3" xfId="41767" xr:uid="{00000000-0005-0000-0000-000027A30000}"/>
    <cellStyle name="常规 7 3 2 6" xfId="41768" xr:uid="{00000000-0005-0000-0000-000028A30000}"/>
    <cellStyle name="常规 7 3 2 7" xfId="41769" xr:uid="{00000000-0005-0000-0000-000029A30000}"/>
    <cellStyle name="常规 7 3 2 7 2" xfId="41770" xr:uid="{00000000-0005-0000-0000-00002AA30000}"/>
    <cellStyle name="常规 7 3 2 8" xfId="41771" xr:uid="{00000000-0005-0000-0000-00002BA30000}"/>
    <cellStyle name="常规 7 3 3" xfId="41772" xr:uid="{00000000-0005-0000-0000-00002CA30000}"/>
    <cellStyle name="常规 7 3 3 2" xfId="41773" xr:uid="{00000000-0005-0000-0000-00002DA30000}"/>
    <cellStyle name="常规 7 3 3 2 2" xfId="41774" xr:uid="{00000000-0005-0000-0000-00002EA30000}"/>
    <cellStyle name="常规 7 3 3 2 2 2" xfId="41775" xr:uid="{00000000-0005-0000-0000-00002FA30000}"/>
    <cellStyle name="常规 7 3 3 2 3" xfId="41776" xr:uid="{00000000-0005-0000-0000-000030A30000}"/>
    <cellStyle name="常规 7 3 3 3" xfId="41777" xr:uid="{00000000-0005-0000-0000-000031A30000}"/>
    <cellStyle name="常规 7 3 3 3 2" xfId="41778" xr:uid="{00000000-0005-0000-0000-000032A30000}"/>
    <cellStyle name="常规 7 3 3 3 2 2" xfId="41779" xr:uid="{00000000-0005-0000-0000-000033A30000}"/>
    <cellStyle name="常规 7 3 3 4" xfId="41780" xr:uid="{00000000-0005-0000-0000-000034A30000}"/>
    <cellStyle name="常规 7 3 3 4 2" xfId="41781" xr:uid="{00000000-0005-0000-0000-000035A30000}"/>
    <cellStyle name="常规 7 3 3 4 3" xfId="41782" xr:uid="{00000000-0005-0000-0000-000036A30000}"/>
    <cellStyle name="常规 7 3 3 5" xfId="41783" xr:uid="{00000000-0005-0000-0000-000037A30000}"/>
    <cellStyle name="常规 7 3 3 5 2" xfId="41784" xr:uid="{00000000-0005-0000-0000-000038A30000}"/>
    <cellStyle name="常规 7 3 4" xfId="41785" xr:uid="{00000000-0005-0000-0000-000039A30000}"/>
    <cellStyle name="常规 7 3 4 2" xfId="41786" xr:uid="{00000000-0005-0000-0000-00003AA30000}"/>
    <cellStyle name="常规 7 3 4 2 2" xfId="41787" xr:uid="{00000000-0005-0000-0000-00003BA30000}"/>
    <cellStyle name="常规 7 3 5" xfId="41788" xr:uid="{00000000-0005-0000-0000-00003CA30000}"/>
    <cellStyle name="常规 7 3 5 2" xfId="41789" xr:uid="{00000000-0005-0000-0000-00003DA30000}"/>
    <cellStyle name="常规 7 3 5 2 2" xfId="41790" xr:uid="{00000000-0005-0000-0000-00003EA30000}"/>
    <cellStyle name="常规 7 3 6" xfId="41791" xr:uid="{00000000-0005-0000-0000-00003FA30000}"/>
    <cellStyle name="常规 7 3 6 2" xfId="41792" xr:uid="{00000000-0005-0000-0000-000040A30000}"/>
    <cellStyle name="常规 7 3 6 2 2" xfId="41793" xr:uid="{00000000-0005-0000-0000-000041A30000}"/>
    <cellStyle name="常规 7 3 7" xfId="41794" xr:uid="{00000000-0005-0000-0000-000042A30000}"/>
    <cellStyle name="常规 7 3 7 2" xfId="41795" xr:uid="{00000000-0005-0000-0000-000043A30000}"/>
    <cellStyle name="常规 7 3 7 2 2" xfId="41796" xr:uid="{00000000-0005-0000-0000-000044A30000}"/>
    <cellStyle name="常规 7 3 8" xfId="41797" xr:uid="{00000000-0005-0000-0000-000045A30000}"/>
    <cellStyle name="常规 7 3 8 2" xfId="41798" xr:uid="{00000000-0005-0000-0000-000046A30000}"/>
    <cellStyle name="常规 7 3 8 3" xfId="41799" xr:uid="{00000000-0005-0000-0000-000047A30000}"/>
    <cellStyle name="常规 7 3 9" xfId="41800" xr:uid="{00000000-0005-0000-0000-000048A30000}"/>
    <cellStyle name="常规 7 4" xfId="41801" xr:uid="{00000000-0005-0000-0000-000049A30000}"/>
    <cellStyle name="常规 7 4 2" xfId="41802" xr:uid="{00000000-0005-0000-0000-00004AA30000}"/>
    <cellStyle name="常规 7 4 2 2" xfId="41803" xr:uid="{00000000-0005-0000-0000-00004BA30000}"/>
    <cellStyle name="常规 7 4 2 2 2" xfId="41804" xr:uid="{00000000-0005-0000-0000-00004CA30000}"/>
    <cellStyle name="常规 7 4 2 2 2 2" xfId="41805" xr:uid="{00000000-0005-0000-0000-00004DA30000}"/>
    <cellStyle name="常规 7 4 2 3" xfId="41806" xr:uid="{00000000-0005-0000-0000-00004EA30000}"/>
    <cellStyle name="常规 7 4 2 3 2" xfId="41807" xr:uid="{00000000-0005-0000-0000-00004FA30000}"/>
    <cellStyle name="常规 7 4 2 3 2 2" xfId="41808" xr:uid="{00000000-0005-0000-0000-000050A30000}"/>
    <cellStyle name="常规 7 4 2 4" xfId="41809" xr:uid="{00000000-0005-0000-0000-000051A30000}"/>
    <cellStyle name="常规 7 4 2 4 2" xfId="41810" xr:uid="{00000000-0005-0000-0000-000052A30000}"/>
    <cellStyle name="常规 7 4 2 4 3" xfId="41811" xr:uid="{00000000-0005-0000-0000-000053A30000}"/>
    <cellStyle name="常规 7 4 2 5" xfId="41812" xr:uid="{00000000-0005-0000-0000-000054A30000}"/>
    <cellStyle name="常规 7 4 2 5 2" xfId="41813" xr:uid="{00000000-0005-0000-0000-000055A30000}"/>
    <cellStyle name="常规 7 4 3" xfId="41814" xr:uid="{00000000-0005-0000-0000-000056A30000}"/>
    <cellStyle name="常规 7 4 3 2" xfId="41815" xr:uid="{00000000-0005-0000-0000-000057A30000}"/>
    <cellStyle name="常规 7 4 3 2 2" xfId="41816" xr:uid="{00000000-0005-0000-0000-000058A30000}"/>
    <cellStyle name="常规 7 4 4" xfId="41817" xr:uid="{00000000-0005-0000-0000-000059A30000}"/>
    <cellStyle name="常规 7 4 4 2" xfId="41818" xr:uid="{00000000-0005-0000-0000-00005AA30000}"/>
    <cellStyle name="常规 7 4 4 2 2" xfId="41819" xr:uid="{00000000-0005-0000-0000-00005BA30000}"/>
    <cellStyle name="常规 7 4 5" xfId="41820" xr:uid="{00000000-0005-0000-0000-00005CA30000}"/>
    <cellStyle name="常规 7 4 5 2" xfId="41821" xr:uid="{00000000-0005-0000-0000-00005DA30000}"/>
    <cellStyle name="常规 7 4 5 2 2" xfId="41822" xr:uid="{00000000-0005-0000-0000-00005EA30000}"/>
    <cellStyle name="常规 7 4 6" xfId="41823" xr:uid="{00000000-0005-0000-0000-00005FA30000}"/>
    <cellStyle name="常规 7 4 6 2" xfId="41824" xr:uid="{00000000-0005-0000-0000-000060A30000}"/>
    <cellStyle name="常规 7 4 6 2 2" xfId="41825" xr:uid="{00000000-0005-0000-0000-000061A30000}"/>
    <cellStyle name="常规 7 4 7" xfId="41826" xr:uid="{00000000-0005-0000-0000-000062A30000}"/>
    <cellStyle name="常规 7 4 7 2" xfId="41827" xr:uid="{00000000-0005-0000-0000-000063A30000}"/>
    <cellStyle name="常规 7 4 7 3" xfId="41828" xr:uid="{00000000-0005-0000-0000-000064A30000}"/>
    <cellStyle name="常规 7 4 8" xfId="41829" xr:uid="{00000000-0005-0000-0000-000065A30000}"/>
    <cellStyle name="常规 7 4 8 2" xfId="41830" xr:uid="{00000000-0005-0000-0000-000066A30000}"/>
    <cellStyle name="常规 7 5" xfId="41831" xr:uid="{00000000-0005-0000-0000-000067A30000}"/>
    <cellStyle name="常规 7 5 2" xfId="41832" xr:uid="{00000000-0005-0000-0000-000068A30000}"/>
    <cellStyle name="常规 7 5 2 2" xfId="41833" xr:uid="{00000000-0005-0000-0000-000069A30000}"/>
    <cellStyle name="常规 7 5 2 2 2" xfId="41834" xr:uid="{00000000-0005-0000-0000-00006AA30000}"/>
    <cellStyle name="常规 7 5 2 2 2 2" xfId="41835" xr:uid="{00000000-0005-0000-0000-00006BA30000}"/>
    <cellStyle name="常规 7 5 2 3" xfId="41836" xr:uid="{00000000-0005-0000-0000-00006CA30000}"/>
    <cellStyle name="常规 7 5 2 3 2" xfId="41837" xr:uid="{00000000-0005-0000-0000-00006DA30000}"/>
    <cellStyle name="常规 7 5 2 3 2 2" xfId="41838" xr:uid="{00000000-0005-0000-0000-00006EA30000}"/>
    <cellStyle name="常规 7 5 2 4" xfId="41839" xr:uid="{00000000-0005-0000-0000-00006FA30000}"/>
    <cellStyle name="常规 7 5 2 4 2" xfId="41840" xr:uid="{00000000-0005-0000-0000-000070A30000}"/>
    <cellStyle name="常规 7 5 2 5" xfId="41841" xr:uid="{00000000-0005-0000-0000-000071A30000}"/>
    <cellStyle name="常规 7 5 3" xfId="41842" xr:uid="{00000000-0005-0000-0000-000072A30000}"/>
    <cellStyle name="常规 7 5 3 2" xfId="41843" xr:uid="{00000000-0005-0000-0000-000073A30000}"/>
    <cellStyle name="常规 7 5 3 2 2" xfId="41844" xr:uid="{00000000-0005-0000-0000-000074A30000}"/>
    <cellStyle name="常规 7 5 4" xfId="41845" xr:uid="{00000000-0005-0000-0000-000075A30000}"/>
    <cellStyle name="常规 7 5 4 2" xfId="41846" xr:uid="{00000000-0005-0000-0000-000076A30000}"/>
    <cellStyle name="常规 7 5 4 3" xfId="41847" xr:uid="{00000000-0005-0000-0000-000077A30000}"/>
    <cellStyle name="常规 7 5 5" xfId="41848" xr:uid="{00000000-0005-0000-0000-000078A30000}"/>
    <cellStyle name="常规 7 5 5 2" xfId="41849" xr:uid="{00000000-0005-0000-0000-000079A30000}"/>
    <cellStyle name="常规 7 6" xfId="41850" xr:uid="{00000000-0005-0000-0000-00007AA30000}"/>
    <cellStyle name="常规 7 6 2" xfId="41851" xr:uid="{00000000-0005-0000-0000-00007BA30000}"/>
    <cellStyle name="常规 7 6 2 2" xfId="41852" xr:uid="{00000000-0005-0000-0000-00007CA30000}"/>
    <cellStyle name="常规 7 6 2 2 2" xfId="41853" xr:uid="{00000000-0005-0000-0000-00007DA30000}"/>
    <cellStyle name="常规 7 6 3" xfId="41854" xr:uid="{00000000-0005-0000-0000-00007EA30000}"/>
    <cellStyle name="常规 7 6 3 2" xfId="41855" xr:uid="{00000000-0005-0000-0000-00007FA30000}"/>
    <cellStyle name="常规 7 6 3 2 2" xfId="41856" xr:uid="{00000000-0005-0000-0000-000080A30000}"/>
    <cellStyle name="常规 7 6 4" xfId="41857" xr:uid="{00000000-0005-0000-0000-000081A30000}"/>
    <cellStyle name="常规 7 6 4 2" xfId="41858" xr:uid="{00000000-0005-0000-0000-000082A30000}"/>
    <cellStyle name="常规 7 6 5" xfId="41859" xr:uid="{00000000-0005-0000-0000-000083A30000}"/>
    <cellStyle name="常规 7 7" xfId="41860" xr:uid="{00000000-0005-0000-0000-000084A30000}"/>
    <cellStyle name="常规 7 7 2" xfId="41861" xr:uid="{00000000-0005-0000-0000-000085A30000}"/>
    <cellStyle name="常规 7 7 2 2" xfId="41862" xr:uid="{00000000-0005-0000-0000-000086A30000}"/>
    <cellStyle name="常规 7 8" xfId="41863" xr:uid="{00000000-0005-0000-0000-000087A30000}"/>
    <cellStyle name="常规 7 8 2" xfId="41864" xr:uid="{00000000-0005-0000-0000-000088A30000}"/>
    <cellStyle name="常规 7 8 2 2" xfId="41865" xr:uid="{00000000-0005-0000-0000-000089A30000}"/>
    <cellStyle name="常规 7 9" xfId="41866" xr:uid="{00000000-0005-0000-0000-00008AA30000}"/>
    <cellStyle name="常规 7 9 2" xfId="41867" xr:uid="{00000000-0005-0000-0000-00008BA30000}"/>
    <cellStyle name="常规 7 9 2 2" xfId="41868" xr:uid="{00000000-0005-0000-0000-00008CA30000}"/>
    <cellStyle name="常规 8" xfId="41869" xr:uid="{00000000-0005-0000-0000-00008DA30000}"/>
    <cellStyle name="常规 8 10" xfId="41870" xr:uid="{00000000-0005-0000-0000-00008EA30000}"/>
    <cellStyle name="常规 8 10 2" xfId="41871" xr:uid="{00000000-0005-0000-0000-00008FA30000}"/>
    <cellStyle name="常规 8 10 2 2" xfId="41872" xr:uid="{00000000-0005-0000-0000-000090A30000}"/>
    <cellStyle name="常规 8 11" xfId="41873" xr:uid="{00000000-0005-0000-0000-000091A30000}"/>
    <cellStyle name="常规 8 11 2" xfId="41874" xr:uid="{00000000-0005-0000-0000-000092A30000}"/>
    <cellStyle name="常规 8 11 3" xfId="41875" xr:uid="{00000000-0005-0000-0000-000093A30000}"/>
    <cellStyle name="常规 8 12" xfId="41876" xr:uid="{00000000-0005-0000-0000-000094A30000}"/>
    <cellStyle name="常规 8 2" xfId="41877" xr:uid="{00000000-0005-0000-0000-000095A30000}"/>
    <cellStyle name="常规 8 2 10" xfId="41878" xr:uid="{00000000-0005-0000-0000-000096A30000}"/>
    <cellStyle name="常规 8 2 10 2" xfId="41879" xr:uid="{00000000-0005-0000-0000-000097A30000}"/>
    <cellStyle name="常规 8 2 10 3" xfId="41880" xr:uid="{00000000-0005-0000-0000-000098A30000}"/>
    <cellStyle name="常规 8 2 11" xfId="41881" xr:uid="{00000000-0005-0000-0000-000099A30000}"/>
    <cellStyle name="常规 8 2 2" xfId="41882" xr:uid="{00000000-0005-0000-0000-00009AA30000}"/>
    <cellStyle name="常规 8 2 2 2" xfId="41883" xr:uid="{00000000-0005-0000-0000-00009BA30000}"/>
    <cellStyle name="常规 8 2 2 2 2" xfId="41884" xr:uid="{00000000-0005-0000-0000-00009CA30000}"/>
    <cellStyle name="常规 8 2 2 2 2 2" xfId="41885" xr:uid="{00000000-0005-0000-0000-00009DA30000}"/>
    <cellStyle name="常规 8 2 2 2 2 2 2" xfId="41886" xr:uid="{00000000-0005-0000-0000-00009EA30000}"/>
    <cellStyle name="常规 8 2 2 2 2 2 2 2" xfId="41887" xr:uid="{00000000-0005-0000-0000-00009FA30000}"/>
    <cellStyle name="常规 8 2 2 2 2 3" xfId="41888" xr:uid="{00000000-0005-0000-0000-0000A0A30000}"/>
    <cellStyle name="常规 8 2 2 2 2 3 2" xfId="41889" xr:uid="{00000000-0005-0000-0000-0000A1A30000}"/>
    <cellStyle name="常规 8 2 2 2 2 3 2 2" xfId="41890" xr:uid="{00000000-0005-0000-0000-0000A2A30000}"/>
    <cellStyle name="常规 8 2 2 2 2 4" xfId="41891" xr:uid="{00000000-0005-0000-0000-0000A3A30000}"/>
    <cellStyle name="常规 8 2 2 2 2 4 2" xfId="41892" xr:uid="{00000000-0005-0000-0000-0000A4A30000}"/>
    <cellStyle name="常规 8 2 2 2 2 4 3" xfId="41893" xr:uid="{00000000-0005-0000-0000-0000A5A30000}"/>
    <cellStyle name="常规 8 2 2 2 2 5" xfId="41894" xr:uid="{00000000-0005-0000-0000-0000A6A30000}"/>
    <cellStyle name="常规 8 2 2 2 2 5 2" xfId="41895" xr:uid="{00000000-0005-0000-0000-0000A7A30000}"/>
    <cellStyle name="常规 8 2 2 2 3" xfId="41896" xr:uid="{00000000-0005-0000-0000-0000A8A30000}"/>
    <cellStyle name="常规 8 2 2 2 3 2" xfId="41897" xr:uid="{00000000-0005-0000-0000-0000A9A30000}"/>
    <cellStyle name="常规 8 2 2 2 3 2 2" xfId="41898" xr:uid="{00000000-0005-0000-0000-0000AAA30000}"/>
    <cellStyle name="常规 8 2 2 2 3 2 2 2" xfId="41899" xr:uid="{00000000-0005-0000-0000-0000ABA30000}"/>
    <cellStyle name="常规 8 2 2 2 3 3" xfId="41900" xr:uid="{00000000-0005-0000-0000-0000ACA30000}"/>
    <cellStyle name="常规 8 2 2 2 3 3 2" xfId="41901" xr:uid="{00000000-0005-0000-0000-0000ADA30000}"/>
    <cellStyle name="常规 8 2 2 2 3 3 2 2" xfId="41902" xr:uid="{00000000-0005-0000-0000-0000AEA30000}"/>
    <cellStyle name="常规 8 2 2 2 3 4" xfId="41903" xr:uid="{00000000-0005-0000-0000-0000AFA30000}"/>
    <cellStyle name="常规 8 2 2 2 3 4 2" xfId="41904" xr:uid="{00000000-0005-0000-0000-0000B0A30000}"/>
    <cellStyle name="常规 8 2 2 2 3 5" xfId="41905" xr:uid="{00000000-0005-0000-0000-0000B1A30000}"/>
    <cellStyle name="常规 8 2 2 2 4" xfId="41906" xr:uid="{00000000-0005-0000-0000-0000B2A30000}"/>
    <cellStyle name="常规 8 2 2 2 4 2" xfId="41907" xr:uid="{00000000-0005-0000-0000-0000B3A30000}"/>
    <cellStyle name="常规 8 2 2 2 4 2 2" xfId="41908" xr:uid="{00000000-0005-0000-0000-0000B4A30000}"/>
    <cellStyle name="常规 8 2 2 2 5" xfId="41909" xr:uid="{00000000-0005-0000-0000-0000B5A30000}"/>
    <cellStyle name="常规 8 2 2 2 5 2" xfId="41910" xr:uid="{00000000-0005-0000-0000-0000B6A30000}"/>
    <cellStyle name="常规 8 2 2 2 5 2 2" xfId="41911" xr:uid="{00000000-0005-0000-0000-0000B7A30000}"/>
    <cellStyle name="常规 8 2 2 2 6" xfId="41912" xr:uid="{00000000-0005-0000-0000-0000B8A30000}"/>
    <cellStyle name="常规 8 2 2 2 6 2" xfId="41913" xr:uid="{00000000-0005-0000-0000-0000B9A30000}"/>
    <cellStyle name="常规 8 2 2 2 6 2 2" xfId="41914" xr:uid="{00000000-0005-0000-0000-0000BAA30000}"/>
    <cellStyle name="常规 8 2 2 2 7" xfId="41915" xr:uid="{00000000-0005-0000-0000-0000BBA30000}"/>
    <cellStyle name="常规 8 2 2 2 7 2" xfId="41916" xr:uid="{00000000-0005-0000-0000-0000BCA30000}"/>
    <cellStyle name="常规 8 2 2 2 7 3" xfId="41917" xr:uid="{00000000-0005-0000-0000-0000BDA30000}"/>
    <cellStyle name="常规 8 2 2 2 8" xfId="41918" xr:uid="{00000000-0005-0000-0000-0000BEA30000}"/>
    <cellStyle name="常规 8 2 2 2 8 2" xfId="41919" xr:uid="{00000000-0005-0000-0000-0000BFA30000}"/>
    <cellStyle name="常规 8 2 2 3" xfId="41920" xr:uid="{00000000-0005-0000-0000-0000C0A30000}"/>
    <cellStyle name="常规 8 2 2 3 2" xfId="41921" xr:uid="{00000000-0005-0000-0000-0000C1A30000}"/>
    <cellStyle name="常规 8 2 2 3 2 2" xfId="41922" xr:uid="{00000000-0005-0000-0000-0000C2A30000}"/>
    <cellStyle name="常规 8 2 2 3 2 2 2" xfId="41923" xr:uid="{00000000-0005-0000-0000-0000C3A30000}"/>
    <cellStyle name="常规 8 2 2 3 3" xfId="41924" xr:uid="{00000000-0005-0000-0000-0000C4A30000}"/>
    <cellStyle name="常规 8 2 2 3 3 2" xfId="41925" xr:uid="{00000000-0005-0000-0000-0000C5A30000}"/>
    <cellStyle name="常规 8 2 2 3 3 2 2" xfId="41926" xr:uid="{00000000-0005-0000-0000-0000C6A30000}"/>
    <cellStyle name="常规 8 2 2 3 4" xfId="41927" xr:uid="{00000000-0005-0000-0000-0000C7A30000}"/>
    <cellStyle name="常规 8 2 2 3 4 2" xfId="41928" xr:uid="{00000000-0005-0000-0000-0000C8A30000}"/>
    <cellStyle name="常规 8 2 2 3 4 3" xfId="41929" xr:uid="{00000000-0005-0000-0000-0000C9A30000}"/>
    <cellStyle name="常规 8 2 2 3 5" xfId="41930" xr:uid="{00000000-0005-0000-0000-0000CAA30000}"/>
    <cellStyle name="常规 8 2 2 3 5 2" xfId="41931" xr:uid="{00000000-0005-0000-0000-0000CBA30000}"/>
    <cellStyle name="常规 8 2 2 4" xfId="41932" xr:uid="{00000000-0005-0000-0000-0000CCA30000}"/>
    <cellStyle name="常规 8 2 2 4 2" xfId="41933" xr:uid="{00000000-0005-0000-0000-0000CDA30000}"/>
    <cellStyle name="常规 8 2 2 4 2 2" xfId="41934" xr:uid="{00000000-0005-0000-0000-0000CEA30000}"/>
    <cellStyle name="常规 8 2 2 5" xfId="41935" xr:uid="{00000000-0005-0000-0000-0000CFA30000}"/>
    <cellStyle name="常规 8 2 2 5 2" xfId="41936" xr:uid="{00000000-0005-0000-0000-0000D0A30000}"/>
    <cellStyle name="常规 8 2 2 5 2 2" xfId="41937" xr:uid="{00000000-0005-0000-0000-0000D1A30000}"/>
    <cellStyle name="常规 8 2 2 6" xfId="41938" xr:uid="{00000000-0005-0000-0000-0000D2A30000}"/>
    <cellStyle name="常规 8 2 2 6 2" xfId="41939" xr:uid="{00000000-0005-0000-0000-0000D3A30000}"/>
    <cellStyle name="常规 8 2 2 6 2 2" xfId="41940" xr:uid="{00000000-0005-0000-0000-0000D4A30000}"/>
    <cellStyle name="常规 8 2 2 7" xfId="41941" xr:uid="{00000000-0005-0000-0000-0000D5A30000}"/>
    <cellStyle name="常规 8 2 2 7 2" xfId="41942" xr:uid="{00000000-0005-0000-0000-0000D6A30000}"/>
    <cellStyle name="常规 8 2 2 7 2 2" xfId="41943" xr:uid="{00000000-0005-0000-0000-0000D7A30000}"/>
    <cellStyle name="常规 8 2 2 8" xfId="41944" xr:uid="{00000000-0005-0000-0000-0000D8A30000}"/>
    <cellStyle name="常规 8 2 2 8 2" xfId="41945" xr:uid="{00000000-0005-0000-0000-0000D9A30000}"/>
    <cellStyle name="常规 8 2 2 8 3" xfId="41946" xr:uid="{00000000-0005-0000-0000-0000DAA30000}"/>
    <cellStyle name="常规 8 2 2 9" xfId="41947" xr:uid="{00000000-0005-0000-0000-0000DBA30000}"/>
    <cellStyle name="常规 8 2 2 9 2" xfId="41948" xr:uid="{00000000-0005-0000-0000-0000DCA30000}"/>
    <cellStyle name="常规 8 2 3" xfId="41949" xr:uid="{00000000-0005-0000-0000-0000DDA30000}"/>
    <cellStyle name="常规 8 2 3 2" xfId="41950" xr:uid="{00000000-0005-0000-0000-0000DEA30000}"/>
    <cellStyle name="常规 8 2 3 2 2" xfId="41951" xr:uid="{00000000-0005-0000-0000-0000DFA30000}"/>
    <cellStyle name="常规 8 2 3 2 2 2" xfId="41952" xr:uid="{00000000-0005-0000-0000-0000E0A30000}"/>
    <cellStyle name="常规 8 2 3 2 2 3" xfId="41953" xr:uid="{00000000-0005-0000-0000-0000E1A30000}"/>
    <cellStyle name="常规 8 2 3 2 2 4" xfId="41954" xr:uid="{00000000-0005-0000-0000-0000E2A30000}"/>
    <cellStyle name="常规 8 2 3 2 2 4 2" xfId="41955" xr:uid="{00000000-0005-0000-0000-0000E3A30000}"/>
    <cellStyle name="常规 8 2 3 2 3" xfId="41956" xr:uid="{00000000-0005-0000-0000-0000E4A30000}"/>
    <cellStyle name="常规 8 2 3 2 3 2" xfId="41957" xr:uid="{00000000-0005-0000-0000-0000E5A30000}"/>
    <cellStyle name="常规 8 2 3 2 3 2 2" xfId="41958" xr:uid="{00000000-0005-0000-0000-0000E6A30000}"/>
    <cellStyle name="常规 8 2 3 2 4" xfId="41959" xr:uid="{00000000-0005-0000-0000-0000E7A30000}"/>
    <cellStyle name="常规 8 2 3 2 4 2" xfId="41960" xr:uid="{00000000-0005-0000-0000-0000E8A30000}"/>
    <cellStyle name="常规 8 2 3 2 4 2 2" xfId="41961" xr:uid="{00000000-0005-0000-0000-0000E9A30000}"/>
    <cellStyle name="常规 8 2 3 2 5" xfId="41962" xr:uid="{00000000-0005-0000-0000-0000EAA30000}"/>
    <cellStyle name="常规 8 2 3 2 5 2" xfId="41963" xr:uid="{00000000-0005-0000-0000-0000EBA30000}"/>
    <cellStyle name="常规 8 2 3 2 5 3" xfId="41964" xr:uid="{00000000-0005-0000-0000-0000ECA30000}"/>
    <cellStyle name="常规 8 2 3 2 6" xfId="41965" xr:uid="{00000000-0005-0000-0000-0000EDA30000}"/>
    <cellStyle name="常规 8 2 3 2 7" xfId="41966" xr:uid="{00000000-0005-0000-0000-0000EEA30000}"/>
    <cellStyle name="常规 8 2 3 2 7 2" xfId="41967" xr:uid="{00000000-0005-0000-0000-0000EFA30000}"/>
    <cellStyle name="常规 8 2 3 2 8" xfId="41968" xr:uid="{00000000-0005-0000-0000-0000F0A30000}"/>
    <cellStyle name="常规 8 2 3 3" xfId="41969" xr:uid="{00000000-0005-0000-0000-0000F1A30000}"/>
    <cellStyle name="常规 8 2 3 3 2" xfId="41970" xr:uid="{00000000-0005-0000-0000-0000F2A30000}"/>
    <cellStyle name="常规 8 2 3 3 2 2" xfId="41971" xr:uid="{00000000-0005-0000-0000-0000F3A30000}"/>
    <cellStyle name="常规 8 2 3 3 2 2 2" xfId="41972" xr:uid="{00000000-0005-0000-0000-0000F4A30000}"/>
    <cellStyle name="常规 8 2 3 3 2 3" xfId="41973" xr:uid="{00000000-0005-0000-0000-0000F5A30000}"/>
    <cellStyle name="常规 8 2 3 3 3" xfId="41974" xr:uid="{00000000-0005-0000-0000-0000F6A30000}"/>
    <cellStyle name="常规 8 2 3 3 3 2" xfId="41975" xr:uid="{00000000-0005-0000-0000-0000F7A30000}"/>
    <cellStyle name="常规 8 2 3 3 3 2 2" xfId="41976" xr:uid="{00000000-0005-0000-0000-0000F8A30000}"/>
    <cellStyle name="常规 8 2 3 3 4" xfId="41977" xr:uid="{00000000-0005-0000-0000-0000F9A30000}"/>
    <cellStyle name="常规 8 2 3 3 4 2" xfId="41978" xr:uid="{00000000-0005-0000-0000-0000FAA30000}"/>
    <cellStyle name="常规 8 2 3 3 4 3" xfId="41979" xr:uid="{00000000-0005-0000-0000-0000FBA30000}"/>
    <cellStyle name="常规 8 2 3 3 5" xfId="41980" xr:uid="{00000000-0005-0000-0000-0000FCA30000}"/>
    <cellStyle name="常规 8 2 3 3 5 2" xfId="41981" xr:uid="{00000000-0005-0000-0000-0000FDA30000}"/>
    <cellStyle name="常规 8 2 3 4" xfId="41982" xr:uid="{00000000-0005-0000-0000-0000FEA30000}"/>
    <cellStyle name="常规 8 2 3 4 2" xfId="41983" xr:uid="{00000000-0005-0000-0000-0000FFA30000}"/>
    <cellStyle name="常规 8 2 3 4 2 2" xfId="41984" xr:uid="{00000000-0005-0000-0000-000000A40000}"/>
    <cellStyle name="常规 8 2 3 5" xfId="41985" xr:uid="{00000000-0005-0000-0000-000001A40000}"/>
    <cellStyle name="常规 8 2 3 5 2" xfId="41986" xr:uid="{00000000-0005-0000-0000-000002A40000}"/>
    <cellStyle name="常规 8 2 3 5 2 2" xfId="41987" xr:uid="{00000000-0005-0000-0000-000003A40000}"/>
    <cellStyle name="常规 8 2 3 6" xfId="41988" xr:uid="{00000000-0005-0000-0000-000004A40000}"/>
    <cellStyle name="常规 8 2 3 6 2" xfId="41989" xr:uid="{00000000-0005-0000-0000-000005A40000}"/>
    <cellStyle name="常规 8 2 3 6 2 2" xfId="41990" xr:uid="{00000000-0005-0000-0000-000006A40000}"/>
    <cellStyle name="常规 8 2 3 7" xfId="41991" xr:uid="{00000000-0005-0000-0000-000007A40000}"/>
    <cellStyle name="常规 8 2 3 7 2" xfId="41992" xr:uid="{00000000-0005-0000-0000-000008A40000}"/>
    <cellStyle name="常规 8 2 3 7 2 2" xfId="41993" xr:uid="{00000000-0005-0000-0000-000009A40000}"/>
    <cellStyle name="常规 8 2 3 8" xfId="41994" xr:uid="{00000000-0005-0000-0000-00000AA40000}"/>
    <cellStyle name="常规 8 2 3 8 2" xfId="41995" xr:uid="{00000000-0005-0000-0000-00000BA40000}"/>
    <cellStyle name="常规 8 2 3 8 3" xfId="41996" xr:uid="{00000000-0005-0000-0000-00000CA40000}"/>
    <cellStyle name="常规 8 2 3 9" xfId="41997" xr:uid="{00000000-0005-0000-0000-00000DA40000}"/>
    <cellStyle name="常规 8 2 4" xfId="41998" xr:uid="{00000000-0005-0000-0000-00000EA40000}"/>
    <cellStyle name="常规 8 2 4 2" xfId="41999" xr:uid="{00000000-0005-0000-0000-00000FA40000}"/>
    <cellStyle name="常规 8 2 4 2 2" xfId="42000" xr:uid="{00000000-0005-0000-0000-000010A40000}"/>
    <cellStyle name="常规 8 2 4 2 3" xfId="42001" xr:uid="{00000000-0005-0000-0000-000011A40000}"/>
    <cellStyle name="常规 8 2 4 2 4" xfId="42002" xr:uid="{00000000-0005-0000-0000-000012A40000}"/>
    <cellStyle name="常规 8 2 4 2 4 2" xfId="42003" xr:uid="{00000000-0005-0000-0000-000013A40000}"/>
    <cellStyle name="常规 8 2 4 3" xfId="42004" xr:uid="{00000000-0005-0000-0000-000014A40000}"/>
    <cellStyle name="常规 8 2 4 3 2" xfId="42005" xr:uid="{00000000-0005-0000-0000-000015A40000}"/>
    <cellStyle name="常规 8 2 4 3 2 2" xfId="42006" xr:uid="{00000000-0005-0000-0000-000016A40000}"/>
    <cellStyle name="常规 8 2 4 4" xfId="42007" xr:uid="{00000000-0005-0000-0000-000017A40000}"/>
    <cellStyle name="常规 8 2 4 4 2" xfId="42008" xr:uid="{00000000-0005-0000-0000-000018A40000}"/>
    <cellStyle name="常规 8 2 4 4 2 2" xfId="42009" xr:uid="{00000000-0005-0000-0000-000019A40000}"/>
    <cellStyle name="常规 8 2 4 5" xfId="42010" xr:uid="{00000000-0005-0000-0000-00001AA40000}"/>
    <cellStyle name="常规 8 2 4 5 2" xfId="42011" xr:uid="{00000000-0005-0000-0000-00001BA40000}"/>
    <cellStyle name="常规 8 2 4 5 3" xfId="42012" xr:uid="{00000000-0005-0000-0000-00001CA40000}"/>
    <cellStyle name="常规 8 2 4 6" xfId="42013" xr:uid="{00000000-0005-0000-0000-00001DA40000}"/>
    <cellStyle name="常规 8 2 4 7" xfId="42014" xr:uid="{00000000-0005-0000-0000-00001EA40000}"/>
    <cellStyle name="常规 8 2 4 7 2" xfId="42015" xr:uid="{00000000-0005-0000-0000-00001FA40000}"/>
    <cellStyle name="常规 8 2 4 8" xfId="42016" xr:uid="{00000000-0005-0000-0000-000020A40000}"/>
    <cellStyle name="常规 8 2 5" xfId="42017" xr:uid="{00000000-0005-0000-0000-000021A40000}"/>
    <cellStyle name="常规 8 2 5 2" xfId="42018" xr:uid="{00000000-0005-0000-0000-000022A40000}"/>
    <cellStyle name="常规 8 2 5 3" xfId="42019" xr:uid="{00000000-0005-0000-0000-000023A40000}"/>
    <cellStyle name="常规 8 2 5 4" xfId="42020" xr:uid="{00000000-0005-0000-0000-000024A40000}"/>
    <cellStyle name="常规 8 2 5 4 2" xfId="42021" xr:uid="{00000000-0005-0000-0000-000025A40000}"/>
    <cellStyle name="常规 8 2 6" xfId="42022" xr:uid="{00000000-0005-0000-0000-000026A40000}"/>
    <cellStyle name="常规 8 2 6 2" xfId="42023" xr:uid="{00000000-0005-0000-0000-000027A40000}"/>
    <cellStyle name="常规 8 2 6 2 2" xfId="42024" xr:uid="{00000000-0005-0000-0000-000028A40000}"/>
    <cellStyle name="常规 8 2 7" xfId="42025" xr:uid="{00000000-0005-0000-0000-000029A40000}"/>
    <cellStyle name="常规 8 2 7 2" xfId="42026" xr:uid="{00000000-0005-0000-0000-00002AA40000}"/>
    <cellStyle name="常规 8 2 7 2 2" xfId="42027" xr:uid="{00000000-0005-0000-0000-00002BA40000}"/>
    <cellStyle name="常规 8 2 8" xfId="42028" xr:uid="{00000000-0005-0000-0000-00002CA40000}"/>
    <cellStyle name="常规 8 2 8 2" xfId="42029" xr:uid="{00000000-0005-0000-0000-00002DA40000}"/>
    <cellStyle name="常规 8 2 8 2 2" xfId="42030" xr:uid="{00000000-0005-0000-0000-00002EA40000}"/>
    <cellStyle name="常规 8 2 9" xfId="42031" xr:uid="{00000000-0005-0000-0000-00002FA40000}"/>
    <cellStyle name="常规 8 2 9 2" xfId="42032" xr:uid="{00000000-0005-0000-0000-000030A40000}"/>
    <cellStyle name="常规 8 2 9 2 2" xfId="42033" xr:uid="{00000000-0005-0000-0000-000031A40000}"/>
    <cellStyle name="常规 8 3" xfId="42034" xr:uid="{00000000-0005-0000-0000-000032A40000}"/>
    <cellStyle name="常规 8 3 2" xfId="42035" xr:uid="{00000000-0005-0000-0000-000033A40000}"/>
    <cellStyle name="常规 8 3 2 2" xfId="42036" xr:uid="{00000000-0005-0000-0000-000034A40000}"/>
    <cellStyle name="常规 8 3 2 2 2" xfId="42037" xr:uid="{00000000-0005-0000-0000-000035A40000}"/>
    <cellStyle name="常规 8 3 2 2 3" xfId="42038" xr:uid="{00000000-0005-0000-0000-000036A40000}"/>
    <cellStyle name="常规 8 3 2 2 4" xfId="42039" xr:uid="{00000000-0005-0000-0000-000037A40000}"/>
    <cellStyle name="常规 8 3 2 2 4 2" xfId="42040" xr:uid="{00000000-0005-0000-0000-000038A40000}"/>
    <cellStyle name="常规 8 3 2 3" xfId="42041" xr:uid="{00000000-0005-0000-0000-000039A40000}"/>
    <cellStyle name="常规 8 3 2 3 2" xfId="42042" xr:uid="{00000000-0005-0000-0000-00003AA40000}"/>
    <cellStyle name="常规 8 3 2 3 2 2" xfId="42043" xr:uid="{00000000-0005-0000-0000-00003BA40000}"/>
    <cellStyle name="常规 8 3 2 4" xfId="42044" xr:uid="{00000000-0005-0000-0000-00003CA40000}"/>
    <cellStyle name="常规 8 3 2 4 2" xfId="42045" xr:uid="{00000000-0005-0000-0000-00003DA40000}"/>
    <cellStyle name="常规 8 3 2 4 2 2" xfId="42046" xr:uid="{00000000-0005-0000-0000-00003EA40000}"/>
    <cellStyle name="常规 8 3 2 5" xfId="42047" xr:uid="{00000000-0005-0000-0000-00003FA40000}"/>
    <cellStyle name="常规 8 3 2 5 2" xfId="42048" xr:uid="{00000000-0005-0000-0000-000040A40000}"/>
    <cellStyle name="常规 8 3 2 5 3" xfId="42049" xr:uid="{00000000-0005-0000-0000-000041A40000}"/>
    <cellStyle name="常规 8 3 2 6" xfId="42050" xr:uid="{00000000-0005-0000-0000-000042A40000}"/>
    <cellStyle name="常规 8 3 2 7" xfId="42051" xr:uid="{00000000-0005-0000-0000-000043A40000}"/>
    <cellStyle name="常规 8 3 2 7 2" xfId="42052" xr:uid="{00000000-0005-0000-0000-000044A40000}"/>
    <cellStyle name="常规 8 3 2 8" xfId="42053" xr:uid="{00000000-0005-0000-0000-000045A40000}"/>
    <cellStyle name="常规 8 3 3" xfId="42054" xr:uid="{00000000-0005-0000-0000-000046A40000}"/>
    <cellStyle name="常规 8 3 3 2" xfId="42055" xr:uid="{00000000-0005-0000-0000-000047A40000}"/>
    <cellStyle name="常规 8 3 3 2 2" xfId="42056" xr:uid="{00000000-0005-0000-0000-000048A40000}"/>
    <cellStyle name="常规 8 3 3 2 2 2" xfId="42057" xr:uid="{00000000-0005-0000-0000-000049A40000}"/>
    <cellStyle name="常规 8 3 3 2 3" xfId="42058" xr:uid="{00000000-0005-0000-0000-00004AA40000}"/>
    <cellStyle name="常规 8 3 3 3" xfId="42059" xr:uid="{00000000-0005-0000-0000-00004BA40000}"/>
    <cellStyle name="常规 8 3 3 3 2" xfId="42060" xr:uid="{00000000-0005-0000-0000-00004CA40000}"/>
    <cellStyle name="常规 8 3 3 3 2 2" xfId="42061" xr:uid="{00000000-0005-0000-0000-00004DA40000}"/>
    <cellStyle name="常规 8 3 3 4" xfId="42062" xr:uid="{00000000-0005-0000-0000-00004EA40000}"/>
    <cellStyle name="常规 8 3 3 4 2" xfId="42063" xr:uid="{00000000-0005-0000-0000-00004FA40000}"/>
    <cellStyle name="常规 8 3 3 4 3" xfId="42064" xr:uid="{00000000-0005-0000-0000-000050A40000}"/>
    <cellStyle name="常规 8 3 3 5" xfId="42065" xr:uid="{00000000-0005-0000-0000-000051A40000}"/>
    <cellStyle name="常规 8 3 3 5 2" xfId="42066" xr:uid="{00000000-0005-0000-0000-000052A40000}"/>
    <cellStyle name="常规 8 3 4" xfId="42067" xr:uid="{00000000-0005-0000-0000-000053A40000}"/>
    <cellStyle name="常规 8 3 4 2" xfId="42068" xr:uid="{00000000-0005-0000-0000-000054A40000}"/>
    <cellStyle name="常规 8 3 4 2 2" xfId="42069" xr:uid="{00000000-0005-0000-0000-000055A40000}"/>
    <cellStyle name="常规 8 3 5" xfId="42070" xr:uid="{00000000-0005-0000-0000-000056A40000}"/>
    <cellStyle name="常规 8 3 5 2" xfId="42071" xr:uid="{00000000-0005-0000-0000-000057A40000}"/>
    <cellStyle name="常规 8 3 5 2 2" xfId="42072" xr:uid="{00000000-0005-0000-0000-000058A40000}"/>
    <cellStyle name="常规 8 3 6" xfId="42073" xr:uid="{00000000-0005-0000-0000-000059A40000}"/>
    <cellStyle name="常规 8 3 6 2" xfId="42074" xr:uid="{00000000-0005-0000-0000-00005AA40000}"/>
    <cellStyle name="常规 8 3 6 2 2" xfId="42075" xr:uid="{00000000-0005-0000-0000-00005BA40000}"/>
    <cellStyle name="常规 8 3 7" xfId="42076" xr:uid="{00000000-0005-0000-0000-00005CA40000}"/>
    <cellStyle name="常规 8 3 7 2" xfId="42077" xr:uid="{00000000-0005-0000-0000-00005DA40000}"/>
    <cellStyle name="常规 8 3 7 2 2" xfId="42078" xr:uid="{00000000-0005-0000-0000-00005EA40000}"/>
    <cellStyle name="常规 8 3 8" xfId="42079" xr:uid="{00000000-0005-0000-0000-00005FA40000}"/>
    <cellStyle name="常规 8 3 8 2" xfId="42080" xr:uid="{00000000-0005-0000-0000-000060A40000}"/>
    <cellStyle name="常规 8 3 8 3" xfId="42081" xr:uid="{00000000-0005-0000-0000-000061A40000}"/>
    <cellStyle name="常规 8 3 9" xfId="42082" xr:uid="{00000000-0005-0000-0000-000062A40000}"/>
    <cellStyle name="常规 8 4" xfId="42083" xr:uid="{00000000-0005-0000-0000-000063A40000}"/>
    <cellStyle name="常规 8 4 2" xfId="42084" xr:uid="{00000000-0005-0000-0000-000064A40000}"/>
    <cellStyle name="常规 8 4 2 2" xfId="42085" xr:uid="{00000000-0005-0000-0000-000065A40000}"/>
    <cellStyle name="常规 8 4 2 2 2" xfId="42086" xr:uid="{00000000-0005-0000-0000-000066A40000}"/>
    <cellStyle name="常规 8 4 2 2 3" xfId="42087" xr:uid="{00000000-0005-0000-0000-000067A40000}"/>
    <cellStyle name="常规 8 4 2 2 4" xfId="42088" xr:uid="{00000000-0005-0000-0000-000068A40000}"/>
    <cellStyle name="常规 8 4 2 2 4 2" xfId="42089" xr:uid="{00000000-0005-0000-0000-000069A40000}"/>
    <cellStyle name="常规 8 4 2 3" xfId="42090" xr:uid="{00000000-0005-0000-0000-00006AA40000}"/>
    <cellStyle name="常规 8 4 2 3 2" xfId="42091" xr:uid="{00000000-0005-0000-0000-00006BA40000}"/>
    <cellStyle name="常规 8 4 2 3 2 2" xfId="42092" xr:uid="{00000000-0005-0000-0000-00006CA40000}"/>
    <cellStyle name="常规 8 4 2 4" xfId="42093" xr:uid="{00000000-0005-0000-0000-00006DA40000}"/>
    <cellStyle name="常规 8 4 2 4 2" xfId="42094" xr:uid="{00000000-0005-0000-0000-00006EA40000}"/>
    <cellStyle name="常规 8 4 2 4 2 2" xfId="42095" xr:uid="{00000000-0005-0000-0000-00006FA40000}"/>
    <cellStyle name="常规 8 4 2 5" xfId="42096" xr:uid="{00000000-0005-0000-0000-000070A40000}"/>
    <cellStyle name="常规 8 4 2 5 2" xfId="42097" xr:uid="{00000000-0005-0000-0000-000071A40000}"/>
    <cellStyle name="常规 8 4 2 5 3" xfId="42098" xr:uid="{00000000-0005-0000-0000-000072A40000}"/>
    <cellStyle name="常规 8 4 2 6" xfId="42099" xr:uid="{00000000-0005-0000-0000-000073A40000}"/>
    <cellStyle name="常规 8 4 2 7" xfId="42100" xr:uid="{00000000-0005-0000-0000-000074A40000}"/>
    <cellStyle name="常规 8 4 2 7 2" xfId="42101" xr:uid="{00000000-0005-0000-0000-000075A40000}"/>
    <cellStyle name="常规 8 4 2 8" xfId="42102" xr:uid="{00000000-0005-0000-0000-000076A40000}"/>
    <cellStyle name="常规 8 4 3" xfId="42103" xr:uid="{00000000-0005-0000-0000-000077A40000}"/>
    <cellStyle name="常规 8 4 3 2" xfId="42104" xr:uid="{00000000-0005-0000-0000-000078A40000}"/>
    <cellStyle name="常规 8 4 3 3" xfId="42105" xr:uid="{00000000-0005-0000-0000-000079A40000}"/>
    <cellStyle name="常规 8 4 3 4" xfId="42106" xr:uid="{00000000-0005-0000-0000-00007AA40000}"/>
    <cellStyle name="常规 8 4 3 4 2" xfId="42107" xr:uid="{00000000-0005-0000-0000-00007BA40000}"/>
    <cellStyle name="常规 8 4 4" xfId="42108" xr:uid="{00000000-0005-0000-0000-00007CA40000}"/>
    <cellStyle name="常规 8 4 4 2" xfId="42109" xr:uid="{00000000-0005-0000-0000-00007DA40000}"/>
    <cellStyle name="常规 8 4 4 2 2" xfId="42110" xr:uid="{00000000-0005-0000-0000-00007EA40000}"/>
    <cellStyle name="常规 8 4 5" xfId="42111" xr:uid="{00000000-0005-0000-0000-00007FA40000}"/>
    <cellStyle name="常规 8 4 5 2" xfId="42112" xr:uid="{00000000-0005-0000-0000-000080A40000}"/>
    <cellStyle name="常规 8 4 5 2 2" xfId="42113" xr:uid="{00000000-0005-0000-0000-000081A40000}"/>
    <cellStyle name="常规 8 4 6" xfId="42114" xr:uid="{00000000-0005-0000-0000-000082A40000}"/>
    <cellStyle name="常规 8 4 6 2" xfId="42115" xr:uid="{00000000-0005-0000-0000-000083A40000}"/>
    <cellStyle name="常规 8 4 6 2 2" xfId="42116" xr:uid="{00000000-0005-0000-0000-000084A40000}"/>
    <cellStyle name="常规 8 4 7" xfId="42117" xr:uid="{00000000-0005-0000-0000-000085A40000}"/>
    <cellStyle name="常规 8 4 7 2" xfId="42118" xr:uid="{00000000-0005-0000-0000-000086A40000}"/>
    <cellStyle name="常规 8 4 7 2 2" xfId="42119" xr:uid="{00000000-0005-0000-0000-000087A40000}"/>
    <cellStyle name="常规 8 4 8" xfId="42120" xr:uid="{00000000-0005-0000-0000-000088A40000}"/>
    <cellStyle name="常规 8 4 8 2" xfId="42121" xr:uid="{00000000-0005-0000-0000-000089A40000}"/>
    <cellStyle name="常规 8 4 8 3" xfId="42122" xr:uid="{00000000-0005-0000-0000-00008AA40000}"/>
    <cellStyle name="常规 8 4 9" xfId="42123" xr:uid="{00000000-0005-0000-0000-00008BA40000}"/>
    <cellStyle name="常规 8 5" xfId="42124" xr:uid="{00000000-0005-0000-0000-00008CA40000}"/>
    <cellStyle name="常规 8 5 2" xfId="42125" xr:uid="{00000000-0005-0000-0000-00008DA40000}"/>
    <cellStyle name="常规 8 5 2 2" xfId="42126" xr:uid="{00000000-0005-0000-0000-00008EA40000}"/>
    <cellStyle name="常规 8 5 2 2 2" xfId="42127" xr:uid="{00000000-0005-0000-0000-00008FA40000}"/>
    <cellStyle name="常规 8 5 2 2 2 2" xfId="42128" xr:uid="{00000000-0005-0000-0000-000090A40000}"/>
    <cellStyle name="常规 8 5 2 2 3" xfId="42129" xr:uid="{00000000-0005-0000-0000-000091A40000}"/>
    <cellStyle name="常规 8 5 2 3" xfId="42130" xr:uid="{00000000-0005-0000-0000-000092A40000}"/>
    <cellStyle name="常规 8 5 2 3 2" xfId="42131" xr:uid="{00000000-0005-0000-0000-000093A40000}"/>
    <cellStyle name="常规 8 5 2 3 2 2" xfId="42132" xr:uid="{00000000-0005-0000-0000-000094A40000}"/>
    <cellStyle name="常规 8 5 2 4" xfId="42133" xr:uid="{00000000-0005-0000-0000-000095A40000}"/>
    <cellStyle name="常规 8 5 2 4 2" xfId="42134" xr:uid="{00000000-0005-0000-0000-000096A40000}"/>
    <cellStyle name="常规 8 5 2 4 3" xfId="42135" xr:uid="{00000000-0005-0000-0000-000097A40000}"/>
    <cellStyle name="常规 8 5 2 5" xfId="42136" xr:uid="{00000000-0005-0000-0000-000098A40000}"/>
    <cellStyle name="常规 8 5 2 5 2" xfId="42137" xr:uid="{00000000-0005-0000-0000-000099A40000}"/>
    <cellStyle name="常规 8 5 3" xfId="42138" xr:uid="{00000000-0005-0000-0000-00009AA40000}"/>
    <cellStyle name="常规 8 5 3 2" xfId="42139" xr:uid="{00000000-0005-0000-0000-00009BA40000}"/>
    <cellStyle name="常规 8 5 3 2 2" xfId="42140" xr:uid="{00000000-0005-0000-0000-00009CA40000}"/>
    <cellStyle name="常规 8 5 4" xfId="42141" xr:uid="{00000000-0005-0000-0000-00009DA40000}"/>
    <cellStyle name="常规 8 5 4 2" xfId="42142" xr:uid="{00000000-0005-0000-0000-00009EA40000}"/>
    <cellStyle name="常规 8 5 4 2 2" xfId="42143" xr:uid="{00000000-0005-0000-0000-00009FA40000}"/>
    <cellStyle name="常规 8 5 5" xfId="42144" xr:uid="{00000000-0005-0000-0000-0000A0A40000}"/>
    <cellStyle name="常规 8 5 5 2" xfId="42145" xr:uid="{00000000-0005-0000-0000-0000A1A40000}"/>
    <cellStyle name="常规 8 5 5 3" xfId="42146" xr:uid="{00000000-0005-0000-0000-0000A2A40000}"/>
    <cellStyle name="常规 8 5 6" xfId="42147" xr:uid="{00000000-0005-0000-0000-0000A3A40000}"/>
    <cellStyle name="常规 8 5 7" xfId="42148" xr:uid="{00000000-0005-0000-0000-0000A4A40000}"/>
    <cellStyle name="常规 8 5 7 2" xfId="42149" xr:uid="{00000000-0005-0000-0000-0000A5A40000}"/>
    <cellStyle name="常规 8 5 8" xfId="42150" xr:uid="{00000000-0005-0000-0000-0000A6A40000}"/>
    <cellStyle name="常规 8 6" xfId="42151" xr:uid="{00000000-0005-0000-0000-0000A7A40000}"/>
    <cellStyle name="常规 8 6 2" xfId="42152" xr:uid="{00000000-0005-0000-0000-0000A8A40000}"/>
    <cellStyle name="常规 8 6 2 2" xfId="42153" xr:uid="{00000000-0005-0000-0000-0000A9A40000}"/>
    <cellStyle name="常规 8 6 2 2 2" xfId="42154" xr:uid="{00000000-0005-0000-0000-0000AAA40000}"/>
    <cellStyle name="常规 8 6 2 3" xfId="42155" xr:uid="{00000000-0005-0000-0000-0000ABA40000}"/>
    <cellStyle name="常规 8 6 3" xfId="42156" xr:uid="{00000000-0005-0000-0000-0000ACA40000}"/>
    <cellStyle name="常规 8 6 3 2" xfId="42157" xr:uid="{00000000-0005-0000-0000-0000ADA40000}"/>
    <cellStyle name="常规 8 6 3 2 2" xfId="42158" xr:uid="{00000000-0005-0000-0000-0000AEA40000}"/>
    <cellStyle name="常规 8 6 4" xfId="42159" xr:uid="{00000000-0005-0000-0000-0000AFA40000}"/>
    <cellStyle name="常规 8 6 4 2" xfId="42160" xr:uid="{00000000-0005-0000-0000-0000B0A40000}"/>
    <cellStyle name="常规 8 6 4 3" xfId="42161" xr:uid="{00000000-0005-0000-0000-0000B1A40000}"/>
    <cellStyle name="常规 8 6 5" xfId="42162" xr:uid="{00000000-0005-0000-0000-0000B2A40000}"/>
    <cellStyle name="常规 8 6 5 2" xfId="42163" xr:uid="{00000000-0005-0000-0000-0000B3A40000}"/>
    <cellStyle name="常规 8 7" xfId="42164" xr:uid="{00000000-0005-0000-0000-0000B4A40000}"/>
    <cellStyle name="常规 8 7 2" xfId="42165" xr:uid="{00000000-0005-0000-0000-0000B5A40000}"/>
    <cellStyle name="常规 8 7 2 2" xfId="42166" xr:uid="{00000000-0005-0000-0000-0000B6A40000}"/>
    <cellStyle name="常规 8 8" xfId="42167" xr:uid="{00000000-0005-0000-0000-0000B7A40000}"/>
    <cellStyle name="常规 8 8 2" xfId="42168" xr:uid="{00000000-0005-0000-0000-0000B8A40000}"/>
    <cellStyle name="常规 8 8 2 2" xfId="42169" xr:uid="{00000000-0005-0000-0000-0000B9A40000}"/>
    <cellStyle name="常规 8 9" xfId="42170" xr:uid="{00000000-0005-0000-0000-0000BAA40000}"/>
    <cellStyle name="常规 8 9 2" xfId="42171" xr:uid="{00000000-0005-0000-0000-0000BBA40000}"/>
    <cellStyle name="常规 8 9 2 2" xfId="42172" xr:uid="{00000000-0005-0000-0000-0000BCA40000}"/>
    <cellStyle name="常规 9" xfId="42173" xr:uid="{00000000-0005-0000-0000-0000BDA40000}"/>
    <cellStyle name="常规 9 10" xfId="42174" xr:uid="{00000000-0005-0000-0000-0000BEA40000}"/>
    <cellStyle name="常规 9 10 2" xfId="42175" xr:uid="{00000000-0005-0000-0000-0000BFA40000}"/>
    <cellStyle name="常规 9 10 3" xfId="42176" xr:uid="{00000000-0005-0000-0000-0000C0A40000}"/>
    <cellStyle name="常规 9 11" xfId="42177" xr:uid="{00000000-0005-0000-0000-0000C1A40000}"/>
    <cellStyle name="常规 9 11 2" xfId="42178" xr:uid="{00000000-0005-0000-0000-0000C2A40000}"/>
    <cellStyle name="常规 9 12" xfId="42179" xr:uid="{00000000-0005-0000-0000-0000C3A40000}"/>
    <cellStyle name="常规 9 2" xfId="42180" xr:uid="{00000000-0005-0000-0000-0000C4A40000}"/>
    <cellStyle name="常规 9 2 10" xfId="42181" xr:uid="{00000000-0005-0000-0000-0000C5A40000}"/>
    <cellStyle name="常规 9 2 10 2" xfId="42182" xr:uid="{00000000-0005-0000-0000-0000C6A40000}"/>
    <cellStyle name="常规 9 2 11" xfId="42183" xr:uid="{00000000-0005-0000-0000-0000C7A40000}"/>
    <cellStyle name="常规 9 2 2" xfId="42184" xr:uid="{00000000-0005-0000-0000-0000C8A40000}"/>
    <cellStyle name="常规 9 2 2 2" xfId="42185" xr:uid="{00000000-0005-0000-0000-0000C9A40000}"/>
    <cellStyle name="常规 9 2 2 2 2" xfId="42186" xr:uid="{00000000-0005-0000-0000-0000CAA40000}"/>
    <cellStyle name="常规 9 2 2 2 2 2" xfId="42187" xr:uid="{00000000-0005-0000-0000-0000CBA40000}"/>
    <cellStyle name="常规 9 2 2 2 2 3" xfId="42188" xr:uid="{00000000-0005-0000-0000-0000CCA40000}"/>
    <cellStyle name="常规 9 2 2 2 3" xfId="42189" xr:uid="{00000000-0005-0000-0000-0000CDA40000}"/>
    <cellStyle name="常规 9 2 2 2 4" xfId="42190" xr:uid="{00000000-0005-0000-0000-0000CEA40000}"/>
    <cellStyle name="常规 9 2 2 2 5" xfId="42191" xr:uid="{00000000-0005-0000-0000-0000CFA40000}"/>
    <cellStyle name="常规 9 2 2 2 6" xfId="42192" xr:uid="{00000000-0005-0000-0000-0000D0A40000}"/>
    <cellStyle name="常规 9 2 2 2 7" xfId="42193" xr:uid="{00000000-0005-0000-0000-0000D1A40000}"/>
    <cellStyle name="常规 9 2 2 2 7 2" xfId="42194" xr:uid="{00000000-0005-0000-0000-0000D2A40000}"/>
    <cellStyle name="常规 9 2 2 3" xfId="42195" xr:uid="{00000000-0005-0000-0000-0000D3A40000}"/>
    <cellStyle name="常规 9 2 2 3 2" xfId="42196" xr:uid="{00000000-0005-0000-0000-0000D4A40000}"/>
    <cellStyle name="常规 9 2 2 3 3" xfId="42197" xr:uid="{00000000-0005-0000-0000-0000D5A40000}"/>
    <cellStyle name="常规 9 2 2 3 4" xfId="42198" xr:uid="{00000000-0005-0000-0000-0000D6A40000}"/>
    <cellStyle name="常规 9 2 2 3 4 2" xfId="42199" xr:uid="{00000000-0005-0000-0000-0000D7A40000}"/>
    <cellStyle name="常规 9 2 2 4" xfId="42200" xr:uid="{00000000-0005-0000-0000-0000D8A40000}"/>
    <cellStyle name="常规 9 2 2 4 2" xfId="42201" xr:uid="{00000000-0005-0000-0000-0000D9A40000}"/>
    <cellStyle name="常规 9 2 2 4 2 2" xfId="42202" xr:uid="{00000000-0005-0000-0000-0000DAA40000}"/>
    <cellStyle name="常规 9 2 2 5" xfId="42203" xr:uid="{00000000-0005-0000-0000-0000DBA40000}"/>
    <cellStyle name="常规 9 2 2 5 2" xfId="42204" xr:uid="{00000000-0005-0000-0000-0000DCA40000}"/>
    <cellStyle name="常规 9 2 2 5 3" xfId="42205" xr:uid="{00000000-0005-0000-0000-0000DDA40000}"/>
    <cellStyle name="常规 9 2 2 6" xfId="42206" xr:uid="{00000000-0005-0000-0000-0000DEA40000}"/>
    <cellStyle name="常规 9 2 2 7" xfId="42207" xr:uid="{00000000-0005-0000-0000-0000DFA40000}"/>
    <cellStyle name="常规 9 2 2 8" xfId="42208" xr:uid="{00000000-0005-0000-0000-0000E0A40000}"/>
    <cellStyle name="常规 9 2 2 8 2" xfId="42209" xr:uid="{00000000-0005-0000-0000-0000E1A40000}"/>
    <cellStyle name="常规 9 2 2 9" xfId="42210" xr:uid="{00000000-0005-0000-0000-0000E2A40000}"/>
    <cellStyle name="常规 9 2 3" xfId="42211" xr:uid="{00000000-0005-0000-0000-0000E3A40000}"/>
    <cellStyle name="常规 9 2 3 2" xfId="42212" xr:uid="{00000000-0005-0000-0000-0000E4A40000}"/>
    <cellStyle name="常规 9 2 3 2 2" xfId="42213" xr:uid="{00000000-0005-0000-0000-0000E5A40000}"/>
    <cellStyle name="常规 9 2 3 2 2 2" xfId="42214" xr:uid="{00000000-0005-0000-0000-0000E6A40000}"/>
    <cellStyle name="常规 9 2 3 2 2 3" xfId="42215" xr:uid="{00000000-0005-0000-0000-0000E7A40000}"/>
    <cellStyle name="常规 9 2 3 2 3" xfId="42216" xr:uid="{00000000-0005-0000-0000-0000E8A40000}"/>
    <cellStyle name="常规 9 2 3 2 4" xfId="42217" xr:uid="{00000000-0005-0000-0000-0000E9A40000}"/>
    <cellStyle name="常规 9 2 3 2 5" xfId="42218" xr:uid="{00000000-0005-0000-0000-0000EAA40000}"/>
    <cellStyle name="常规 9 2 3 2 6" xfId="42219" xr:uid="{00000000-0005-0000-0000-0000EBA40000}"/>
    <cellStyle name="常规 9 2 3 3" xfId="42220" xr:uid="{00000000-0005-0000-0000-0000ECA40000}"/>
    <cellStyle name="常规 9 2 3 3 2" xfId="42221" xr:uid="{00000000-0005-0000-0000-0000EDA40000}"/>
    <cellStyle name="常规 9 2 3 3 3" xfId="42222" xr:uid="{00000000-0005-0000-0000-0000EEA40000}"/>
    <cellStyle name="常规 9 2 3 4" xfId="42223" xr:uid="{00000000-0005-0000-0000-0000EFA40000}"/>
    <cellStyle name="常规 9 2 3 5" xfId="42224" xr:uid="{00000000-0005-0000-0000-0000F0A40000}"/>
    <cellStyle name="常规 9 2 3 6" xfId="42225" xr:uid="{00000000-0005-0000-0000-0000F1A40000}"/>
    <cellStyle name="常规 9 2 3 7" xfId="42226" xr:uid="{00000000-0005-0000-0000-0000F2A40000}"/>
    <cellStyle name="常规 9 2 3 8" xfId="42227" xr:uid="{00000000-0005-0000-0000-0000F3A40000}"/>
    <cellStyle name="常规 9 2 3 8 2" xfId="42228" xr:uid="{00000000-0005-0000-0000-0000F4A40000}"/>
    <cellStyle name="常规 9 2 4" xfId="42229" xr:uid="{00000000-0005-0000-0000-0000F5A40000}"/>
    <cellStyle name="常规 9 2 4 2" xfId="42230" xr:uid="{00000000-0005-0000-0000-0000F6A40000}"/>
    <cellStyle name="常规 9 2 4 2 2" xfId="42231" xr:uid="{00000000-0005-0000-0000-0000F7A40000}"/>
    <cellStyle name="常规 9 2 4 2 3" xfId="42232" xr:uid="{00000000-0005-0000-0000-0000F8A40000}"/>
    <cellStyle name="常规 9 2 4 3" xfId="42233" xr:uid="{00000000-0005-0000-0000-0000F9A40000}"/>
    <cellStyle name="常规 9 2 4 4" xfId="42234" xr:uid="{00000000-0005-0000-0000-0000FAA40000}"/>
    <cellStyle name="常规 9 2 4 5" xfId="42235" xr:uid="{00000000-0005-0000-0000-0000FBA40000}"/>
    <cellStyle name="常规 9 2 4 6" xfId="42236" xr:uid="{00000000-0005-0000-0000-0000FCA40000}"/>
    <cellStyle name="常规 9 2 4 7" xfId="42237" xr:uid="{00000000-0005-0000-0000-0000FDA40000}"/>
    <cellStyle name="常规 9 2 4 7 2" xfId="42238" xr:uid="{00000000-0005-0000-0000-0000FEA40000}"/>
    <cellStyle name="常规 9 2 5" xfId="42239" xr:uid="{00000000-0005-0000-0000-0000FFA40000}"/>
    <cellStyle name="常规 9 2 5 2" xfId="42240" xr:uid="{00000000-0005-0000-0000-000000A50000}"/>
    <cellStyle name="常规 9 2 5 3" xfId="42241" xr:uid="{00000000-0005-0000-0000-000001A50000}"/>
    <cellStyle name="常规 9 2 5 4" xfId="42242" xr:uid="{00000000-0005-0000-0000-000002A50000}"/>
    <cellStyle name="常规 9 2 5 4 2" xfId="42243" xr:uid="{00000000-0005-0000-0000-000003A50000}"/>
    <cellStyle name="常规 9 2 6" xfId="42244" xr:uid="{00000000-0005-0000-0000-000004A50000}"/>
    <cellStyle name="常规 9 2 6 2" xfId="42245" xr:uid="{00000000-0005-0000-0000-000005A50000}"/>
    <cellStyle name="常规 9 2 6 2 2" xfId="42246" xr:uid="{00000000-0005-0000-0000-000006A50000}"/>
    <cellStyle name="常规 9 2 7" xfId="42247" xr:uid="{00000000-0005-0000-0000-000007A50000}"/>
    <cellStyle name="常规 9 2 7 2" xfId="42248" xr:uid="{00000000-0005-0000-0000-000008A50000}"/>
    <cellStyle name="常规 9 2 7 2 2" xfId="42249" xr:uid="{00000000-0005-0000-0000-000009A50000}"/>
    <cellStyle name="常规 9 2 8" xfId="42250" xr:uid="{00000000-0005-0000-0000-00000AA50000}"/>
    <cellStyle name="常规 9 2 8 2" xfId="42251" xr:uid="{00000000-0005-0000-0000-00000BA50000}"/>
    <cellStyle name="常规 9 2 8 3" xfId="42252" xr:uid="{00000000-0005-0000-0000-00000CA50000}"/>
    <cellStyle name="常规 9 2 9" xfId="42253" xr:uid="{00000000-0005-0000-0000-00000DA50000}"/>
    <cellStyle name="常规 9 3" xfId="42254" xr:uid="{00000000-0005-0000-0000-00000EA50000}"/>
    <cellStyle name="常规 9 3 2" xfId="42255" xr:uid="{00000000-0005-0000-0000-00000FA50000}"/>
    <cellStyle name="常规 9 3 2 2" xfId="42256" xr:uid="{00000000-0005-0000-0000-000010A50000}"/>
    <cellStyle name="常规 9 3 2 2 2" xfId="42257" xr:uid="{00000000-0005-0000-0000-000011A50000}"/>
    <cellStyle name="常规 9 3 2 2 3" xfId="42258" xr:uid="{00000000-0005-0000-0000-000012A50000}"/>
    <cellStyle name="常规 9 3 2 2 4" xfId="42259" xr:uid="{00000000-0005-0000-0000-000013A50000}"/>
    <cellStyle name="常规 9 3 2 2 4 2" xfId="42260" xr:uid="{00000000-0005-0000-0000-000014A50000}"/>
    <cellStyle name="常规 9 3 2 3" xfId="42261" xr:uid="{00000000-0005-0000-0000-000015A50000}"/>
    <cellStyle name="常规 9 3 2 3 2" xfId="42262" xr:uid="{00000000-0005-0000-0000-000016A50000}"/>
    <cellStyle name="常规 9 3 2 3 2 2" xfId="42263" xr:uid="{00000000-0005-0000-0000-000017A50000}"/>
    <cellStyle name="常规 9 3 2 4" xfId="42264" xr:uid="{00000000-0005-0000-0000-000018A50000}"/>
    <cellStyle name="常规 9 3 2 4 2" xfId="42265" xr:uid="{00000000-0005-0000-0000-000019A50000}"/>
    <cellStyle name="常规 9 3 2 4 2 2" xfId="42266" xr:uid="{00000000-0005-0000-0000-00001AA50000}"/>
    <cellStyle name="常规 9 3 2 5" xfId="42267" xr:uid="{00000000-0005-0000-0000-00001BA50000}"/>
    <cellStyle name="常规 9 3 2 5 2" xfId="42268" xr:uid="{00000000-0005-0000-0000-00001CA50000}"/>
    <cellStyle name="常规 9 3 2 5 3" xfId="42269" xr:uid="{00000000-0005-0000-0000-00001DA50000}"/>
    <cellStyle name="常规 9 3 2 6" xfId="42270" xr:uid="{00000000-0005-0000-0000-00001EA50000}"/>
    <cellStyle name="常规 9 3 2 7" xfId="42271" xr:uid="{00000000-0005-0000-0000-00001FA50000}"/>
    <cellStyle name="常规 9 3 2 7 2" xfId="42272" xr:uid="{00000000-0005-0000-0000-000020A50000}"/>
    <cellStyle name="常规 9 3 2 8" xfId="42273" xr:uid="{00000000-0005-0000-0000-000021A50000}"/>
    <cellStyle name="常规 9 3 3" xfId="42274" xr:uid="{00000000-0005-0000-0000-000022A50000}"/>
    <cellStyle name="常规 9 3 3 2" xfId="42275" xr:uid="{00000000-0005-0000-0000-000023A50000}"/>
    <cellStyle name="常规 9 3 3 2 2" xfId="42276" xr:uid="{00000000-0005-0000-0000-000024A50000}"/>
    <cellStyle name="常规 9 3 3 2 2 2" xfId="42277" xr:uid="{00000000-0005-0000-0000-000025A50000}"/>
    <cellStyle name="常规 9 3 3 2 3" xfId="42278" xr:uid="{00000000-0005-0000-0000-000026A50000}"/>
    <cellStyle name="常规 9 3 3 3" xfId="42279" xr:uid="{00000000-0005-0000-0000-000027A50000}"/>
    <cellStyle name="常规 9 3 3 3 2" xfId="42280" xr:uid="{00000000-0005-0000-0000-000028A50000}"/>
    <cellStyle name="常规 9 3 3 3 2 2" xfId="42281" xr:uid="{00000000-0005-0000-0000-000029A50000}"/>
    <cellStyle name="常规 9 3 3 4" xfId="42282" xr:uid="{00000000-0005-0000-0000-00002AA50000}"/>
    <cellStyle name="常规 9 3 3 4 2" xfId="42283" xr:uid="{00000000-0005-0000-0000-00002BA50000}"/>
    <cellStyle name="常规 9 3 3 4 3" xfId="42284" xr:uid="{00000000-0005-0000-0000-00002CA50000}"/>
    <cellStyle name="常规 9 3 3 5" xfId="42285" xr:uid="{00000000-0005-0000-0000-00002DA50000}"/>
    <cellStyle name="常规 9 3 3 5 2" xfId="42286" xr:uid="{00000000-0005-0000-0000-00002EA50000}"/>
    <cellStyle name="常规 9 3 4" xfId="42287" xr:uid="{00000000-0005-0000-0000-00002FA50000}"/>
    <cellStyle name="常规 9 3 4 2" xfId="42288" xr:uid="{00000000-0005-0000-0000-000030A50000}"/>
    <cellStyle name="常规 9 3 4 2 2" xfId="42289" xr:uid="{00000000-0005-0000-0000-000031A50000}"/>
    <cellStyle name="常规 9 3 5" xfId="42290" xr:uid="{00000000-0005-0000-0000-000032A50000}"/>
    <cellStyle name="常规 9 3 5 2" xfId="42291" xr:uid="{00000000-0005-0000-0000-000033A50000}"/>
    <cellStyle name="常规 9 3 5 2 2" xfId="42292" xr:uid="{00000000-0005-0000-0000-000034A50000}"/>
    <cellStyle name="常规 9 3 6" xfId="42293" xr:uid="{00000000-0005-0000-0000-000035A50000}"/>
    <cellStyle name="常规 9 3 6 2" xfId="42294" xr:uid="{00000000-0005-0000-0000-000036A50000}"/>
    <cellStyle name="常规 9 3 6 2 2" xfId="42295" xr:uid="{00000000-0005-0000-0000-000037A50000}"/>
    <cellStyle name="常规 9 3 7" xfId="42296" xr:uid="{00000000-0005-0000-0000-000038A50000}"/>
    <cellStyle name="常规 9 3 7 2" xfId="42297" xr:uid="{00000000-0005-0000-0000-000039A50000}"/>
    <cellStyle name="常规 9 3 7 2 2" xfId="42298" xr:uid="{00000000-0005-0000-0000-00003AA50000}"/>
    <cellStyle name="常规 9 3 8" xfId="42299" xr:uid="{00000000-0005-0000-0000-00003BA50000}"/>
    <cellStyle name="常规 9 3 8 2" xfId="42300" xr:uid="{00000000-0005-0000-0000-00003CA50000}"/>
    <cellStyle name="常规 9 3 8 3" xfId="42301" xr:uid="{00000000-0005-0000-0000-00003DA50000}"/>
    <cellStyle name="常规 9 3 9" xfId="42302" xr:uid="{00000000-0005-0000-0000-00003EA50000}"/>
    <cellStyle name="常规 9 4" xfId="42303" xr:uid="{00000000-0005-0000-0000-00003FA50000}"/>
    <cellStyle name="常规 9 4 2" xfId="42304" xr:uid="{00000000-0005-0000-0000-000040A50000}"/>
    <cellStyle name="常规 9 4 2 2" xfId="42305" xr:uid="{00000000-0005-0000-0000-000041A50000}"/>
    <cellStyle name="常规 9 4 2 2 2" xfId="42306" xr:uid="{00000000-0005-0000-0000-000042A50000}"/>
    <cellStyle name="常规 9 4 2 2 3" xfId="42307" xr:uid="{00000000-0005-0000-0000-000043A50000}"/>
    <cellStyle name="常规 9 4 2 3" xfId="42308" xr:uid="{00000000-0005-0000-0000-000044A50000}"/>
    <cellStyle name="常规 9 4 2 4" xfId="42309" xr:uid="{00000000-0005-0000-0000-000045A50000}"/>
    <cellStyle name="常规 9 4 2 5" xfId="42310" xr:uid="{00000000-0005-0000-0000-000046A50000}"/>
    <cellStyle name="常规 9 4 2 6" xfId="42311" xr:uid="{00000000-0005-0000-0000-000047A50000}"/>
    <cellStyle name="常规 9 4 2 7" xfId="42312" xr:uid="{00000000-0005-0000-0000-000048A50000}"/>
    <cellStyle name="常规 9 4 2 7 2" xfId="42313" xr:uid="{00000000-0005-0000-0000-000049A50000}"/>
    <cellStyle name="常规 9 4 3" xfId="42314" xr:uid="{00000000-0005-0000-0000-00004AA50000}"/>
    <cellStyle name="常规 9 4 3 2" xfId="42315" xr:uid="{00000000-0005-0000-0000-00004BA50000}"/>
    <cellStyle name="常规 9 4 3 3" xfId="42316" xr:uid="{00000000-0005-0000-0000-00004CA50000}"/>
    <cellStyle name="常规 9 4 3 4" xfId="42317" xr:uid="{00000000-0005-0000-0000-00004DA50000}"/>
    <cellStyle name="常规 9 4 3 4 2" xfId="42318" xr:uid="{00000000-0005-0000-0000-00004EA50000}"/>
    <cellStyle name="常规 9 4 4" xfId="42319" xr:uid="{00000000-0005-0000-0000-00004FA50000}"/>
    <cellStyle name="常规 9 4 4 2" xfId="42320" xr:uid="{00000000-0005-0000-0000-000050A50000}"/>
    <cellStyle name="常规 9 4 4 2 2" xfId="42321" xr:uid="{00000000-0005-0000-0000-000051A50000}"/>
    <cellStyle name="常规 9 4 5" xfId="42322" xr:uid="{00000000-0005-0000-0000-000052A50000}"/>
    <cellStyle name="常规 9 4 5 2" xfId="42323" xr:uid="{00000000-0005-0000-0000-000053A50000}"/>
    <cellStyle name="常规 9 4 5 3" xfId="42324" xr:uid="{00000000-0005-0000-0000-000054A50000}"/>
    <cellStyle name="常规 9 4 6" xfId="42325" xr:uid="{00000000-0005-0000-0000-000055A50000}"/>
    <cellStyle name="常规 9 4 7" xfId="42326" xr:uid="{00000000-0005-0000-0000-000056A50000}"/>
    <cellStyle name="常规 9 4 8" xfId="42327" xr:uid="{00000000-0005-0000-0000-000057A50000}"/>
    <cellStyle name="常规 9 4 8 2" xfId="42328" xr:uid="{00000000-0005-0000-0000-000058A50000}"/>
    <cellStyle name="常规 9 4 9" xfId="42329" xr:uid="{00000000-0005-0000-0000-000059A50000}"/>
    <cellStyle name="常规 9 5" xfId="42330" xr:uid="{00000000-0005-0000-0000-00005AA50000}"/>
    <cellStyle name="常规 9 5 2" xfId="42331" xr:uid="{00000000-0005-0000-0000-00005BA50000}"/>
    <cellStyle name="常规 9 5 2 2" xfId="42332" xr:uid="{00000000-0005-0000-0000-00005CA50000}"/>
    <cellStyle name="常规 9 5 2 3" xfId="42333" xr:uid="{00000000-0005-0000-0000-00005DA50000}"/>
    <cellStyle name="常规 9 5 3" xfId="42334" xr:uid="{00000000-0005-0000-0000-00005EA50000}"/>
    <cellStyle name="常规 9 5 4" xfId="42335" xr:uid="{00000000-0005-0000-0000-00005FA50000}"/>
    <cellStyle name="常规 9 5 5" xfId="42336" xr:uid="{00000000-0005-0000-0000-000060A50000}"/>
    <cellStyle name="常规 9 5 6" xfId="42337" xr:uid="{00000000-0005-0000-0000-000061A50000}"/>
    <cellStyle name="常规 9 5 7" xfId="42338" xr:uid="{00000000-0005-0000-0000-000062A50000}"/>
    <cellStyle name="常规 9 5 7 2" xfId="42339" xr:uid="{00000000-0005-0000-0000-000063A50000}"/>
    <cellStyle name="常规 9 6" xfId="42340" xr:uid="{00000000-0005-0000-0000-000064A50000}"/>
    <cellStyle name="常规 9 6 2" xfId="42341" xr:uid="{00000000-0005-0000-0000-000065A50000}"/>
    <cellStyle name="常规 9 6 3" xfId="42342" xr:uid="{00000000-0005-0000-0000-000066A50000}"/>
    <cellStyle name="常规 9 6 4" xfId="42343" xr:uid="{00000000-0005-0000-0000-000067A50000}"/>
    <cellStyle name="常规 9 6 4 2" xfId="42344" xr:uid="{00000000-0005-0000-0000-000068A50000}"/>
    <cellStyle name="常规 9 7" xfId="42345" xr:uid="{00000000-0005-0000-0000-000069A50000}"/>
    <cellStyle name="常规 9 7 2" xfId="42346" xr:uid="{00000000-0005-0000-0000-00006AA50000}"/>
    <cellStyle name="常规 9 7 2 2" xfId="42347" xr:uid="{00000000-0005-0000-0000-00006BA50000}"/>
    <cellStyle name="常规 9 8" xfId="42348" xr:uid="{00000000-0005-0000-0000-00006CA50000}"/>
    <cellStyle name="常规 9 8 2" xfId="42349" xr:uid="{00000000-0005-0000-0000-00006DA50000}"/>
    <cellStyle name="常规 9 8 2 2" xfId="42350" xr:uid="{00000000-0005-0000-0000-00006EA50000}"/>
    <cellStyle name="常规 9 9" xfId="42351" xr:uid="{00000000-0005-0000-0000-00006FA50000}"/>
    <cellStyle name="常规 9 9 2" xfId="42352" xr:uid="{00000000-0005-0000-0000-000070A50000}"/>
    <cellStyle name="常规 9 9 2 2" xfId="42353" xr:uid="{00000000-0005-0000-0000-000071A50000}"/>
    <cellStyle name="常规_061 explanation" xfId="42354" xr:uid="{00000000-0005-0000-0000-000072A50000}"/>
    <cellStyle name="强调文字颜色 1 2" xfId="42355" xr:uid="{00000000-0005-0000-0000-000073A50000}"/>
    <cellStyle name="强调文字颜色 1 2 10" xfId="42356" xr:uid="{00000000-0005-0000-0000-000074A50000}"/>
    <cellStyle name="强调文字颜色 1 2 11" xfId="42357" xr:uid="{00000000-0005-0000-0000-000075A50000}"/>
    <cellStyle name="强调文字颜色 1 2 2" xfId="42358" xr:uid="{00000000-0005-0000-0000-000076A50000}"/>
    <cellStyle name="强调文字颜色 1 2 2 10" xfId="42359" xr:uid="{00000000-0005-0000-0000-000077A50000}"/>
    <cellStyle name="强调文字颜色 1 2 2 11" xfId="42360" xr:uid="{00000000-0005-0000-0000-000078A50000}"/>
    <cellStyle name="强调文字颜色 1 2 2 2" xfId="42361" xr:uid="{00000000-0005-0000-0000-000079A50000}"/>
    <cellStyle name="强调文字颜色 1 2 2 2 2" xfId="42362" xr:uid="{00000000-0005-0000-0000-00007AA50000}"/>
    <cellStyle name="强调文字颜色 1 2 2 2 2 2" xfId="42363" xr:uid="{00000000-0005-0000-0000-00007BA50000}"/>
    <cellStyle name="强调文字颜色 1 2 2 2 2 2 2" xfId="42364" xr:uid="{00000000-0005-0000-0000-00007CA50000}"/>
    <cellStyle name="强调文字颜色 1 2 2 2 2 2 3" xfId="42365" xr:uid="{00000000-0005-0000-0000-00007DA50000}"/>
    <cellStyle name="强调文字颜色 1 2 2 2 2 2 3 2" xfId="42366" xr:uid="{00000000-0005-0000-0000-00007EA50000}"/>
    <cellStyle name="强调文字颜色 1 2 2 2 2 2 3 2 2" xfId="42367" xr:uid="{00000000-0005-0000-0000-00007FA50000}"/>
    <cellStyle name="强调文字颜色 1 2 2 2 2 2 4" xfId="42368" xr:uid="{00000000-0005-0000-0000-000080A50000}"/>
    <cellStyle name="强调文字颜色 1 2 2 2 2 2 4 2" xfId="42369" xr:uid="{00000000-0005-0000-0000-000081A50000}"/>
    <cellStyle name="强调文字颜色 1 2 2 2 2 3" xfId="42370" xr:uid="{00000000-0005-0000-0000-000082A50000}"/>
    <cellStyle name="强调文字颜色 1 2 2 2 2 3 2" xfId="42371" xr:uid="{00000000-0005-0000-0000-000083A50000}"/>
    <cellStyle name="强调文字颜色 1 2 2 2 2 3 2 2" xfId="42372" xr:uid="{00000000-0005-0000-0000-000084A50000}"/>
    <cellStyle name="强调文字颜色 1 2 2 2 2 3 2 2 2" xfId="42373" xr:uid="{00000000-0005-0000-0000-000085A50000}"/>
    <cellStyle name="强调文字颜色 1 2 2 2 2 3 3" xfId="42374" xr:uid="{00000000-0005-0000-0000-000086A50000}"/>
    <cellStyle name="强调文字颜色 1 2 2 2 2 3 3 2" xfId="42375" xr:uid="{00000000-0005-0000-0000-000087A50000}"/>
    <cellStyle name="强调文字颜色 1 2 2 2 2 4" xfId="42376" xr:uid="{00000000-0005-0000-0000-000088A50000}"/>
    <cellStyle name="强调文字颜色 1 2 2 2 2 5" xfId="42377" xr:uid="{00000000-0005-0000-0000-000089A50000}"/>
    <cellStyle name="强调文字颜色 1 2 2 2 2 6" xfId="42378" xr:uid="{00000000-0005-0000-0000-00008AA50000}"/>
    <cellStyle name="强调文字颜色 1 2 2 2 3" xfId="42379" xr:uid="{00000000-0005-0000-0000-00008BA50000}"/>
    <cellStyle name="强调文字颜色 1 2 2 2 3 2" xfId="42380" xr:uid="{00000000-0005-0000-0000-00008CA50000}"/>
    <cellStyle name="强调文字颜色 1 2 2 2 3 3" xfId="42381" xr:uid="{00000000-0005-0000-0000-00008DA50000}"/>
    <cellStyle name="强调文字颜色 1 2 2 2 3 3 2" xfId="42382" xr:uid="{00000000-0005-0000-0000-00008EA50000}"/>
    <cellStyle name="强调文字颜色 1 2 2 2 3 3 2 2" xfId="42383" xr:uid="{00000000-0005-0000-0000-00008FA50000}"/>
    <cellStyle name="强调文字颜色 1 2 2 2 3 4" xfId="42384" xr:uid="{00000000-0005-0000-0000-000090A50000}"/>
    <cellStyle name="强调文字颜色 1 2 2 2 3 4 2" xfId="42385" xr:uid="{00000000-0005-0000-0000-000091A50000}"/>
    <cellStyle name="强调文字颜色 1 2 2 2 4" xfId="42386" xr:uid="{00000000-0005-0000-0000-000092A50000}"/>
    <cellStyle name="强调文字颜色 1 2 2 2 4 2" xfId="42387" xr:uid="{00000000-0005-0000-0000-000093A50000}"/>
    <cellStyle name="强调文字颜色 1 2 2 2 4 2 2" xfId="42388" xr:uid="{00000000-0005-0000-0000-000094A50000}"/>
    <cellStyle name="强调文字颜色 1 2 2 2 4 2 2 2" xfId="42389" xr:uid="{00000000-0005-0000-0000-000095A50000}"/>
    <cellStyle name="强调文字颜色 1 2 2 2 4 3" xfId="42390" xr:uid="{00000000-0005-0000-0000-000096A50000}"/>
    <cellStyle name="强调文字颜色 1 2 2 2 4 3 2" xfId="42391" xr:uid="{00000000-0005-0000-0000-000097A50000}"/>
    <cellStyle name="强调文字颜色 1 2 2 2 5" xfId="42392" xr:uid="{00000000-0005-0000-0000-000098A50000}"/>
    <cellStyle name="强调文字颜色 1 2 2 2 6" xfId="42393" xr:uid="{00000000-0005-0000-0000-000099A50000}"/>
    <cellStyle name="强调文字颜色 1 2 2 2 7" xfId="42394" xr:uid="{00000000-0005-0000-0000-00009AA50000}"/>
    <cellStyle name="强调文字颜色 1 2 2 3" xfId="42395" xr:uid="{00000000-0005-0000-0000-00009BA50000}"/>
    <cellStyle name="强调文字颜色 1 2 2 3 2" xfId="42396" xr:uid="{00000000-0005-0000-0000-00009CA50000}"/>
    <cellStyle name="强调文字颜色 1 2 2 3 2 2" xfId="42397" xr:uid="{00000000-0005-0000-0000-00009DA50000}"/>
    <cellStyle name="强调文字颜色 1 2 2 3 2 3" xfId="42398" xr:uid="{00000000-0005-0000-0000-00009EA50000}"/>
    <cellStyle name="强调文字颜色 1 2 2 3 2 3 2" xfId="42399" xr:uid="{00000000-0005-0000-0000-00009FA50000}"/>
    <cellStyle name="强调文字颜色 1 2 2 3 2 3 2 2" xfId="42400" xr:uid="{00000000-0005-0000-0000-0000A0A50000}"/>
    <cellStyle name="强调文字颜色 1 2 2 3 2 4" xfId="42401" xr:uid="{00000000-0005-0000-0000-0000A1A50000}"/>
    <cellStyle name="强调文字颜色 1 2 2 3 2 4 2" xfId="42402" xr:uid="{00000000-0005-0000-0000-0000A2A50000}"/>
    <cellStyle name="强调文字颜色 1 2 2 3 3" xfId="42403" xr:uid="{00000000-0005-0000-0000-0000A3A50000}"/>
    <cellStyle name="强调文字颜色 1 2 2 3 3 2" xfId="42404" xr:uid="{00000000-0005-0000-0000-0000A4A50000}"/>
    <cellStyle name="强调文字颜色 1 2 2 3 3 2 2" xfId="42405" xr:uid="{00000000-0005-0000-0000-0000A5A50000}"/>
    <cellStyle name="强调文字颜色 1 2 2 3 3 2 2 2" xfId="42406" xr:uid="{00000000-0005-0000-0000-0000A6A50000}"/>
    <cellStyle name="强调文字颜色 1 2 2 3 3 3" xfId="42407" xr:uid="{00000000-0005-0000-0000-0000A7A50000}"/>
    <cellStyle name="强调文字颜色 1 2 2 3 3 3 2" xfId="42408" xr:uid="{00000000-0005-0000-0000-0000A8A50000}"/>
    <cellStyle name="强调文字颜色 1 2 2 3 4" xfId="42409" xr:uid="{00000000-0005-0000-0000-0000A9A50000}"/>
    <cellStyle name="强调文字颜色 1 2 2 3 5" xfId="42410" xr:uid="{00000000-0005-0000-0000-0000AAA50000}"/>
    <cellStyle name="强调文字颜色 1 2 2 3 6" xfId="42411" xr:uid="{00000000-0005-0000-0000-0000ABA50000}"/>
    <cellStyle name="强调文字颜色 1 2 2 4" xfId="42412" xr:uid="{00000000-0005-0000-0000-0000ACA50000}"/>
    <cellStyle name="强调文字颜色 1 2 2 4 2" xfId="42413" xr:uid="{00000000-0005-0000-0000-0000ADA50000}"/>
    <cellStyle name="强调文字颜色 1 2 2 4 2 2" xfId="42414" xr:uid="{00000000-0005-0000-0000-0000AEA50000}"/>
    <cellStyle name="强调文字颜色 1 2 2 4 2 3" xfId="42415" xr:uid="{00000000-0005-0000-0000-0000AFA50000}"/>
    <cellStyle name="强调文字颜色 1 2 2 4 2 3 2" xfId="42416" xr:uid="{00000000-0005-0000-0000-0000B0A50000}"/>
    <cellStyle name="强调文字颜色 1 2 2 4 2 3 2 2" xfId="42417" xr:uid="{00000000-0005-0000-0000-0000B1A50000}"/>
    <cellStyle name="强调文字颜色 1 2 2 4 2 4" xfId="42418" xr:uid="{00000000-0005-0000-0000-0000B2A50000}"/>
    <cellStyle name="强调文字颜色 1 2 2 4 2 4 2" xfId="42419" xr:uid="{00000000-0005-0000-0000-0000B3A50000}"/>
    <cellStyle name="强调文字颜色 1 2 2 4 3" xfId="42420" xr:uid="{00000000-0005-0000-0000-0000B4A50000}"/>
    <cellStyle name="强调文字颜色 1 2 2 4 4" xfId="42421" xr:uid="{00000000-0005-0000-0000-0000B5A50000}"/>
    <cellStyle name="强调文字颜色 1 2 2 4 5" xfId="42422" xr:uid="{00000000-0005-0000-0000-0000B6A50000}"/>
    <cellStyle name="强调文字颜色 1 2 2 4 6" xfId="42423" xr:uid="{00000000-0005-0000-0000-0000B7A50000}"/>
    <cellStyle name="强调文字颜色 1 2 2 5" xfId="42424" xr:uid="{00000000-0005-0000-0000-0000B8A50000}"/>
    <cellStyle name="强调文字颜色 1 2 2 5 2" xfId="42425" xr:uid="{00000000-0005-0000-0000-0000B9A50000}"/>
    <cellStyle name="强调文字颜色 1 2 2 5 2 2" xfId="42426" xr:uid="{00000000-0005-0000-0000-0000BAA50000}"/>
    <cellStyle name="强调文字颜色 1 2 2 5 2 2 2" xfId="42427" xr:uid="{00000000-0005-0000-0000-0000BBA50000}"/>
    <cellStyle name="强调文字颜色 1 2 2 5 2 2 2 2" xfId="42428" xr:uid="{00000000-0005-0000-0000-0000BCA50000}"/>
    <cellStyle name="强调文字颜色 1 2 2 5 2 3" xfId="42429" xr:uid="{00000000-0005-0000-0000-0000BDA50000}"/>
    <cellStyle name="强调文字颜色 1 2 2 5 2 3 2" xfId="42430" xr:uid="{00000000-0005-0000-0000-0000BEA50000}"/>
    <cellStyle name="强调文字颜色 1 2 2 5 3" xfId="42431" xr:uid="{00000000-0005-0000-0000-0000BFA50000}"/>
    <cellStyle name="强调文字颜色 1 2 2 5 3 2" xfId="42432" xr:uid="{00000000-0005-0000-0000-0000C0A50000}"/>
    <cellStyle name="强调文字颜色 1 2 2 5 3 2 2" xfId="42433" xr:uid="{00000000-0005-0000-0000-0000C1A50000}"/>
    <cellStyle name="强调文字颜色 1 2 2 5 4" xfId="42434" xr:uid="{00000000-0005-0000-0000-0000C2A50000}"/>
    <cellStyle name="强调文字颜色 1 2 2 5 4 2" xfId="42435" xr:uid="{00000000-0005-0000-0000-0000C3A50000}"/>
    <cellStyle name="强调文字颜色 1 2 2 6" xfId="42436" xr:uid="{00000000-0005-0000-0000-0000C4A50000}"/>
    <cellStyle name="强调文字颜色 1 2 2 6 2" xfId="42437" xr:uid="{00000000-0005-0000-0000-0000C5A50000}"/>
    <cellStyle name="强调文字颜色 1 2 2 6 2 2" xfId="42438" xr:uid="{00000000-0005-0000-0000-0000C6A50000}"/>
    <cellStyle name="强调文字颜色 1 2 2 6 2 2 2" xfId="42439" xr:uid="{00000000-0005-0000-0000-0000C7A50000}"/>
    <cellStyle name="强调文字颜色 1 2 2 6 2 2 2 2" xfId="42440" xr:uid="{00000000-0005-0000-0000-0000C8A50000}"/>
    <cellStyle name="强调文字颜色 1 2 2 6 2 3" xfId="42441" xr:uid="{00000000-0005-0000-0000-0000C9A50000}"/>
    <cellStyle name="强调文字颜色 1 2 2 6 2 3 2" xfId="42442" xr:uid="{00000000-0005-0000-0000-0000CAA50000}"/>
    <cellStyle name="强调文字颜色 1 2 2 6 3" xfId="42443" xr:uid="{00000000-0005-0000-0000-0000CBA50000}"/>
    <cellStyle name="强调文字颜色 1 2 2 6 3 2" xfId="42444" xr:uid="{00000000-0005-0000-0000-0000CCA50000}"/>
    <cellStyle name="强调文字颜色 1 2 2 6 3 2 2" xfId="42445" xr:uid="{00000000-0005-0000-0000-0000CDA50000}"/>
    <cellStyle name="强调文字颜色 1 2 2 6 4" xfId="42446" xr:uid="{00000000-0005-0000-0000-0000CEA50000}"/>
    <cellStyle name="强调文字颜色 1 2 2 6 4 2" xfId="42447" xr:uid="{00000000-0005-0000-0000-0000CFA50000}"/>
    <cellStyle name="强调文字颜色 1 2 2 7" xfId="42448" xr:uid="{00000000-0005-0000-0000-0000D0A50000}"/>
    <cellStyle name="强调文字颜色 1 2 2 7 2" xfId="42449" xr:uid="{00000000-0005-0000-0000-0000D1A50000}"/>
    <cellStyle name="强调文字颜色 1 2 2 7 2 2" xfId="42450" xr:uid="{00000000-0005-0000-0000-0000D2A50000}"/>
    <cellStyle name="强调文字颜色 1 2 2 7 2 2 2" xfId="42451" xr:uid="{00000000-0005-0000-0000-0000D3A50000}"/>
    <cellStyle name="强调文字颜色 1 2 2 7 2 2 2 2" xfId="42452" xr:uid="{00000000-0005-0000-0000-0000D4A50000}"/>
    <cellStyle name="强调文字颜色 1 2 2 7 2 3" xfId="42453" xr:uid="{00000000-0005-0000-0000-0000D5A50000}"/>
    <cellStyle name="强调文字颜色 1 2 2 7 2 3 2" xfId="42454" xr:uid="{00000000-0005-0000-0000-0000D6A50000}"/>
    <cellStyle name="强调文字颜色 1 2 2 7 3" xfId="42455" xr:uid="{00000000-0005-0000-0000-0000D7A50000}"/>
    <cellStyle name="强调文字颜色 1 2 2 7 3 2" xfId="42456" xr:uid="{00000000-0005-0000-0000-0000D8A50000}"/>
    <cellStyle name="强调文字颜色 1 2 2 7 3 2 2" xfId="42457" xr:uid="{00000000-0005-0000-0000-0000D9A50000}"/>
    <cellStyle name="强调文字颜色 1 2 2 7 4" xfId="42458" xr:uid="{00000000-0005-0000-0000-0000DAA50000}"/>
    <cellStyle name="强调文字颜色 1 2 2 7 4 2" xfId="42459" xr:uid="{00000000-0005-0000-0000-0000DBA50000}"/>
    <cellStyle name="强调文字颜色 1 2 2 8" xfId="42460" xr:uid="{00000000-0005-0000-0000-0000DCA50000}"/>
    <cellStyle name="强调文字颜色 1 2 2 8 2" xfId="42461" xr:uid="{00000000-0005-0000-0000-0000DDA50000}"/>
    <cellStyle name="强调文字颜色 1 2 2 8 2 2" xfId="42462" xr:uid="{00000000-0005-0000-0000-0000DEA50000}"/>
    <cellStyle name="强调文字颜色 1 2 2 8 2 2 2" xfId="42463" xr:uid="{00000000-0005-0000-0000-0000DFA50000}"/>
    <cellStyle name="强调文字颜色 1 2 2 8 3" xfId="42464" xr:uid="{00000000-0005-0000-0000-0000E0A50000}"/>
    <cellStyle name="强调文字颜色 1 2 2 8 3 2" xfId="42465" xr:uid="{00000000-0005-0000-0000-0000E1A50000}"/>
    <cellStyle name="强调文字颜色 1 2 2 9" xfId="42466" xr:uid="{00000000-0005-0000-0000-0000E2A50000}"/>
    <cellStyle name="强调文字颜色 1 2 2 9 2" xfId="42467" xr:uid="{00000000-0005-0000-0000-0000E3A50000}"/>
    <cellStyle name="强调文字颜色 1 2 2 9 2 2" xfId="42468" xr:uid="{00000000-0005-0000-0000-0000E4A50000}"/>
    <cellStyle name="强调文字颜色 1 2 2 9 2 2 2" xfId="42469" xr:uid="{00000000-0005-0000-0000-0000E5A50000}"/>
    <cellStyle name="强调文字颜色 1 2 2 9 3" xfId="42470" xr:uid="{00000000-0005-0000-0000-0000E6A50000}"/>
    <cellStyle name="强调文字颜色 1 2 2 9 3 2" xfId="42471" xr:uid="{00000000-0005-0000-0000-0000E7A50000}"/>
    <cellStyle name="强调文字颜色 1 2 3" xfId="42472" xr:uid="{00000000-0005-0000-0000-0000E8A50000}"/>
    <cellStyle name="强调文字颜色 1 2 3 2" xfId="42473" xr:uid="{00000000-0005-0000-0000-0000E9A50000}"/>
    <cellStyle name="强调文字颜色 1 2 3 2 2" xfId="42474" xr:uid="{00000000-0005-0000-0000-0000EAA50000}"/>
    <cellStyle name="强调文字颜色 1 2 3 2 2 2" xfId="42475" xr:uid="{00000000-0005-0000-0000-0000EBA50000}"/>
    <cellStyle name="强调文字颜色 1 2 3 2 2 2 2" xfId="42476" xr:uid="{00000000-0005-0000-0000-0000ECA50000}"/>
    <cellStyle name="强调文字颜色 1 2 3 2 2 2 3" xfId="42477" xr:uid="{00000000-0005-0000-0000-0000EDA50000}"/>
    <cellStyle name="强调文字颜色 1 2 3 2 2 2 3 2" xfId="42478" xr:uid="{00000000-0005-0000-0000-0000EEA50000}"/>
    <cellStyle name="强调文字颜色 1 2 3 2 2 2 3 2 2" xfId="42479" xr:uid="{00000000-0005-0000-0000-0000EFA50000}"/>
    <cellStyle name="强调文字颜色 1 2 3 2 2 2 4" xfId="42480" xr:uid="{00000000-0005-0000-0000-0000F0A50000}"/>
    <cellStyle name="强调文字颜色 1 2 3 2 2 2 4 2" xfId="42481" xr:uid="{00000000-0005-0000-0000-0000F1A50000}"/>
    <cellStyle name="强调文字颜色 1 2 3 2 2 3" xfId="42482" xr:uid="{00000000-0005-0000-0000-0000F2A50000}"/>
    <cellStyle name="强调文字颜色 1 2 3 2 2 3 2" xfId="42483" xr:uid="{00000000-0005-0000-0000-0000F3A50000}"/>
    <cellStyle name="强调文字颜色 1 2 3 2 2 3 2 2" xfId="42484" xr:uid="{00000000-0005-0000-0000-0000F4A50000}"/>
    <cellStyle name="强调文字颜色 1 2 3 2 2 3 2 2 2" xfId="42485" xr:uid="{00000000-0005-0000-0000-0000F5A50000}"/>
    <cellStyle name="强调文字颜色 1 2 3 2 2 3 3" xfId="42486" xr:uid="{00000000-0005-0000-0000-0000F6A50000}"/>
    <cellStyle name="强调文字颜色 1 2 3 2 2 3 3 2" xfId="42487" xr:uid="{00000000-0005-0000-0000-0000F7A50000}"/>
    <cellStyle name="强调文字颜色 1 2 3 2 2 4" xfId="42488" xr:uid="{00000000-0005-0000-0000-0000F8A50000}"/>
    <cellStyle name="强调文字颜色 1 2 3 2 2 5" xfId="42489" xr:uid="{00000000-0005-0000-0000-0000F9A50000}"/>
    <cellStyle name="强调文字颜色 1 2 3 2 2 6" xfId="42490" xr:uid="{00000000-0005-0000-0000-0000FAA50000}"/>
    <cellStyle name="强调文字颜色 1 2 3 2 3" xfId="42491" xr:uid="{00000000-0005-0000-0000-0000FBA50000}"/>
    <cellStyle name="强调文字颜色 1 2 3 2 3 2" xfId="42492" xr:uid="{00000000-0005-0000-0000-0000FCA50000}"/>
    <cellStyle name="强调文字颜色 1 2 3 2 3 3" xfId="42493" xr:uid="{00000000-0005-0000-0000-0000FDA50000}"/>
    <cellStyle name="强调文字颜色 1 2 3 2 3 3 2" xfId="42494" xr:uid="{00000000-0005-0000-0000-0000FEA50000}"/>
    <cellStyle name="强调文字颜色 1 2 3 2 3 3 2 2" xfId="42495" xr:uid="{00000000-0005-0000-0000-0000FFA50000}"/>
    <cellStyle name="强调文字颜色 1 2 3 2 3 4" xfId="42496" xr:uid="{00000000-0005-0000-0000-000000A60000}"/>
    <cellStyle name="强调文字颜色 1 2 3 2 3 4 2" xfId="42497" xr:uid="{00000000-0005-0000-0000-000001A60000}"/>
    <cellStyle name="强调文字颜色 1 2 3 2 4" xfId="42498" xr:uid="{00000000-0005-0000-0000-000002A60000}"/>
    <cellStyle name="强调文字颜色 1 2 3 2 4 2" xfId="42499" xr:uid="{00000000-0005-0000-0000-000003A60000}"/>
    <cellStyle name="强调文字颜色 1 2 3 2 4 2 2" xfId="42500" xr:uid="{00000000-0005-0000-0000-000004A60000}"/>
    <cellStyle name="强调文字颜色 1 2 3 2 4 2 2 2" xfId="42501" xr:uid="{00000000-0005-0000-0000-000005A60000}"/>
    <cellStyle name="强调文字颜色 1 2 3 2 4 3" xfId="42502" xr:uid="{00000000-0005-0000-0000-000006A60000}"/>
    <cellStyle name="强调文字颜色 1 2 3 2 4 3 2" xfId="42503" xr:uid="{00000000-0005-0000-0000-000007A60000}"/>
    <cellStyle name="强调文字颜色 1 2 3 2 5" xfId="42504" xr:uid="{00000000-0005-0000-0000-000008A60000}"/>
    <cellStyle name="强调文字颜色 1 2 3 2 6" xfId="42505" xr:uid="{00000000-0005-0000-0000-000009A60000}"/>
    <cellStyle name="强调文字颜色 1 2 3 2 7" xfId="42506" xr:uid="{00000000-0005-0000-0000-00000AA60000}"/>
    <cellStyle name="强调文字颜色 1 2 3 3" xfId="42507" xr:uid="{00000000-0005-0000-0000-00000BA60000}"/>
    <cellStyle name="强调文字颜色 1 2 3 3 2" xfId="42508" xr:uid="{00000000-0005-0000-0000-00000CA60000}"/>
    <cellStyle name="强调文字颜色 1 2 3 3 2 2" xfId="42509" xr:uid="{00000000-0005-0000-0000-00000DA60000}"/>
    <cellStyle name="强调文字颜色 1 2 3 3 2 3" xfId="42510" xr:uid="{00000000-0005-0000-0000-00000EA60000}"/>
    <cellStyle name="强调文字颜色 1 2 3 3 2 3 2" xfId="42511" xr:uid="{00000000-0005-0000-0000-00000FA60000}"/>
    <cellStyle name="强调文字颜色 1 2 3 3 2 3 2 2" xfId="42512" xr:uid="{00000000-0005-0000-0000-000010A60000}"/>
    <cellStyle name="强调文字颜色 1 2 3 3 2 4" xfId="42513" xr:uid="{00000000-0005-0000-0000-000011A60000}"/>
    <cellStyle name="强调文字颜色 1 2 3 3 2 4 2" xfId="42514" xr:uid="{00000000-0005-0000-0000-000012A60000}"/>
    <cellStyle name="强调文字颜色 1 2 3 3 3" xfId="42515" xr:uid="{00000000-0005-0000-0000-000013A60000}"/>
    <cellStyle name="强调文字颜色 1 2 3 3 3 2" xfId="42516" xr:uid="{00000000-0005-0000-0000-000014A60000}"/>
    <cellStyle name="强调文字颜色 1 2 3 3 3 2 2" xfId="42517" xr:uid="{00000000-0005-0000-0000-000015A60000}"/>
    <cellStyle name="强调文字颜色 1 2 3 3 3 2 2 2" xfId="42518" xr:uid="{00000000-0005-0000-0000-000016A60000}"/>
    <cellStyle name="强调文字颜色 1 2 3 3 3 3" xfId="42519" xr:uid="{00000000-0005-0000-0000-000017A60000}"/>
    <cellStyle name="强调文字颜色 1 2 3 3 3 3 2" xfId="42520" xr:uid="{00000000-0005-0000-0000-000018A60000}"/>
    <cellStyle name="强调文字颜色 1 2 3 3 4" xfId="42521" xr:uid="{00000000-0005-0000-0000-000019A60000}"/>
    <cellStyle name="强调文字颜色 1 2 3 3 5" xfId="42522" xr:uid="{00000000-0005-0000-0000-00001AA60000}"/>
    <cellStyle name="强调文字颜色 1 2 3 3 6" xfId="42523" xr:uid="{00000000-0005-0000-0000-00001BA60000}"/>
    <cellStyle name="强调文字颜色 1 2 3 4" xfId="42524" xr:uid="{00000000-0005-0000-0000-00001CA60000}"/>
    <cellStyle name="强调文字颜色 1 2 3 4 2" xfId="42525" xr:uid="{00000000-0005-0000-0000-00001DA60000}"/>
    <cellStyle name="强调文字颜色 1 2 3 4 2 2" xfId="42526" xr:uid="{00000000-0005-0000-0000-00001EA60000}"/>
    <cellStyle name="强调文字颜色 1 2 3 4 2 3" xfId="42527" xr:uid="{00000000-0005-0000-0000-00001FA60000}"/>
    <cellStyle name="强调文字颜色 1 2 3 4 2 3 2" xfId="42528" xr:uid="{00000000-0005-0000-0000-000020A60000}"/>
    <cellStyle name="强调文字颜色 1 2 3 4 2 3 2 2" xfId="42529" xr:uid="{00000000-0005-0000-0000-000021A60000}"/>
    <cellStyle name="强调文字颜色 1 2 3 4 2 4" xfId="42530" xr:uid="{00000000-0005-0000-0000-000022A60000}"/>
    <cellStyle name="强调文字颜色 1 2 3 4 2 4 2" xfId="42531" xr:uid="{00000000-0005-0000-0000-000023A60000}"/>
    <cellStyle name="强调文字颜色 1 2 3 4 3" xfId="42532" xr:uid="{00000000-0005-0000-0000-000024A60000}"/>
    <cellStyle name="强调文字颜色 1 2 3 4 4" xfId="42533" xr:uid="{00000000-0005-0000-0000-000025A60000}"/>
    <cellStyle name="强调文字颜色 1 2 3 4 5" xfId="42534" xr:uid="{00000000-0005-0000-0000-000026A60000}"/>
    <cellStyle name="强调文字颜色 1 2 3 4 6" xfId="42535" xr:uid="{00000000-0005-0000-0000-000027A60000}"/>
    <cellStyle name="强调文字颜色 1 2 3 5" xfId="42536" xr:uid="{00000000-0005-0000-0000-000028A60000}"/>
    <cellStyle name="强调文字颜色 1 2 3 5 2" xfId="42537" xr:uid="{00000000-0005-0000-0000-000029A60000}"/>
    <cellStyle name="强调文字颜色 1 2 3 5 2 2" xfId="42538" xr:uid="{00000000-0005-0000-0000-00002AA60000}"/>
    <cellStyle name="强调文字颜色 1 2 3 5 2 2 2" xfId="42539" xr:uid="{00000000-0005-0000-0000-00002BA60000}"/>
    <cellStyle name="强调文字颜色 1 2 3 5 2 2 2 2" xfId="42540" xr:uid="{00000000-0005-0000-0000-00002CA60000}"/>
    <cellStyle name="强调文字颜色 1 2 3 5 2 3" xfId="42541" xr:uid="{00000000-0005-0000-0000-00002DA60000}"/>
    <cellStyle name="强调文字颜色 1 2 3 5 2 3 2" xfId="42542" xr:uid="{00000000-0005-0000-0000-00002EA60000}"/>
    <cellStyle name="强调文字颜色 1 2 3 5 3" xfId="42543" xr:uid="{00000000-0005-0000-0000-00002FA60000}"/>
    <cellStyle name="强调文字颜色 1 2 3 5 3 2" xfId="42544" xr:uid="{00000000-0005-0000-0000-000030A60000}"/>
    <cellStyle name="强调文字颜色 1 2 3 5 3 2 2" xfId="42545" xr:uid="{00000000-0005-0000-0000-000031A60000}"/>
    <cellStyle name="强调文字颜色 1 2 3 5 4" xfId="42546" xr:uid="{00000000-0005-0000-0000-000032A60000}"/>
    <cellStyle name="强调文字颜色 1 2 3 5 4 2" xfId="42547" xr:uid="{00000000-0005-0000-0000-000033A60000}"/>
    <cellStyle name="强调文字颜色 1 2 3 6" xfId="42548" xr:uid="{00000000-0005-0000-0000-000034A60000}"/>
    <cellStyle name="强调文字颜色 1 2 3 6 2" xfId="42549" xr:uid="{00000000-0005-0000-0000-000035A60000}"/>
    <cellStyle name="强调文字颜色 1 2 3 6 2 2" xfId="42550" xr:uid="{00000000-0005-0000-0000-000036A60000}"/>
    <cellStyle name="强调文字颜色 1 2 3 6 2 2 2" xfId="42551" xr:uid="{00000000-0005-0000-0000-000037A60000}"/>
    <cellStyle name="强调文字颜色 1 2 3 6 3" xfId="42552" xr:uid="{00000000-0005-0000-0000-000038A60000}"/>
    <cellStyle name="强调文字颜色 1 2 3 6 3 2" xfId="42553" xr:uid="{00000000-0005-0000-0000-000039A60000}"/>
    <cellStyle name="强调文字颜色 1 2 3 7" xfId="42554" xr:uid="{00000000-0005-0000-0000-00003AA60000}"/>
    <cellStyle name="强调文字颜色 1 2 3 7 2" xfId="42555" xr:uid="{00000000-0005-0000-0000-00003BA60000}"/>
    <cellStyle name="强调文字颜色 1 2 3 7 2 2" xfId="42556" xr:uid="{00000000-0005-0000-0000-00003CA60000}"/>
    <cellStyle name="强调文字颜色 1 2 3 7 2 2 2" xfId="42557" xr:uid="{00000000-0005-0000-0000-00003DA60000}"/>
    <cellStyle name="强调文字颜色 1 2 3 7 3" xfId="42558" xr:uid="{00000000-0005-0000-0000-00003EA60000}"/>
    <cellStyle name="强调文字颜色 1 2 3 7 3 2" xfId="42559" xr:uid="{00000000-0005-0000-0000-00003FA60000}"/>
    <cellStyle name="强调文字颜色 1 2 3 8" xfId="42560" xr:uid="{00000000-0005-0000-0000-000040A60000}"/>
    <cellStyle name="强调文字颜色 1 2 3 9" xfId="42561" xr:uid="{00000000-0005-0000-0000-000041A60000}"/>
    <cellStyle name="强调文字颜色 1 2 4" xfId="42562" xr:uid="{00000000-0005-0000-0000-000042A60000}"/>
    <cellStyle name="强调文字颜色 1 2 4 2" xfId="42563" xr:uid="{00000000-0005-0000-0000-000043A60000}"/>
    <cellStyle name="强调文字颜色 1 2 4 2 2" xfId="42564" xr:uid="{00000000-0005-0000-0000-000044A60000}"/>
    <cellStyle name="强调文字颜色 1 2 4 2 3" xfId="42565" xr:uid="{00000000-0005-0000-0000-000045A60000}"/>
    <cellStyle name="强调文字颜色 1 2 4 2 3 2" xfId="42566" xr:uid="{00000000-0005-0000-0000-000046A60000}"/>
    <cellStyle name="强调文字颜色 1 2 4 2 3 2 2" xfId="42567" xr:uid="{00000000-0005-0000-0000-000047A60000}"/>
    <cellStyle name="强调文字颜色 1 2 4 2 4" xfId="42568" xr:uid="{00000000-0005-0000-0000-000048A60000}"/>
    <cellStyle name="强调文字颜色 1 2 4 2 4 2" xfId="42569" xr:uid="{00000000-0005-0000-0000-000049A60000}"/>
    <cellStyle name="强调文字颜色 1 2 4 3" xfId="42570" xr:uid="{00000000-0005-0000-0000-00004AA60000}"/>
    <cellStyle name="强调文字颜色 1 2 4 3 2" xfId="42571" xr:uid="{00000000-0005-0000-0000-00004BA60000}"/>
    <cellStyle name="强调文字颜色 1 2 4 3 2 2" xfId="42572" xr:uid="{00000000-0005-0000-0000-00004CA60000}"/>
    <cellStyle name="强调文字颜色 1 2 4 3 2 2 2" xfId="42573" xr:uid="{00000000-0005-0000-0000-00004DA60000}"/>
    <cellStyle name="强调文字颜色 1 2 4 3 3" xfId="42574" xr:uid="{00000000-0005-0000-0000-00004EA60000}"/>
    <cellStyle name="强调文字颜色 1 2 4 3 3 2" xfId="42575" xr:uid="{00000000-0005-0000-0000-00004FA60000}"/>
    <cellStyle name="强调文字颜色 1 2 4 4" xfId="42576" xr:uid="{00000000-0005-0000-0000-000050A60000}"/>
    <cellStyle name="强调文字颜色 1 2 4 5" xfId="42577" xr:uid="{00000000-0005-0000-0000-000051A60000}"/>
    <cellStyle name="强调文字颜色 1 2 4 6" xfId="42578" xr:uid="{00000000-0005-0000-0000-000052A60000}"/>
    <cellStyle name="强调文字颜色 1 2 5" xfId="42579" xr:uid="{00000000-0005-0000-0000-000053A60000}"/>
    <cellStyle name="强调文字颜色 1 2 5 2" xfId="42580" xr:uid="{00000000-0005-0000-0000-000054A60000}"/>
    <cellStyle name="强调文字颜色 1 2 5 2 2" xfId="42581" xr:uid="{00000000-0005-0000-0000-000055A60000}"/>
    <cellStyle name="强调文字颜色 1 2 5 2 3" xfId="42582" xr:uid="{00000000-0005-0000-0000-000056A60000}"/>
    <cellStyle name="强调文字颜色 1 2 5 2 3 2" xfId="42583" xr:uid="{00000000-0005-0000-0000-000057A60000}"/>
    <cellStyle name="强调文字颜色 1 2 5 2 3 2 2" xfId="42584" xr:uid="{00000000-0005-0000-0000-000058A60000}"/>
    <cellStyle name="强调文字颜色 1 2 5 2 4" xfId="42585" xr:uid="{00000000-0005-0000-0000-000059A60000}"/>
    <cellStyle name="强调文字颜色 1 2 5 2 4 2" xfId="42586" xr:uid="{00000000-0005-0000-0000-00005AA60000}"/>
    <cellStyle name="强调文字颜色 1 2 5 3" xfId="42587" xr:uid="{00000000-0005-0000-0000-00005BA60000}"/>
    <cellStyle name="强调文字颜色 1 2 5 4" xfId="42588" xr:uid="{00000000-0005-0000-0000-00005CA60000}"/>
    <cellStyle name="强调文字颜色 1 2 5 5" xfId="42589" xr:uid="{00000000-0005-0000-0000-00005DA60000}"/>
    <cellStyle name="强调文字颜色 1 2 5 6" xfId="42590" xr:uid="{00000000-0005-0000-0000-00005EA60000}"/>
    <cellStyle name="强调文字颜色 1 2 6" xfId="42591" xr:uid="{00000000-0005-0000-0000-00005FA60000}"/>
    <cellStyle name="强调文字颜色 1 2 6 2" xfId="42592" xr:uid="{00000000-0005-0000-0000-000060A60000}"/>
    <cellStyle name="强调文字颜色 1 2 6 2 2" xfId="42593" xr:uid="{00000000-0005-0000-0000-000061A60000}"/>
    <cellStyle name="强调文字颜色 1 2 6 2 2 2" xfId="42594" xr:uid="{00000000-0005-0000-0000-000062A60000}"/>
    <cellStyle name="强调文字颜色 1 2 6 2 2 2 2" xfId="42595" xr:uid="{00000000-0005-0000-0000-000063A60000}"/>
    <cellStyle name="强调文字颜色 1 2 6 2 3" xfId="42596" xr:uid="{00000000-0005-0000-0000-000064A60000}"/>
    <cellStyle name="强调文字颜色 1 2 6 2 3 2" xfId="42597" xr:uid="{00000000-0005-0000-0000-000065A60000}"/>
    <cellStyle name="强调文字颜色 1 2 6 3" xfId="42598" xr:uid="{00000000-0005-0000-0000-000066A60000}"/>
    <cellStyle name="强调文字颜色 1 2 6 3 2" xfId="42599" xr:uid="{00000000-0005-0000-0000-000067A60000}"/>
    <cellStyle name="强调文字颜色 1 2 6 3 2 2" xfId="42600" xr:uid="{00000000-0005-0000-0000-000068A60000}"/>
    <cellStyle name="强调文字颜色 1 2 6 4" xfId="42601" xr:uid="{00000000-0005-0000-0000-000069A60000}"/>
    <cellStyle name="强调文字颜色 1 2 6 4 2" xfId="42602" xr:uid="{00000000-0005-0000-0000-00006AA60000}"/>
    <cellStyle name="强调文字颜色 1 2 7" xfId="42603" xr:uid="{00000000-0005-0000-0000-00006BA60000}"/>
    <cellStyle name="强调文字颜色 1 2 7 2" xfId="42604" xr:uid="{00000000-0005-0000-0000-00006CA60000}"/>
    <cellStyle name="强调文字颜色 1 2 7 2 2" xfId="42605" xr:uid="{00000000-0005-0000-0000-00006DA60000}"/>
    <cellStyle name="强调文字颜色 1 2 7 2 2 2" xfId="42606" xr:uid="{00000000-0005-0000-0000-00006EA60000}"/>
    <cellStyle name="强调文字颜色 1 2 7 2 2 2 2" xfId="42607" xr:uid="{00000000-0005-0000-0000-00006FA60000}"/>
    <cellStyle name="强调文字颜色 1 2 7 2 3" xfId="42608" xr:uid="{00000000-0005-0000-0000-000070A60000}"/>
    <cellStyle name="强调文字颜色 1 2 7 2 3 2" xfId="42609" xr:uid="{00000000-0005-0000-0000-000071A60000}"/>
    <cellStyle name="强调文字颜色 1 2 7 3" xfId="42610" xr:uid="{00000000-0005-0000-0000-000072A60000}"/>
    <cellStyle name="强调文字颜色 1 2 7 3 2" xfId="42611" xr:uid="{00000000-0005-0000-0000-000073A60000}"/>
    <cellStyle name="强调文字颜色 1 2 7 3 2 2" xfId="42612" xr:uid="{00000000-0005-0000-0000-000074A60000}"/>
    <cellStyle name="强调文字颜色 1 2 7 4" xfId="42613" xr:uid="{00000000-0005-0000-0000-000075A60000}"/>
    <cellStyle name="强调文字颜色 1 2 7 4 2" xfId="42614" xr:uid="{00000000-0005-0000-0000-000076A60000}"/>
    <cellStyle name="强调文字颜色 1 2 8" xfId="42615" xr:uid="{00000000-0005-0000-0000-000077A60000}"/>
    <cellStyle name="强调文字颜色 1 2 8 2" xfId="42616" xr:uid="{00000000-0005-0000-0000-000078A60000}"/>
    <cellStyle name="强调文字颜色 1 2 8 2 2" xfId="42617" xr:uid="{00000000-0005-0000-0000-000079A60000}"/>
    <cellStyle name="强调文字颜色 1 2 8 2 2 2" xfId="42618" xr:uid="{00000000-0005-0000-0000-00007AA60000}"/>
    <cellStyle name="强调文字颜色 1 2 8 2 2 2 2" xfId="42619" xr:uid="{00000000-0005-0000-0000-00007BA60000}"/>
    <cellStyle name="强调文字颜色 1 2 8 2 3" xfId="42620" xr:uid="{00000000-0005-0000-0000-00007CA60000}"/>
    <cellStyle name="强调文字颜色 1 2 8 2 3 2" xfId="42621" xr:uid="{00000000-0005-0000-0000-00007DA60000}"/>
    <cellStyle name="强调文字颜色 1 2 8 3" xfId="42622" xr:uid="{00000000-0005-0000-0000-00007EA60000}"/>
    <cellStyle name="强调文字颜色 1 2 8 3 2" xfId="42623" xr:uid="{00000000-0005-0000-0000-00007FA60000}"/>
    <cellStyle name="强调文字颜色 1 2 8 3 2 2" xfId="42624" xr:uid="{00000000-0005-0000-0000-000080A60000}"/>
    <cellStyle name="强调文字颜色 1 2 8 4" xfId="42625" xr:uid="{00000000-0005-0000-0000-000081A60000}"/>
    <cellStyle name="强调文字颜色 1 2 8 4 2" xfId="42626" xr:uid="{00000000-0005-0000-0000-000082A60000}"/>
    <cellStyle name="强调文字颜色 1 2 9" xfId="42627" xr:uid="{00000000-0005-0000-0000-000083A60000}"/>
    <cellStyle name="强调文字颜色 1 2 9 2" xfId="42628" xr:uid="{00000000-0005-0000-0000-000084A60000}"/>
    <cellStyle name="强调文字颜色 1 2 9 2 2" xfId="42629" xr:uid="{00000000-0005-0000-0000-000085A60000}"/>
    <cellStyle name="强调文字颜色 1 2 9 2 2 2" xfId="42630" xr:uid="{00000000-0005-0000-0000-000086A60000}"/>
    <cellStyle name="强调文字颜色 1 2 9 3" xfId="42631" xr:uid="{00000000-0005-0000-0000-000087A60000}"/>
    <cellStyle name="强调文字颜色 1 2 9 3 2" xfId="42632" xr:uid="{00000000-0005-0000-0000-000088A60000}"/>
    <cellStyle name="强调文字颜色 1 3" xfId="42633" xr:uid="{00000000-0005-0000-0000-000089A60000}"/>
    <cellStyle name="强调文字颜色 1 3 2" xfId="42634" xr:uid="{00000000-0005-0000-0000-00008AA60000}"/>
    <cellStyle name="强调文字颜色 1 3 2 2" xfId="42635" xr:uid="{00000000-0005-0000-0000-00008BA60000}"/>
    <cellStyle name="强调文字颜色 1 3 2 2 2" xfId="42636" xr:uid="{00000000-0005-0000-0000-00008CA60000}"/>
    <cellStyle name="强调文字颜色 1 3 2 2 2 2" xfId="42637" xr:uid="{00000000-0005-0000-0000-00008DA60000}"/>
    <cellStyle name="强调文字颜色 1 3 2 2 2 3" xfId="42638" xr:uid="{00000000-0005-0000-0000-00008EA60000}"/>
    <cellStyle name="强调文字颜色 1 3 2 2 2 3 2" xfId="42639" xr:uid="{00000000-0005-0000-0000-00008FA60000}"/>
    <cellStyle name="强调文字颜色 1 3 2 2 2 3 2 2" xfId="42640" xr:uid="{00000000-0005-0000-0000-000090A60000}"/>
    <cellStyle name="强调文字颜色 1 3 2 2 2 4" xfId="42641" xr:uid="{00000000-0005-0000-0000-000091A60000}"/>
    <cellStyle name="强调文字颜色 1 3 2 2 2 4 2" xfId="42642" xr:uid="{00000000-0005-0000-0000-000092A60000}"/>
    <cellStyle name="强调文字颜色 1 3 2 2 3" xfId="42643" xr:uid="{00000000-0005-0000-0000-000093A60000}"/>
    <cellStyle name="强调文字颜色 1 3 2 2 3 2" xfId="42644" xr:uid="{00000000-0005-0000-0000-000094A60000}"/>
    <cellStyle name="强调文字颜色 1 3 2 2 3 2 2" xfId="42645" xr:uid="{00000000-0005-0000-0000-000095A60000}"/>
    <cellStyle name="强调文字颜色 1 3 2 2 3 2 2 2" xfId="42646" xr:uid="{00000000-0005-0000-0000-000096A60000}"/>
    <cellStyle name="强调文字颜色 1 3 2 2 3 3" xfId="42647" xr:uid="{00000000-0005-0000-0000-000097A60000}"/>
    <cellStyle name="强调文字颜色 1 3 2 2 3 3 2" xfId="42648" xr:uid="{00000000-0005-0000-0000-000098A60000}"/>
    <cellStyle name="强调文字颜色 1 3 2 2 4" xfId="42649" xr:uid="{00000000-0005-0000-0000-000099A60000}"/>
    <cellStyle name="强调文字颜色 1 3 2 2 5" xfId="42650" xr:uid="{00000000-0005-0000-0000-00009AA60000}"/>
    <cellStyle name="强调文字颜色 1 3 2 2 6" xfId="42651" xr:uid="{00000000-0005-0000-0000-00009BA60000}"/>
    <cellStyle name="强调文字颜色 1 3 2 3" xfId="42652" xr:uid="{00000000-0005-0000-0000-00009CA60000}"/>
    <cellStyle name="强调文字颜色 1 3 2 3 2" xfId="42653" xr:uid="{00000000-0005-0000-0000-00009DA60000}"/>
    <cellStyle name="强调文字颜色 1 3 2 3 3" xfId="42654" xr:uid="{00000000-0005-0000-0000-00009EA60000}"/>
    <cellStyle name="强调文字颜色 1 3 2 3 3 2" xfId="42655" xr:uid="{00000000-0005-0000-0000-00009FA60000}"/>
    <cellStyle name="强调文字颜色 1 3 2 3 3 2 2" xfId="42656" xr:uid="{00000000-0005-0000-0000-0000A0A60000}"/>
    <cellStyle name="强调文字颜色 1 3 2 3 4" xfId="42657" xr:uid="{00000000-0005-0000-0000-0000A1A60000}"/>
    <cellStyle name="强调文字颜色 1 3 2 3 4 2" xfId="42658" xr:uid="{00000000-0005-0000-0000-0000A2A60000}"/>
    <cellStyle name="强调文字颜色 1 3 2 4" xfId="42659" xr:uid="{00000000-0005-0000-0000-0000A3A60000}"/>
    <cellStyle name="强调文字颜色 1 3 2 4 2" xfId="42660" xr:uid="{00000000-0005-0000-0000-0000A4A60000}"/>
    <cellStyle name="强调文字颜色 1 3 2 4 2 2" xfId="42661" xr:uid="{00000000-0005-0000-0000-0000A5A60000}"/>
    <cellStyle name="强调文字颜色 1 3 2 4 2 2 2" xfId="42662" xr:uid="{00000000-0005-0000-0000-0000A6A60000}"/>
    <cellStyle name="强调文字颜色 1 3 2 4 3" xfId="42663" xr:uid="{00000000-0005-0000-0000-0000A7A60000}"/>
    <cellStyle name="强调文字颜色 1 3 2 4 3 2" xfId="42664" xr:uid="{00000000-0005-0000-0000-0000A8A60000}"/>
    <cellStyle name="强调文字颜色 1 3 2 5" xfId="42665" xr:uid="{00000000-0005-0000-0000-0000A9A60000}"/>
    <cellStyle name="强调文字颜色 1 3 2 6" xfId="42666" xr:uid="{00000000-0005-0000-0000-0000AAA60000}"/>
    <cellStyle name="强调文字颜色 1 3 2 7" xfId="42667" xr:uid="{00000000-0005-0000-0000-0000ABA60000}"/>
    <cellStyle name="强调文字颜色 1 3 3" xfId="42668" xr:uid="{00000000-0005-0000-0000-0000ACA60000}"/>
    <cellStyle name="强调文字颜色 1 3 3 2" xfId="42669" xr:uid="{00000000-0005-0000-0000-0000ADA60000}"/>
    <cellStyle name="强调文字颜色 1 3 3 2 2" xfId="42670" xr:uid="{00000000-0005-0000-0000-0000AEA60000}"/>
    <cellStyle name="强调文字颜色 1 3 3 2 3" xfId="42671" xr:uid="{00000000-0005-0000-0000-0000AFA60000}"/>
    <cellStyle name="强调文字颜色 1 3 3 2 3 2" xfId="42672" xr:uid="{00000000-0005-0000-0000-0000B0A60000}"/>
    <cellStyle name="强调文字颜色 1 3 3 2 3 2 2" xfId="42673" xr:uid="{00000000-0005-0000-0000-0000B1A60000}"/>
    <cellStyle name="强调文字颜色 1 3 3 2 4" xfId="42674" xr:uid="{00000000-0005-0000-0000-0000B2A60000}"/>
    <cellStyle name="强调文字颜色 1 3 3 2 4 2" xfId="42675" xr:uid="{00000000-0005-0000-0000-0000B3A60000}"/>
    <cellStyle name="强调文字颜色 1 3 3 3" xfId="42676" xr:uid="{00000000-0005-0000-0000-0000B4A60000}"/>
    <cellStyle name="强调文字颜色 1 3 3 3 2" xfId="42677" xr:uid="{00000000-0005-0000-0000-0000B5A60000}"/>
    <cellStyle name="强调文字颜色 1 3 3 3 2 2" xfId="42678" xr:uid="{00000000-0005-0000-0000-0000B6A60000}"/>
    <cellStyle name="强调文字颜色 1 3 3 3 2 2 2" xfId="42679" xr:uid="{00000000-0005-0000-0000-0000B7A60000}"/>
    <cellStyle name="强调文字颜色 1 3 3 3 3" xfId="42680" xr:uid="{00000000-0005-0000-0000-0000B8A60000}"/>
    <cellStyle name="强调文字颜色 1 3 3 3 3 2" xfId="42681" xr:uid="{00000000-0005-0000-0000-0000B9A60000}"/>
    <cellStyle name="强调文字颜色 1 3 3 4" xfId="42682" xr:uid="{00000000-0005-0000-0000-0000BAA60000}"/>
    <cellStyle name="强调文字颜色 1 3 3 5" xfId="42683" xr:uid="{00000000-0005-0000-0000-0000BBA60000}"/>
    <cellStyle name="强调文字颜色 1 3 3 6" xfId="42684" xr:uid="{00000000-0005-0000-0000-0000BCA60000}"/>
    <cellStyle name="强调文字颜色 1 3 4" xfId="42685" xr:uid="{00000000-0005-0000-0000-0000BDA60000}"/>
    <cellStyle name="强调文字颜色 1 3 4 2" xfId="42686" xr:uid="{00000000-0005-0000-0000-0000BEA60000}"/>
    <cellStyle name="强调文字颜色 1 3 4 2 2" xfId="42687" xr:uid="{00000000-0005-0000-0000-0000BFA60000}"/>
    <cellStyle name="强调文字颜色 1 3 4 2 3" xfId="42688" xr:uid="{00000000-0005-0000-0000-0000C0A60000}"/>
    <cellStyle name="强调文字颜色 1 3 4 2 3 2" xfId="42689" xr:uid="{00000000-0005-0000-0000-0000C1A60000}"/>
    <cellStyle name="强调文字颜色 1 3 4 2 3 2 2" xfId="42690" xr:uid="{00000000-0005-0000-0000-0000C2A60000}"/>
    <cellStyle name="强调文字颜色 1 3 4 2 4" xfId="42691" xr:uid="{00000000-0005-0000-0000-0000C3A60000}"/>
    <cellStyle name="强调文字颜色 1 3 4 2 4 2" xfId="42692" xr:uid="{00000000-0005-0000-0000-0000C4A60000}"/>
    <cellStyle name="强调文字颜色 1 3 4 3" xfId="42693" xr:uid="{00000000-0005-0000-0000-0000C5A60000}"/>
    <cellStyle name="强调文字颜色 1 3 4 4" xfId="42694" xr:uid="{00000000-0005-0000-0000-0000C6A60000}"/>
    <cellStyle name="强调文字颜色 1 3 4 5" xfId="42695" xr:uid="{00000000-0005-0000-0000-0000C7A60000}"/>
    <cellStyle name="强调文字颜色 1 3 4 6" xfId="42696" xr:uid="{00000000-0005-0000-0000-0000C8A60000}"/>
    <cellStyle name="强调文字颜色 1 3 5" xfId="42697" xr:uid="{00000000-0005-0000-0000-0000C9A60000}"/>
    <cellStyle name="强调文字颜色 1 3 5 2" xfId="42698" xr:uid="{00000000-0005-0000-0000-0000CAA60000}"/>
    <cellStyle name="强调文字颜色 1 3 5 2 2" xfId="42699" xr:uid="{00000000-0005-0000-0000-0000CBA60000}"/>
    <cellStyle name="强调文字颜色 1 3 5 2 2 2" xfId="42700" xr:uid="{00000000-0005-0000-0000-0000CCA60000}"/>
    <cellStyle name="强调文字颜色 1 3 5 2 2 2 2" xfId="42701" xr:uid="{00000000-0005-0000-0000-0000CDA60000}"/>
    <cellStyle name="强调文字颜色 1 3 5 2 3" xfId="42702" xr:uid="{00000000-0005-0000-0000-0000CEA60000}"/>
    <cellStyle name="强调文字颜色 1 3 5 2 3 2" xfId="42703" xr:uid="{00000000-0005-0000-0000-0000CFA60000}"/>
    <cellStyle name="强调文字颜色 1 3 5 3" xfId="42704" xr:uid="{00000000-0005-0000-0000-0000D0A60000}"/>
    <cellStyle name="强调文字颜色 1 3 5 3 2" xfId="42705" xr:uid="{00000000-0005-0000-0000-0000D1A60000}"/>
    <cellStyle name="强调文字颜色 1 3 5 3 2 2" xfId="42706" xr:uid="{00000000-0005-0000-0000-0000D2A60000}"/>
    <cellStyle name="强调文字颜色 1 3 5 4" xfId="42707" xr:uid="{00000000-0005-0000-0000-0000D3A60000}"/>
    <cellStyle name="强调文字颜色 1 3 5 4 2" xfId="42708" xr:uid="{00000000-0005-0000-0000-0000D4A60000}"/>
    <cellStyle name="强调文字颜色 1 3 6" xfId="42709" xr:uid="{00000000-0005-0000-0000-0000D5A60000}"/>
    <cellStyle name="强调文字颜色 1 3 6 2" xfId="42710" xr:uid="{00000000-0005-0000-0000-0000D6A60000}"/>
    <cellStyle name="强调文字颜色 1 3 6 2 2" xfId="42711" xr:uid="{00000000-0005-0000-0000-0000D7A60000}"/>
    <cellStyle name="强调文字颜色 1 3 6 2 2 2" xfId="42712" xr:uid="{00000000-0005-0000-0000-0000D8A60000}"/>
    <cellStyle name="强调文字颜色 1 3 6 3" xfId="42713" xr:uid="{00000000-0005-0000-0000-0000D9A60000}"/>
    <cellStyle name="强调文字颜色 1 3 6 3 2" xfId="42714" xr:uid="{00000000-0005-0000-0000-0000DAA60000}"/>
    <cellStyle name="强调文字颜色 1 3 7" xfId="42715" xr:uid="{00000000-0005-0000-0000-0000DBA60000}"/>
    <cellStyle name="强调文字颜色 1 3 8" xfId="42716" xr:uid="{00000000-0005-0000-0000-0000DCA60000}"/>
    <cellStyle name="强调文字颜色 2 2" xfId="42717" xr:uid="{00000000-0005-0000-0000-0000DDA60000}"/>
    <cellStyle name="强调文字颜色 2 2 10" xfId="42718" xr:uid="{00000000-0005-0000-0000-0000DEA60000}"/>
    <cellStyle name="强调文字颜色 2 2 11" xfId="42719" xr:uid="{00000000-0005-0000-0000-0000DFA60000}"/>
    <cellStyle name="强调文字颜色 2 2 2" xfId="42720" xr:uid="{00000000-0005-0000-0000-0000E0A60000}"/>
    <cellStyle name="强调文字颜色 2 2 2 10" xfId="42721" xr:uid="{00000000-0005-0000-0000-0000E1A60000}"/>
    <cellStyle name="强调文字颜色 2 2 2 11" xfId="42722" xr:uid="{00000000-0005-0000-0000-0000E2A60000}"/>
    <cellStyle name="强调文字颜色 2 2 2 2" xfId="42723" xr:uid="{00000000-0005-0000-0000-0000E3A60000}"/>
    <cellStyle name="强调文字颜色 2 2 2 2 2" xfId="42724" xr:uid="{00000000-0005-0000-0000-0000E4A60000}"/>
    <cellStyle name="强调文字颜色 2 2 2 2 2 2" xfId="42725" xr:uid="{00000000-0005-0000-0000-0000E5A60000}"/>
    <cellStyle name="强调文字颜色 2 2 2 2 2 2 2" xfId="42726" xr:uid="{00000000-0005-0000-0000-0000E6A60000}"/>
    <cellStyle name="强调文字颜色 2 2 2 2 2 2 3" xfId="42727" xr:uid="{00000000-0005-0000-0000-0000E7A60000}"/>
    <cellStyle name="强调文字颜色 2 2 2 2 2 2 3 2" xfId="42728" xr:uid="{00000000-0005-0000-0000-0000E8A60000}"/>
    <cellStyle name="强调文字颜色 2 2 2 2 2 2 3 2 2" xfId="42729" xr:uid="{00000000-0005-0000-0000-0000E9A60000}"/>
    <cellStyle name="强调文字颜色 2 2 2 2 2 2 4" xfId="42730" xr:uid="{00000000-0005-0000-0000-0000EAA60000}"/>
    <cellStyle name="强调文字颜色 2 2 2 2 2 2 4 2" xfId="42731" xr:uid="{00000000-0005-0000-0000-0000EBA60000}"/>
    <cellStyle name="强调文字颜色 2 2 2 2 2 3" xfId="42732" xr:uid="{00000000-0005-0000-0000-0000ECA60000}"/>
    <cellStyle name="强调文字颜色 2 2 2 2 2 3 2" xfId="42733" xr:uid="{00000000-0005-0000-0000-0000EDA60000}"/>
    <cellStyle name="强调文字颜色 2 2 2 2 2 3 2 2" xfId="42734" xr:uid="{00000000-0005-0000-0000-0000EEA60000}"/>
    <cellStyle name="强调文字颜色 2 2 2 2 2 3 2 2 2" xfId="42735" xr:uid="{00000000-0005-0000-0000-0000EFA60000}"/>
    <cellStyle name="强调文字颜色 2 2 2 2 2 3 3" xfId="42736" xr:uid="{00000000-0005-0000-0000-0000F0A60000}"/>
    <cellStyle name="强调文字颜色 2 2 2 2 2 3 3 2" xfId="42737" xr:uid="{00000000-0005-0000-0000-0000F1A60000}"/>
    <cellStyle name="强调文字颜色 2 2 2 2 2 4" xfId="42738" xr:uid="{00000000-0005-0000-0000-0000F2A60000}"/>
    <cellStyle name="强调文字颜色 2 2 2 2 2 5" xfId="42739" xr:uid="{00000000-0005-0000-0000-0000F3A60000}"/>
    <cellStyle name="强调文字颜色 2 2 2 2 2 6" xfId="42740" xr:uid="{00000000-0005-0000-0000-0000F4A60000}"/>
    <cellStyle name="强调文字颜色 2 2 2 2 3" xfId="42741" xr:uid="{00000000-0005-0000-0000-0000F5A60000}"/>
    <cellStyle name="强调文字颜色 2 2 2 2 3 2" xfId="42742" xr:uid="{00000000-0005-0000-0000-0000F6A60000}"/>
    <cellStyle name="强调文字颜色 2 2 2 2 3 3" xfId="42743" xr:uid="{00000000-0005-0000-0000-0000F7A60000}"/>
    <cellStyle name="强调文字颜色 2 2 2 2 3 3 2" xfId="42744" xr:uid="{00000000-0005-0000-0000-0000F8A60000}"/>
    <cellStyle name="强调文字颜色 2 2 2 2 3 3 2 2" xfId="42745" xr:uid="{00000000-0005-0000-0000-0000F9A60000}"/>
    <cellStyle name="强调文字颜色 2 2 2 2 3 4" xfId="42746" xr:uid="{00000000-0005-0000-0000-0000FAA60000}"/>
    <cellStyle name="强调文字颜色 2 2 2 2 3 4 2" xfId="42747" xr:uid="{00000000-0005-0000-0000-0000FBA60000}"/>
    <cellStyle name="强调文字颜色 2 2 2 2 4" xfId="42748" xr:uid="{00000000-0005-0000-0000-0000FCA60000}"/>
    <cellStyle name="强调文字颜色 2 2 2 2 4 2" xfId="42749" xr:uid="{00000000-0005-0000-0000-0000FDA60000}"/>
    <cellStyle name="强调文字颜色 2 2 2 2 4 2 2" xfId="42750" xr:uid="{00000000-0005-0000-0000-0000FEA60000}"/>
    <cellStyle name="强调文字颜色 2 2 2 2 4 2 2 2" xfId="42751" xr:uid="{00000000-0005-0000-0000-0000FFA60000}"/>
    <cellStyle name="强调文字颜色 2 2 2 2 4 3" xfId="42752" xr:uid="{00000000-0005-0000-0000-000000A70000}"/>
    <cellStyle name="强调文字颜色 2 2 2 2 4 3 2" xfId="42753" xr:uid="{00000000-0005-0000-0000-000001A70000}"/>
    <cellStyle name="强调文字颜色 2 2 2 2 5" xfId="42754" xr:uid="{00000000-0005-0000-0000-000002A70000}"/>
    <cellStyle name="强调文字颜色 2 2 2 2 6" xfId="42755" xr:uid="{00000000-0005-0000-0000-000003A70000}"/>
    <cellStyle name="强调文字颜色 2 2 2 2 7" xfId="42756" xr:uid="{00000000-0005-0000-0000-000004A70000}"/>
    <cellStyle name="强调文字颜色 2 2 2 3" xfId="42757" xr:uid="{00000000-0005-0000-0000-000005A70000}"/>
    <cellStyle name="强调文字颜色 2 2 2 3 2" xfId="42758" xr:uid="{00000000-0005-0000-0000-000006A70000}"/>
    <cellStyle name="强调文字颜色 2 2 2 3 2 2" xfId="42759" xr:uid="{00000000-0005-0000-0000-000007A70000}"/>
    <cellStyle name="强调文字颜色 2 2 2 3 2 3" xfId="42760" xr:uid="{00000000-0005-0000-0000-000008A70000}"/>
    <cellStyle name="强调文字颜色 2 2 2 3 2 3 2" xfId="42761" xr:uid="{00000000-0005-0000-0000-000009A70000}"/>
    <cellStyle name="强调文字颜色 2 2 2 3 2 3 2 2" xfId="42762" xr:uid="{00000000-0005-0000-0000-00000AA70000}"/>
    <cellStyle name="强调文字颜色 2 2 2 3 2 4" xfId="42763" xr:uid="{00000000-0005-0000-0000-00000BA70000}"/>
    <cellStyle name="强调文字颜色 2 2 2 3 2 4 2" xfId="42764" xr:uid="{00000000-0005-0000-0000-00000CA70000}"/>
    <cellStyle name="强调文字颜色 2 2 2 3 3" xfId="42765" xr:uid="{00000000-0005-0000-0000-00000DA70000}"/>
    <cellStyle name="强调文字颜色 2 2 2 3 3 2" xfId="42766" xr:uid="{00000000-0005-0000-0000-00000EA70000}"/>
    <cellStyle name="强调文字颜色 2 2 2 3 3 2 2" xfId="42767" xr:uid="{00000000-0005-0000-0000-00000FA70000}"/>
    <cellStyle name="强调文字颜色 2 2 2 3 3 2 2 2" xfId="42768" xr:uid="{00000000-0005-0000-0000-000010A70000}"/>
    <cellStyle name="强调文字颜色 2 2 2 3 3 3" xfId="42769" xr:uid="{00000000-0005-0000-0000-000011A70000}"/>
    <cellStyle name="强调文字颜色 2 2 2 3 3 3 2" xfId="42770" xr:uid="{00000000-0005-0000-0000-000012A70000}"/>
    <cellStyle name="强调文字颜色 2 2 2 3 4" xfId="42771" xr:uid="{00000000-0005-0000-0000-000013A70000}"/>
    <cellStyle name="强调文字颜色 2 2 2 3 5" xfId="42772" xr:uid="{00000000-0005-0000-0000-000014A70000}"/>
    <cellStyle name="强调文字颜色 2 2 2 3 6" xfId="42773" xr:uid="{00000000-0005-0000-0000-000015A70000}"/>
    <cellStyle name="强调文字颜色 2 2 2 4" xfId="42774" xr:uid="{00000000-0005-0000-0000-000016A70000}"/>
    <cellStyle name="强调文字颜色 2 2 2 4 2" xfId="42775" xr:uid="{00000000-0005-0000-0000-000017A70000}"/>
    <cellStyle name="强调文字颜色 2 2 2 4 2 2" xfId="42776" xr:uid="{00000000-0005-0000-0000-000018A70000}"/>
    <cellStyle name="强调文字颜色 2 2 2 4 2 3" xfId="42777" xr:uid="{00000000-0005-0000-0000-000019A70000}"/>
    <cellStyle name="强调文字颜色 2 2 2 4 2 3 2" xfId="42778" xr:uid="{00000000-0005-0000-0000-00001AA70000}"/>
    <cellStyle name="强调文字颜色 2 2 2 4 2 3 2 2" xfId="42779" xr:uid="{00000000-0005-0000-0000-00001BA70000}"/>
    <cellStyle name="强调文字颜色 2 2 2 4 2 4" xfId="42780" xr:uid="{00000000-0005-0000-0000-00001CA70000}"/>
    <cellStyle name="强调文字颜色 2 2 2 4 2 4 2" xfId="42781" xr:uid="{00000000-0005-0000-0000-00001DA70000}"/>
    <cellStyle name="强调文字颜色 2 2 2 4 3" xfId="42782" xr:uid="{00000000-0005-0000-0000-00001EA70000}"/>
    <cellStyle name="强调文字颜色 2 2 2 4 4" xfId="42783" xr:uid="{00000000-0005-0000-0000-00001FA70000}"/>
    <cellStyle name="强调文字颜色 2 2 2 4 5" xfId="42784" xr:uid="{00000000-0005-0000-0000-000020A70000}"/>
    <cellStyle name="强调文字颜色 2 2 2 4 6" xfId="42785" xr:uid="{00000000-0005-0000-0000-000021A70000}"/>
    <cellStyle name="强调文字颜色 2 2 2 5" xfId="42786" xr:uid="{00000000-0005-0000-0000-000022A70000}"/>
    <cellStyle name="强调文字颜色 2 2 2 5 2" xfId="42787" xr:uid="{00000000-0005-0000-0000-000023A70000}"/>
    <cellStyle name="强调文字颜色 2 2 2 5 2 2" xfId="42788" xr:uid="{00000000-0005-0000-0000-000024A70000}"/>
    <cellStyle name="强调文字颜色 2 2 2 5 2 2 2" xfId="42789" xr:uid="{00000000-0005-0000-0000-000025A70000}"/>
    <cellStyle name="强调文字颜色 2 2 2 5 2 2 2 2" xfId="42790" xr:uid="{00000000-0005-0000-0000-000026A70000}"/>
    <cellStyle name="强调文字颜色 2 2 2 5 2 3" xfId="42791" xr:uid="{00000000-0005-0000-0000-000027A70000}"/>
    <cellStyle name="强调文字颜色 2 2 2 5 2 3 2" xfId="42792" xr:uid="{00000000-0005-0000-0000-000028A70000}"/>
    <cellStyle name="强调文字颜色 2 2 2 5 3" xfId="42793" xr:uid="{00000000-0005-0000-0000-000029A70000}"/>
    <cellStyle name="强调文字颜色 2 2 2 5 3 2" xfId="42794" xr:uid="{00000000-0005-0000-0000-00002AA70000}"/>
    <cellStyle name="强调文字颜色 2 2 2 5 3 2 2" xfId="42795" xr:uid="{00000000-0005-0000-0000-00002BA70000}"/>
    <cellStyle name="强调文字颜色 2 2 2 5 4" xfId="42796" xr:uid="{00000000-0005-0000-0000-00002CA70000}"/>
    <cellStyle name="强调文字颜色 2 2 2 5 4 2" xfId="42797" xr:uid="{00000000-0005-0000-0000-00002DA70000}"/>
    <cellStyle name="强调文字颜色 2 2 2 6" xfId="42798" xr:uid="{00000000-0005-0000-0000-00002EA70000}"/>
    <cellStyle name="强调文字颜色 2 2 2 6 2" xfId="42799" xr:uid="{00000000-0005-0000-0000-00002FA70000}"/>
    <cellStyle name="强调文字颜色 2 2 2 6 2 2" xfId="42800" xr:uid="{00000000-0005-0000-0000-000030A70000}"/>
    <cellStyle name="强调文字颜色 2 2 2 6 2 2 2" xfId="42801" xr:uid="{00000000-0005-0000-0000-000031A70000}"/>
    <cellStyle name="强调文字颜色 2 2 2 6 2 2 2 2" xfId="42802" xr:uid="{00000000-0005-0000-0000-000032A70000}"/>
    <cellStyle name="强调文字颜色 2 2 2 6 2 3" xfId="42803" xr:uid="{00000000-0005-0000-0000-000033A70000}"/>
    <cellStyle name="强调文字颜色 2 2 2 6 2 3 2" xfId="42804" xr:uid="{00000000-0005-0000-0000-000034A70000}"/>
    <cellStyle name="强调文字颜色 2 2 2 6 3" xfId="42805" xr:uid="{00000000-0005-0000-0000-000035A70000}"/>
    <cellStyle name="强调文字颜色 2 2 2 6 3 2" xfId="42806" xr:uid="{00000000-0005-0000-0000-000036A70000}"/>
    <cellStyle name="强调文字颜色 2 2 2 6 3 2 2" xfId="42807" xr:uid="{00000000-0005-0000-0000-000037A70000}"/>
    <cellStyle name="强调文字颜色 2 2 2 6 4" xfId="42808" xr:uid="{00000000-0005-0000-0000-000038A70000}"/>
    <cellStyle name="强调文字颜色 2 2 2 6 4 2" xfId="42809" xr:uid="{00000000-0005-0000-0000-000039A70000}"/>
    <cellStyle name="强调文字颜色 2 2 2 7" xfId="42810" xr:uid="{00000000-0005-0000-0000-00003AA70000}"/>
    <cellStyle name="强调文字颜色 2 2 2 7 2" xfId="42811" xr:uid="{00000000-0005-0000-0000-00003BA70000}"/>
    <cellStyle name="强调文字颜色 2 2 2 7 2 2" xfId="42812" xr:uid="{00000000-0005-0000-0000-00003CA70000}"/>
    <cellStyle name="强调文字颜色 2 2 2 7 2 2 2" xfId="42813" xr:uid="{00000000-0005-0000-0000-00003DA70000}"/>
    <cellStyle name="强调文字颜色 2 2 2 7 2 2 2 2" xfId="42814" xr:uid="{00000000-0005-0000-0000-00003EA70000}"/>
    <cellStyle name="强调文字颜色 2 2 2 7 2 3" xfId="42815" xr:uid="{00000000-0005-0000-0000-00003FA70000}"/>
    <cellStyle name="强调文字颜色 2 2 2 7 2 3 2" xfId="42816" xr:uid="{00000000-0005-0000-0000-000040A70000}"/>
    <cellStyle name="强调文字颜色 2 2 2 7 3" xfId="42817" xr:uid="{00000000-0005-0000-0000-000041A70000}"/>
    <cellStyle name="强调文字颜色 2 2 2 7 3 2" xfId="42818" xr:uid="{00000000-0005-0000-0000-000042A70000}"/>
    <cellStyle name="强调文字颜色 2 2 2 7 3 2 2" xfId="42819" xr:uid="{00000000-0005-0000-0000-000043A70000}"/>
    <cellStyle name="强调文字颜色 2 2 2 7 4" xfId="42820" xr:uid="{00000000-0005-0000-0000-000044A70000}"/>
    <cellStyle name="强调文字颜色 2 2 2 7 4 2" xfId="42821" xr:uid="{00000000-0005-0000-0000-000045A70000}"/>
    <cellStyle name="强调文字颜色 2 2 2 8" xfId="42822" xr:uid="{00000000-0005-0000-0000-000046A70000}"/>
    <cellStyle name="强调文字颜色 2 2 2 8 2" xfId="42823" xr:uid="{00000000-0005-0000-0000-000047A70000}"/>
    <cellStyle name="强调文字颜色 2 2 2 8 2 2" xfId="42824" xr:uid="{00000000-0005-0000-0000-000048A70000}"/>
    <cellStyle name="强调文字颜色 2 2 2 8 2 2 2" xfId="42825" xr:uid="{00000000-0005-0000-0000-000049A70000}"/>
    <cellStyle name="强调文字颜色 2 2 2 8 3" xfId="42826" xr:uid="{00000000-0005-0000-0000-00004AA70000}"/>
    <cellStyle name="强调文字颜色 2 2 2 8 3 2" xfId="42827" xr:uid="{00000000-0005-0000-0000-00004BA70000}"/>
    <cellStyle name="强调文字颜色 2 2 2 9" xfId="42828" xr:uid="{00000000-0005-0000-0000-00004CA70000}"/>
    <cellStyle name="强调文字颜色 2 2 2 9 2" xfId="42829" xr:uid="{00000000-0005-0000-0000-00004DA70000}"/>
    <cellStyle name="强调文字颜色 2 2 2 9 2 2" xfId="42830" xr:uid="{00000000-0005-0000-0000-00004EA70000}"/>
    <cellStyle name="强调文字颜色 2 2 2 9 2 2 2" xfId="42831" xr:uid="{00000000-0005-0000-0000-00004FA70000}"/>
    <cellStyle name="强调文字颜色 2 2 2 9 3" xfId="42832" xr:uid="{00000000-0005-0000-0000-000050A70000}"/>
    <cellStyle name="强调文字颜色 2 2 2 9 3 2" xfId="42833" xr:uid="{00000000-0005-0000-0000-000051A70000}"/>
    <cellStyle name="强调文字颜色 2 2 3" xfId="42834" xr:uid="{00000000-0005-0000-0000-000052A70000}"/>
    <cellStyle name="强调文字颜色 2 2 3 2" xfId="42835" xr:uid="{00000000-0005-0000-0000-000053A70000}"/>
    <cellStyle name="强调文字颜色 2 2 3 2 2" xfId="42836" xr:uid="{00000000-0005-0000-0000-000054A70000}"/>
    <cellStyle name="强调文字颜色 2 2 3 2 2 2" xfId="42837" xr:uid="{00000000-0005-0000-0000-000055A70000}"/>
    <cellStyle name="强调文字颜色 2 2 3 2 2 2 2" xfId="42838" xr:uid="{00000000-0005-0000-0000-000056A70000}"/>
    <cellStyle name="强调文字颜色 2 2 3 2 2 2 3" xfId="42839" xr:uid="{00000000-0005-0000-0000-000057A70000}"/>
    <cellStyle name="强调文字颜色 2 2 3 2 2 2 3 2" xfId="42840" xr:uid="{00000000-0005-0000-0000-000058A70000}"/>
    <cellStyle name="强调文字颜色 2 2 3 2 2 2 3 2 2" xfId="42841" xr:uid="{00000000-0005-0000-0000-000059A70000}"/>
    <cellStyle name="强调文字颜色 2 2 3 2 2 2 4" xfId="42842" xr:uid="{00000000-0005-0000-0000-00005AA70000}"/>
    <cellStyle name="强调文字颜色 2 2 3 2 2 2 4 2" xfId="42843" xr:uid="{00000000-0005-0000-0000-00005BA70000}"/>
    <cellStyle name="强调文字颜色 2 2 3 2 2 3" xfId="42844" xr:uid="{00000000-0005-0000-0000-00005CA70000}"/>
    <cellStyle name="强调文字颜色 2 2 3 2 2 3 2" xfId="42845" xr:uid="{00000000-0005-0000-0000-00005DA70000}"/>
    <cellStyle name="强调文字颜色 2 2 3 2 2 3 2 2" xfId="42846" xr:uid="{00000000-0005-0000-0000-00005EA70000}"/>
    <cellStyle name="强调文字颜色 2 2 3 2 2 3 2 2 2" xfId="42847" xr:uid="{00000000-0005-0000-0000-00005FA70000}"/>
    <cellStyle name="强调文字颜色 2 2 3 2 2 3 3" xfId="42848" xr:uid="{00000000-0005-0000-0000-000060A70000}"/>
    <cellStyle name="强调文字颜色 2 2 3 2 2 3 3 2" xfId="42849" xr:uid="{00000000-0005-0000-0000-000061A70000}"/>
    <cellStyle name="强调文字颜色 2 2 3 2 2 4" xfId="42850" xr:uid="{00000000-0005-0000-0000-000062A70000}"/>
    <cellStyle name="强调文字颜色 2 2 3 2 2 5" xfId="42851" xr:uid="{00000000-0005-0000-0000-000063A70000}"/>
    <cellStyle name="强调文字颜色 2 2 3 2 2 6" xfId="42852" xr:uid="{00000000-0005-0000-0000-000064A70000}"/>
    <cellStyle name="强调文字颜色 2 2 3 2 3" xfId="42853" xr:uid="{00000000-0005-0000-0000-000065A70000}"/>
    <cellStyle name="强调文字颜色 2 2 3 2 3 2" xfId="42854" xr:uid="{00000000-0005-0000-0000-000066A70000}"/>
    <cellStyle name="强调文字颜色 2 2 3 2 3 3" xfId="42855" xr:uid="{00000000-0005-0000-0000-000067A70000}"/>
    <cellStyle name="强调文字颜色 2 2 3 2 3 3 2" xfId="42856" xr:uid="{00000000-0005-0000-0000-000068A70000}"/>
    <cellStyle name="强调文字颜色 2 2 3 2 3 3 2 2" xfId="42857" xr:uid="{00000000-0005-0000-0000-000069A70000}"/>
    <cellStyle name="强调文字颜色 2 2 3 2 3 4" xfId="42858" xr:uid="{00000000-0005-0000-0000-00006AA70000}"/>
    <cellStyle name="强调文字颜色 2 2 3 2 3 4 2" xfId="42859" xr:uid="{00000000-0005-0000-0000-00006BA70000}"/>
    <cellStyle name="强调文字颜色 2 2 3 2 4" xfId="42860" xr:uid="{00000000-0005-0000-0000-00006CA70000}"/>
    <cellStyle name="强调文字颜色 2 2 3 2 4 2" xfId="42861" xr:uid="{00000000-0005-0000-0000-00006DA70000}"/>
    <cellStyle name="强调文字颜色 2 2 3 2 4 2 2" xfId="42862" xr:uid="{00000000-0005-0000-0000-00006EA70000}"/>
    <cellStyle name="强调文字颜色 2 2 3 2 4 2 2 2" xfId="42863" xr:uid="{00000000-0005-0000-0000-00006FA70000}"/>
    <cellStyle name="强调文字颜色 2 2 3 2 4 3" xfId="42864" xr:uid="{00000000-0005-0000-0000-000070A70000}"/>
    <cellStyle name="强调文字颜色 2 2 3 2 4 3 2" xfId="42865" xr:uid="{00000000-0005-0000-0000-000071A70000}"/>
    <cellStyle name="强调文字颜色 2 2 3 2 5" xfId="42866" xr:uid="{00000000-0005-0000-0000-000072A70000}"/>
    <cellStyle name="强调文字颜色 2 2 3 2 6" xfId="42867" xr:uid="{00000000-0005-0000-0000-000073A70000}"/>
    <cellStyle name="强调文字颜色 2 2 3 2 7" xfId="42868" xr:uid="{00000000-0005-0000-0000-000074A70000}"/>
    <cellStyle name="强调文字颜色 2 2 3 3" xfId="42869" xr:uid="{00000000-0005-0000-0000-000075A70000}"/>
    <cellStyle name="强调文字颜色 2 2 3 3 2" xfId="42870" xr:uid="{00000000-0005-0000-0000-000076A70000}"/>
    <cellStyle name="强调文字颜色 2 2 3 3 2 2" xfId="42871" xr:uid="{00000000-0005-0000-0000-000077A70000}"/>
    <cellStyle name="强调文字颜色 2 2 3 3 2 3" xfId="42872" xr:uid="{00000000-0005-0000-0000-000078A70000}"/>
    <cellStyle name="强调文字颜色 2 2 3 3 2 3 2" xfId="42873" xr:uid="{00000000-0005-0000-0000-000079A70000}"/>
    <cellStyle name="强调文字颜色 2 2 3 3 2 3 2 2" xfId="42874" xr:uid="{00000000-0005-0000-0000-00007AA70000}"/>
    <cellStyle name="强调文字颜色 2 2 3 3 2 4" xfId="42875" xr:uid="{00000000-0005-0000-0000-00007BA70000}"/>
    <cellStyle name="强调文字颜色 2 2 3 3 2 4 2" xfId="42876" xr:uid="{00000000-0005-0000-0000-00007CA70000}"/>
    <cellStyle name="强调文字颜色 2 2 3 3 3" xfId="42877" xr:uid="{00000000-0005-0000-0000-00007DA70000}"/>
    <cellStyle name="强调文字颜色 2 2 3 3 3 2" xfId="42878" xr:uid="{00000000-0005-0000-0000-00007EA70000}"/>
    <cellStyle name="强调文字颜色 2 2 3 3 3 2 2" xfId="42879" xr:uid="{00000000-0005-0000-0000-00007FA70000}"/>
    <cellStyle name="强调文字颜色 2 2 3 3 3 2 2 2" xfId="42880" xr:uid="{00000000-0005-0000-0000-000080A70000}"/>
    <cellStyle name="强调文字颜色 2 2 3 3 3 3" xfId="42881" xr:uid="{00000000-0005-0000-0000-000081A70000}"/>
    <cellStyle name="强调文字颜色 2 2 3 3 3 3 2" xfId="42882" xr:uid="{00000000-0005-0000-0000-000082A70000}"/>
    <cellStyle name="强调文字颜色 2 2 3 3 4" xfId="42883" xr:uid="{00000000-0005-0000-0000-000083A70000}"/>
    <cellStyle name="强调文字颜色 2 2 3 3 5" xfId="42884" xr:uid="{00000000-0005-0000-0000-000084A70000}"/>
    <cellStyle name="强调文字颜色 2 2 3 3 6" xfId="42885" xr:uid="{00000000-0005-0000-0000-000085A70000}"/>
    <cellStyle name="强调文字颜色 2 2 3 4" xfId="42886" xr:uid="{00000000-0005-0000-0000-000086A70000}"/>
    <cellStyle name="强调文字颜色 2 2 3 4 2" xfId="42887" xr:uid="{00000000-0005-0000-0000-000087A70000}"/>
    <cellStyle name="强调文字颜色 2 2 3 4 2 2" xfId="42888" xr:uid="{00000000-0005-0000-0000-000088A70000}"/>
    <cellStyle name="强调文字颜色 2 2 3 4 2 3" xfId="42889" xr:uid="{00000000-0005-0000-0000-000089A70000}"/>
    <cellStyle name="强调文字颜色 2 2 3 4 2 3 2" xfId="42890" xr:uid="{00000000-0005-0000-0000-00008AA70000}"/>
    <cellStyle name="强调文字颜色 2 2 3 4 2 3 2 2" xfId="42891" xr:uid="{00000000-0005-0000-0000-00008BA70000}"/>
    <cellStyle name="强调文字颜色 2 2 3 4 2 4" xfId="42892" xr:uid="{00000000-0005-0000-0000-00008CA70000}"/>
    <cellStyle name="强调文字颜色 2 2 3 4 2 4 2" xfId="42893" xr:uid="{00000000-0005-0000-0000-00008DA70000}"/>
    <cellStyle name="强调文字颜色 2 2 3 4 3" xfId="42894" xr:uid="{00000000-0005-0000-0000-00008EA70000}"/>
    <cellStyle name="强调文字颜色 2 2 3 4 4" xfId="42895" xr:uid="{00000000-0005-0000-0000-00008FA70000}"/>
    <cellStyle name="强调文字颜色 2 2 3 4 5" xfId="42896" xr:uid="{00000000-0005-0000-0000-000090A70000}"/>
    <cellStyle name="强调文字颜色 2 2 3 4 6" xfId="42897" xr:uid="{00000000-0005-0000-0000-000091A70000}"/>
    <cellStyle name="强调文字颜色 2 2 3 5" xfId="42898" xr:uid="{00000000-0005-0000-0000-000092A70000}"/>
    <cellStyle name="强调文字颜色 2 2 3 5 2" xfId="42899" xr:uid="{00000000-0005-0000-0000-000093A70000}"/>
    <cellStyle name="强调文字颜色 2 2 3 5 2 2" xfId="42900" xr:uid="{00000000-0005-0000-0000-000094A70000}"/>
    <cellStyle name="强调文字颜色 2 2 3 5 2 2 2" xfId="42901" xr:uid="{00000000-0005-0000-0000-000095A70000}"/>
    <cellStyle name="强调文字颜色 2 2 3 5 2 2 2 2" xfId="42902" xr:uid="{00000000-0005-0000-0000-000096A70000}"/>
    <cellStyle name="强调文字颜色 2 2 3 5 2 3" xfId="42903" xr:uid="{00000000-0005-0000-0000-000097A70000}"/>
    <cellStyle name="强调文字颜色 2 2 3 5 2 3 2" xfId="42904" xr:uid="{00000000-0005-0000-0000-000098A70000}"/>
    <cellStyle name="强调文字颜色 2 2 3 5 3" xfId="42905" xr:uid="{00000000-0005-0000-0000-000099A70000}"/>
    <cellStyle name="强调文字颜色 2 2 3 5 3 2" xfId="42906" xr:uid="{00000000-0005-0000-0000-00009AA70000}"/>
    <cellStyle name="强调文字颜色 2 2 3 5 3 2 2" xfId="42907" xr:uid="{00000000-0005-0000-0000-00009BA70000}"/>
    <cellStyle name="强调文字颜色 2 2 3 5 4" xfId="42908" xr:uid="{00000000-0005-0000-0000-00009CA70000}"/>
    <cellStyle name="强调文字颜色 2 2 3 5 4 2" xfId="42909" xr:uid="{00000000-0005-0000-0000-00009DA70000}"/>
    <cellStyle name="强调文字颜色 2 2 3 6" xfId="42910" xr:uid="{00000000-0005-0000-0000-00009EA70000}"/>
    <cellStyle name="强调文字颜色 2 2 3 6 2" xfId="42911" xr:uid="{00000000-0005-0000-0000-00009FA70000}"/>
    <cellStyle name="强调文字颜色 2 2 3 6 2 2" xfId="42912" xr:uid="{00000000-0005-0000-0000-0000A0A70000}"/>
    <cellStyle name="强调文字颜色 2 2 3 6 2 2 2" xfId="42913" xr:uid="{00000000-0005-0000-0000-0000A1A70000}"/>
    <cellStyle name="强调文字颜色 2 2 3 6 3" xfId="42914" xr:uid="{00000000-0005-0000-0000-0000A2A70000}"/>
    <cellStyle name="强调文字颜色 2 2 3 6 3 2" xfId="42915" xr:uid="{00000000-0005-0000-0000-0000A3A70000}"/>
    <cellStyle name="强调文字颜色 2 2 3 7" xfId="42916" xr:uid="{00000000-0005-0000-0000-0000A4A70000}"/>
    <cellStyle name="强调文字颜色 2 2 3 7 2" xfId="42917" xr:uid="{00000000-0005-0000-0000-0000A5A70000}"/>
    <cellStyle name="强调文字颜色 2 2 3 7 2 2" xfId="42918" xr:uid="{00000000-0005-0000-0000-0000A6A70000}"/>
    <cellStyle name="强调文字颜色 2 2 3 7 2 2 2" xfId="42919" xr:uid="{00000000-0005-0000-0000-0000A7A70000}"/>
    <cellStyle name="强调文字颜色 2 2 3 7 3" xfId="42920" xr:uid="{00000000-0005-0000-0000-0000A8A70000}"/>
    <cellStyle name="强调文字颜色 2 2 3 7 3 2" xfId="42921" xr:uid="{00000000-0005-0000-0000-0000A9A70000}"/>
    <cellStyle name="强调文字颜色 2 2 3 8" xfId="42922" xr:uid="{00000000-0005-0000-0000-0000AAA70000}"/>
    <cellStyle name="强调文字颜色 2 2 3 9" xfId="42923" xr:uid="{00000000-0005-0000-0000-0000ABA70000}"/>
    <cellStyle name="强调文字颜色 2 2 4" xfId="42924" xr:uid="{00000000-0005-0000-0000-0000ACA70000}"/>
    <cellStyle name="强调文字颜色 2 2 4 2" xfId="42925" xr:uid="{00000000-0005-0000-0000-0000ADA70000}"/>
    <cellStyle name="强调文字颜色 2 2 4 2 2" xfId="42926" xr:uid="{00000000-0005-0000-0000-0000AEA70000}"/>
    <cellStyle name="强调文字颜色 2 2 4 2 3" xfId="42927" xr:uid="{00000000-0005-0000-0000-0000AFA70000}"/>
    <cellStyle name="强调文字颜色 2 2 4 2 3 2" xfId="42928" xr:uid="{00000000-0005-0000-0000-0000B0A70000}"/>
    <cellStyle name="强调文字颜色 2 2 4 2 3 2 2" xfId="42929" xr:uid="{00000000-0005-0000-0000-0000B1A70000}"/>
    <cellStyle name="强调文字颜色 2 2 4 2 4" xfId="42930" xr:uid="{00000000-0005-0000-0000-0000B2A70000}"/>
    <cellStyle name="强调文字颜色 2 2 4 2 4 2" xfId="42931" xr:uid="{00000000-0005-0000-0000-0000B3A70000}"/>
    <cellStyle name="强调文字颜色 2 2 4 3" xfId="42932" xr:uid="{00000000-0005-0000-0000-0000B4A70000}"/>
    <cellStyle name="强调文字颜色 2 2 4 3 2" xfId="42933" xr:uid="{00000000-0005-0000-0000-0000B5A70000}"/>
    <cellStyle name="强调文字颜色 2 2 4 3 2 2" xfId="42934" xr:uid="{00000000-0005-0000-0000-0000B6A70000}"/>
    <cellStyle name="强调文字颜色 2 2 4 3 2 2 2" xfId="42935" xr:uid="{00000000-0005-0000-0000-0000B7A70000}"/>
    <cellStyle name="强调文字颜色 2 2 4 3 3" xfId="42936" xr:uid="{00000000-0005-0000-0000-0000B8A70000}"/>
    <cellStyle name="强调文字颜色 2 2 4 3 3 2" xfId="42937" xr:uid="{00000000-0005-0000-0000-0000B9A70000}"/>
    <cellStyle name="强调文字颜色 2 2 4 4" xfId="42938" xr:uid="{00000000-0005-0000-0000-0000BAA70000}"/>
    <cellStyle name="强调文字颜色 2 2 4 5" xfId="42939" xr:uid="{00000000-0005-0000-0000-0000BBA70000}"/>
    <cellStyle name="强调文字颜色 2 2 4 6" xfId="42940" xr:uid="{00000000-0005-0000-0000-0000BCA70000}"/>
    <cellStyle name="强调文字颜色 2 2 5" xfId="42941" xr:uid="{00000000-0005-0000-0000-0000BDA70000}"/>
    <cellStyle name="强调文字颜色 2 2 5 2" xfId="42942" xr:uid="{00000000-0005-0000-0000-0000BEA70000}"/>
    <cellStyle name="强调文字颜色 2 2 5 2 2" xfId="42943" xr:uid="{00000000-0005-0000-0000-0000BFA70000}"/>
    <cellStyle name="强调文字颜色 2 2 5 2 3" xfId="42944" xr:uid="{00000000-0005-0000-0000-0000C0A70000}"/>
    <cellStyle name="强调文字颜色 2 2 5 2 3 2" xfId="42945" xr:uid="{00000000-0005-0000-0000-0000C1A70000}"/>
    <cellStyle name="强调文字颜色 2 2 5 2 3 2 2" xfId="42946" xr:uid="{00000000-0005-0000-0000-0000C2A70000}"/>
    <cellStyle name="强调文字颜色 2 2 5 2 4" xfId="42947" xr:uid="{00000000-0005-0000-0000-0000C3A70000}"/>
    <cellStyle name="强调文字颜色 2 2 5 2 4 2" xfId="42948" xr:uid="{00000000-0005-0000-0000-0000C4A70000}"/>
    <cellStyle name="强调文字颜色 2 2 5 3" xfId="42949" xr:uid="{00000000-0005-0000-0000-0000C5A70000}"/>
    <cellStyle name="强调文字颜色 2 2 5 4" xfId="42950" xr:uid="{00000000-0005-0000-0000-0000C6A70000}"/>
    <cellStyle name="强调文字颜色 2 2 5 5" xfId="42951" xr:uid="{00000000-0005-0000-0000-0000C7A70000}"/>
    <cellStyle name="强调文字颜色 2 2 5 6" xfId="42952" xr:uid="{00000000-0005-0000-0000-0000C8A70000}"/>
    <cellStyle name="强调文字颜色 2 2 6" xfId="42953" xr:uid="{00000000-0005-0000-0000-0000C9A70000}"/>
    <cellStyle name="强调文字颜色 2 2 6 2" xfId="42954" xr:uid="{00000000-0005-0000-0000-0000CAA70000}"/>
    <cellStyle name="强调文字颜色 2 2 6 2 2" xfId="42955" xr:uid="{00000000-0005-0000-0000-0000CBA70000}"/>
    <cellStyle name="强调文字颜色 2 2 6 2 2 2" xfId="42956" xr:uid="{00000000-0005-0000-0000-0000CCA70000}"/>
    <cellStyle name="强调文字颜色 2 2 6 2 2 2 2" xfId="42957" xr:uid="{00000000-0005-0000-0000-0000CDA70000}"/>
    <cellStyle name="强调文字颜色 2 2 6 2 3" xfId="42958" xr:uid="{00000000-0005-0000-0000-0000CEA70000}"/>
    <cellStyle name="强调文字颜色 2 2 6 2 3 2" xfId="42959" xr:uid="{00000000-0005-0000-0000-0000CFA70000}"/>
    <cellStyle name="强调文字颜色 2 2 6 3" xfId="42960" xr:uid="{00000000-0005-0000-0000-0000D0A70000}"/>
    <cellStyle name="强调文字颜色 2 2 6 3 2" xfId="42961" xr:uid="{00000000-0005-0000-0000-0000D1A70000}"/>
    <cellStyle name="强调文字颜色 2 2 6 3 2 2" xfId="42962" xr:uid="{00000000-0005-0000-0000-0000D2A70000}"/>
    <cellStyle name="强调文字颜色 2 2 6 4" xfId="42963" xr:uid="{00000000-0005-0000-0000-0000D3A70000}"/>
    <cellStyle name="强调文字颜色 2 2 6 4 2" xfId="42964" xr:uid="{00000000-0005-0000-0000-0000D4A70000}"/>
    <cellStyle name="强调文字颜色 2 2 7" xfId="42965" xr:uid="{00000000-0005-0000-0000-0000D5A70000}"/>
    <cellStyle name="强调文字颜色 2 2 7 2" xfId="42966" xr:uid="{00000000-0005-0000-0000-0000D6A70000}"/>
    <cellStyle name="强调文字颜色 2 2 7 2 2" xfId="42967" xr:uid="{00000000-0005-0000-0000-0000D7A70000}"/>
    <cellStyle name="强调文字颜色 2 2 7 2 2 2" xfId="42968" xr:uid="{00000000-0005-0000-0000-0000D8A70000}"/>
    <cellStyle name="强调文字颜色 2 2 7 2 2 2 2" xfId="42969" xr:uid="{00000000-0005-0000-0000-0000D9A70000}"/>
    <cellStyle name="强调文字颜色 2 2 7 2 3" xfId="42970" xr:uid="{00000000-0005-0000-0000-0000DAA70000}"/>
    <cellStyle name="强调文字颜色 2 2 7 2 3 2" xfId="42971" xr:uid="{00000000-0005-0000-0000-0000DBA70000}"/>
    <cellStyle name="强调文字颜色 2 2 7 3" xfId="42972" xr:uid="{00000000-0005-0000-0000-0000DCA70000}"/>
    <cellStyle name="强调文字颜色 2 2 7 3 2" xfId="42973" xr:uid="{00000000-0005-0000-0000-0000DDA70000}"/>
    <cellStyle name="强调文字颜色 2 2 7 3 2 2" xfId="42974" xr:uid="{00000000-0005-0000-0000-0000DEA70000}"/>
    <cellStyle name="强调文字颜色 2 2 7 4" xfId="42975" xr:uid="{00000000-0005-0000-0000-0000DFA70000}"/>
    <cellStyle name="强调文字颜色 2 2 7 4 2" xfId="42976" xr:uid="{00000000-0005-0000-0000-0000E0A70000}"/>
    <cellStyle name="强调文字颜色 2 2 8" xfId="42977" xr:uid="{00000000-0005-0000-0000-0000E1A70000}"/>
    <cellStyle name="强调文字颜色 2 2 8 2" xfId="42978" xr:uid="{00000000-0005-0000-0000-0000E2A70000}"/>
    <cellStyle name="强调文字颜色 2 2 8 2 2" xfId="42979" xr:uid="{00000000-0005-0000-0000-0000E3A70000}"/>
    <cellStyle name="强调文字颜色 2 2 8 2 2 2" xfId="42980" xr:uid="{00000000-0005-0000-0000-0000E4A70000}"/>
    <cellStyle name="强调文字颜色 2 2 8 2 2 2 2" xfId="42981" xr:uid="{00000000-0005-0000-0000-0000E5A70000}"/>
    <cellStyle name="强调文字颜色 2 2 8 2 3" xfId="42982" xr:uid="{00000000-0005-0000-0000-0000E6A70000}"/>
    <cellStyle name="强调文字颜色 2 2 8 2 3 2" xfId="42983" xr:uid="{00000000-0005-0000-0000-0000E7A70000}"/>
    <cellStyle name="强调文字颜色 2 2 8 3" xfId="42984" xr:uid="{00000000-0005-0000-0000-0000E8A70000}"/>
    <cellStyle name="强调文字颜色 2 2 8 3 2" xfId="42985" xr:uid="{00000000-0005-0000-0000-0000E9A70000}"/>
    <cellStyle name="强调文字颜色 2 2 8 3 2 2" xfId="42986" xr:uid="{00000000-0005-0000-0000-0000EAA70000}"/>
    <cellStyle name="强调文字颜色 2 2 8 4" xfId="42987" xr:uid="{00000000-0005-0000-0000-0000EBA70000}"/>
    <cellStyle name="强调文字颜色 2 2 8 4 2" xfId="42988" xr:uid="{00000000-0005-0000-0000-0000ECA70000}"/>
    <cellStyle name="强调文字颜色 2 2 9" xfId="42989" xr:uid="{00000000-0005-0000-0000-0000EDA70000}"/>
    <cellStyle name="强调文字颜色 2 2 9 2" xfId="42990" xr:uid="{00000000-0005-0000-0000-0000EEA70000}"/>
    <cellStyle name="强调文字颜色 2 2 9 2 2" xfId="42991" xr:uid="{00000000-0005-0000-0000-0000EFA70000}"/>
    <cellStyle name="强调文字颜色 2 2 9 2 2 2" xfId="42992" xr:uid="{00000000-0005-0000-0000-0000F0A70000}"/>
    <cellStyle name="强调文字颜色 2 2 9 3" xfId="42993" xr:uid="{00000000-0005-0000-0000-0000F1A70000}"/>
    <cellStyle name="强调文字颜色 2 2 9 3 2" xfId="42994" xr:uid="{00000000-0005-0000-0000-0000F2A70000}"/>
    <cellStyle name="强调文字颜色 2 3" xfId="42995" xr:uid="{00000000-0005-0000-0000-0000F3A70000}"/>
    <cellStyle name="强调文字颜色 2 3 2" xfId="42996" xr:uid="{00000000-0005-0000-0000-0000F4A70000}"/>
    <cellStyle name="强调文字颜色 2 3 2 2" xfId="42997" xr:uid="{00000000-0005-0000-0000-0000F5A70000}"/>
    <cellStyle name="强调文字颜色 2 3 2 2 2" xfId="42998" xr:uid="{00000000-0005-0000-0000-0000F6A70000}"/>
    <cellStyle name="强调文字颜色 2 3 2 2 2 2" xfId="42999" xr:uid="{00000000-0005-0000-0000-0000F7A70000}"/>
    <cellStyle name="强调文字颜色 2 3 2 2 2 3" xfId="43000" xr:uid="{00000000-0005-0000-0000-0000F8A70000}"/>
    <cellStyle name="强调文字颜色 2 3 2 2 2 3 2" xfId="43001" xr:uid="{00000000-0005-0000-0000-0000F9A70000}"/>
    <cellStyle name="强调文字颜色 2 3 2 2 2 3 2 2" xfId="43002" xr:uid="{00000000-0005-0000-0000-0000FAA70000}"/>
    <cellStyle name="强调文字颜色 2 3 2 2 2 4" xfId="43003" xr:uid="{00000000-0005-0000-0000-0000FBA70000}"/>
    <cellStyle name="强调文字颜色 2 3 2 2 2 4 2" xfId="43004" xr:uid="{00000000-0005-0000-0000-0000FCA70000}"/>
    <cellStyle name="强调文字颜色 2 3 2 2 3" xfId="43005" xr:uid="{00000000-0005-0000-0000-0000FDA70000}"/>
    <cellStyle name="强调文字颜色 2 3 2 2 3 2" xfId="43006" xr:uid="{00000000-0005-0000-0000-0000FEA70000}"/>
    <cellStyle name="强调文字颜色 2 3 2 2 3 2 2" xfId="43007" xr:uid="{00000000-0005-0000-0000-0000FFA70000}"/>
    <cellStyle name="强调文字颜色 2 3 2 2 3 2 2 2" xfId="43008" xr:uid="{00000000-0005-0000-0000-000000A80000}"/>
    <cellStyle name="强调文字颜色 2 3 2 2 3 3" xfId="43009" xr:uid="{00000000-0005-0000-0000-000001A80000}"/>
    <cellStyle name="强调文字颜色 2 3 2 2 3 3 2" xfId="43010" xr:uid="{00000000-0005-0000-0000-000002A80000}"/>
    <cellStyle name="强调文字颜色 2 3 2 2 4" xfId="43011" xr:uid="{00000000-0005-0000-0000-000003A80000}"/>
    <cellStyle name="强调文字颜色 2 3 2 2 5" xfId="43012" xr:uid="{00000000-0005-0000-0000-000004A80000}"/>
    <cellStyle name="强调文字颜色 2 3 2 2 6" xfId="43013" xr:uid="{00000000-0005-0000-0000-000005A80000}"/>
    <cellStyle name="强调文字颜色 2 3 2 3" xfId="43014" xr:uid="{00000000-0005-0000-0000-000006A80000}"/>
    <cellStyle name="强调文字颜色 2 3 2 3 2" xfId="43015" xr:uid="{00000000-0005-0000-0000-000007A80000}"/>
    <cellStyle name="强调文字颜色 2 3 2 3 3" xfId="43016" xr:uid="{00000000-0005-0000-0000-000008A80000}"/>
    <cellStyle name="强调文字颜色 2 3 2 3 3 2" xfId="43017" xr:uid="{00000000-0005-0000-0000-000009A80000}"/>
    <cellStyle name="强调文字颜色 2 3 2 3 3 2 2" xfId="43018" xr:uid="{00000000-0005-0000-0000-00000AA80000}"/>
    <cellStyle name="强调文字颜色 2 3 2 3 4" xfId="43019" xr:uid="{00000000-0005-0000-0000-00000BA80000}"/>
    <cellStyle name="强调文字颜色 2 3 2 3 4 2" xfId="43020" xr:uid="{00000000-0005-0000-0000-00000CA80000}"/>
    <cellStyle name="强调文字颜色 2 3 2 4" xfId="43021" xr:uid="{00000000-0005-0000-0000-00000DA80000}"/>
    <cellStyle name="强调文字颜色 2 3 2 4 2" xfId="43022" xr:uid="{00000000-0005-0000-0000-00000EA80000}"/>
    <cellStyle name="强调文字颜色 2 3 2 4 2 2" xfId="43023" xr:uid="{00000000-0005-0000-0000-00000FA80000}"/>
    <cellStyle name="强调文字颜色 2 3 2 4 2 2 2" xfId="43024" xr:uid="{00000000-0005-0000-0000-000010A80000}"/>
    <cellStyle name="强调文字颜色 2 3 2 4 3" xfId="43025" xr:uid="{00000000-0005-0000-0000-000011A80000}"/>
    <cellStyle name="强调文字颜色 2 3 2 4 3 2" xfId="43026" xr:uid="{00000000-0005-0000-0000-000012A80000}"/>
    <cellStyle name="强调文字颜色 2 3 2 5" xfId="43027" xr:uid="{00000000-0005-0000-0000-000013A80000}"/>
    <cellStyle name="强调文字颜色 2 3 2 6" xfId="43028" xr:uid="{00000000-0005-0000-0000-000014A80000}"/>
    <cellStyle name="强调文字颜色 2 3 2 7" xfId="43029" xr:uid="{00000000-0005-0000-0000-000015A80000}"/>
    <cellStyle name="强调文字颜色 2 3 3" xfId="43030" xr:uid="{00000000-0005-0000-0000-000016A80000}"/>
    <cellStyle name="强调文字颜色 2 3 3 2" xfId="43031" xr:uid="{00000000-0005-0000-0000-000017A80000}"/>
    <cellStyle name="强调文字颜色 2 3 3 2 2" xfId="43032" xr:uid="{00000000-0005-0000-0000-000018A80000}"/>
    <cellStyle name="强调文字颜色 2 3 3 2 3" xfId="43033" xr:uid="{00000000-0005-0000-0000-000019A80000}"/>
    <cellStyle name="强调文字颜色 2 3 3 2 3 2" xfId="43034" xr:uid="{00000000-0005-0000-0000-00001AA80000}"/>
    <cellStyle name="强调文字颜色 2 3 3 2 3 2 2" xfId="43035" xr:uid="{00000000-0005-0000-0000-00001BA80000}"/>
    <cellStyle name="强调文字颜色 2 3 3 2 4" xfId="43036" xr:uid="{00000000-0005-0000-0000-00001CA80000}"/>
    <cellStyle name="强调文字颜色 2 3 3 2 4 2" xfId="43037" xr:uid="{00000000-0005-0000-0000-00001DA80000}"/>
    <cellStyle name="强调文字颜色 2 3 3 3" xfId="43038" xr:uid="{00000000-0005-0000-0000-00001EA80000}"/>
    <cellStyle name="强调文字颜色 2 3 3 3 2" xfId="43039" xr:uid="{00000000-0005-0000-0000-00001FA80000}"/>
    <cellStyle name="强调文字颜色 2 3 3 3 2 2" xfId="43040" xr:uid="{00000000-0005-0000-0000-000020A80000}"/>
    <cellStyle name="强调文字颜色 2 3 3 3 2 2 2" xfId="43041" xr:uid="{00000000-0005-0000-0000-000021A80000}"/>
    <cellStyle name="强调文字颜色 2 3 3 3 3" xfId="43042" xr:uid="{00000000-0005-0000-0000-000022A80000}"/>
    <cellStyle name="强调文字颜色 2 3 3 3 3 2" xfId="43043" xr:uid="{00000000-0005-0000-0000-000023A80000}"/>
    <cellStyle name="强调文字颜色 2 3 3 4" xfId="43044" xr:uid="{00000000-0005-0000-0000-000024A80000}"/>
    <cellStyle name="强调文字颜色 2 3 3 5" xfId="43045" xr:uid="{00000000-0005-0000-0000-000025A80000}"/>
    <cellStyle name="强调文字颜色 2 3 3 6" xfId="43046" xr:uid="{00000000-0005-0000-0000-000026A80000}"/>
    <cellStyle name="强调文字颜色 2 3 4" xfId="43047" xr:uid="{00000000-0005-0000-0000-000027A80000}"/>
    <cellStyle name="强调文字颜色 2 3 4 2" xfId="43048" xr:uid="{00000000-0005-0000-0000-000028A80000}"/>
    <cellStyle name="强调文字颜色 2 3 4 2 2" xfId="43049" xr:uid="{00000000-0005-0000-0000-000029A80000}"/>
    <cellStyle name="强调文字颜色 2 3 4 2 3" xfId="43050" xr:uid="{00000000-0005-0000-0000-00002AA80000}"/>
    <cellStyle name="强调文字颜色 2 3 4 2 3 2" xfId="43051" xr:uid="{00000000-0005-0000-0000-00002BA80000}"/>
    <cellStyle name="强调文字颜色 2 3 4 2 3 2 2" xfId="43052" xr:uid="{00000000-0005-0000-0000-00002CA80000}"/>
    <cellStyle name="强调文字颜色 2 3 4 2 4" xfId="43053" xr:uid="{00000000-0005-0000-0000-00002DA80000}"/>
    <cellStyle name="强调文字颜色 2 3 4 2 4 2" xfId="43054" xr:uid="{00000000-0005-0000-0000-00002EA80000}"/>
    <cellStyle name="强调文字颜色 2 3 4 3" xfId="43055" xr:uid="{00000000-0005-0000-0000-00002FA80000}"/>
    <cellStyle name="强调文字颜色 2 3 4 4" xfId="43056" xr:uid="{00000000-0005-0000-0000-000030A80000}"/>
    <cellStyle name="强调文字颜色 2 3 4 5" xfId="43057" xr:uid="{00000000-0005-0000-0000-000031A80000}"/>
    <cellStyle name="强调文字颜色 2 3 4 6" xfId="43058" xr:uid="{00000000-0005-0000-0000-000032A80000}"/>
    <cellStyle name="强调文字颜色 2 3 5" xfId="43059" xr:uid="{00000000-0005-0000-0000-000033A80000}"/>
    <cellStyle name="强调文字颜色 2 3 5 2" xfId="43060" xr:uid="{00000000-0005-0000-0000-000034A80000}"/>
    <cellStyle name="强调文字颜色 2 3 5 2 2" xfId="43061" xr:uid="{00000000-0005-0000-0000-000035A80000}"/>
    <cellStyle name="强调文字颜色 2 3 5 2 2 2" xfId="43062" xr:uid="{00000000-0005-0000-0000-000036A80000}"/>
    <cellStyle name="强调文字颜色 2 3 5 2 2 2 2" xfId="43063" xr:uid="{00000000-0005-0000-0000-000037A80000}"/>
    <cellStyle name="强调文字颜色 2 3 5 2 3" xfId="43064" xr:uid="{00000000-0005-0000-0000-000038A80000}"/>
    <cellStyle name="强调文字颜色 2 3 5 2 3 2" xfId="43065" xr:uid="{00000000-0005-0000-0000-000039A80000}"/>
    <cellStyle name="强调文字颜色 2 3 5 3" xfId="43066" xr:uid="{00000000-0005-0000-0000-00003AA80000}"/>
    <cellStyle name="强调文字颜色 2 3 5 3 2" xfId="43067" xr:uid="{00000000-0005-0000-0000-00003BA80000}"/>
    <cellStyle name="强调文字颜色 2 3 5 3 2 2" xfId="43068" xr:uid="{00000000-0005-0000-0000-00003CA80000}"/>
    <cellStyle name="强调文字颜色 2 3 5 4" xfId="43069" xr:uid="{00000000-0005-0000-0000-00003DA80000}"/>
    <cellStyle name="强调文字颜色 2 3 5 4 2" xfId="43070" xr:uid="{00000000-0005-0000-0000-00003EA80000}"/>
    <cellStyle name="强调文字颜色 2 3 6" xfId="43071" xr:uid="{00000000-0005-0000-0000-00003FA80000}"/>
    <cellStyle name="强调文字颜色 2 3 6 2" xfId="43072" xr:uid="{00000000-0005-0000-0000-000040A80000}"/>
    <cellStyle name="强调文字颜色 2 3 6 2 2" xfId="43073" xr:uid="{00000000-0005-0000-0000-000041A80000}"/>
    <cellStyle name="强调文字颜色 2 3 6 2 2 2" xfId="43074" xr:uid="{00000000-0005-0000-0000-000042A80000}"/>
    <cellStyle name="强调文字颜色 2 3 6 3" xfId="43075" xr:uid="{00000000-0005-0000-0000-000043A80000}"/>
    <cellStyle name="强调文字颜色 2 3 6 3 2" xfId="43076" xr:uid="{00000000-0005-0000-0000-000044A80000}"/>
    <cellStyle name="强调文字颜色 2 3 7" xfId="43077" xr:uid="{00000000-0005-0000-0000-000045A80000}"/>
    <cellStyle name="强调文字颜色 2 3 8" xfId="43078" xr:uid="{00000000-0005-0000-0000-000046A80000}"/>
    <cellStyle name="强调文字颜色 3 2" xfId="43079" xr:uid="{00000000-0005-0000-0000-000047A80000}"/>
    <cellStyle name="强调文字颜色 3 2 10" xfId="43080" xr:uid="{00000000-0005-0000-0000-000048A80000}"/>
    <cellStyle name="强调文字颜色 3 2 11" xfId="43081" xr:uid="{00000000-0005-0000-0000-000049A80000}"/>
    <cellStyle name="强调文字颜色 3 2 2" xfId="43082" xr:uid="{00000000-0005-0000-0000-00004AA80000}"/>
    <cellStyle name="强调文字颜色 3 2 2 10" xfId="43083" xr:uid="{00000000-0005-0000-0000-00004BA80000}"/>
    <cellStyle name="强调文字颜色 3 2 2 11" xfId="43084" xr:uid="{00000000-0005-0000-0000-00004CA80000}"/>
    <cellStyle name="强调文字颜色 3 2 2 2" xfId="43085" xr:uid="{00000000-0005-0000-0000-00004DA80000}"/>
    <cellStyle name="强调文字颜色 3 2 2 2 2" xfId="43086" xr:uid="{00000000-0005-0000-0000-00004EA80000}"/>
    <cellStyle name="强调文字颜色 3 2 2 2 2 2" xfId="43087" xr:uid="{00000000-0005-0000-0000-00004FA80000}"/>
    <cellStyle name="强调文字颜色 3 2 2 2 2 2 2" xfId="43088" xr:uid="{00000000-0005-0000-0000-000050A80000}"/>
    <cellStyle name="强调文字颜色 3 2 2 2 2 2 3" xfId="43089" xr:uid="{00000000-0005-0000-0000-000051A80000}"/>
    <cellStyle name="强调文字颜色 3 2 2 2 2 2 3 2" xfId="43090" xr:uid="{00000000-0005-0000-0000-000052A80000}"/>
    <cellStyle name="强调文字颜色 3 2 2 2 2 2 3 2 2" xfId="43091" xr:uid="{00000000-0005-0000-0000-000053A80000}"/>
    <cellStyle name="强调文字颜色 3 2 2 2 2 2 4" xfId="43092" xr:uid="{00000000-0005-0000-0000-000054A80000}"/>
    <cellStyle name="强调文字颜色 3 2 2 2 2 2 4 2" xfId="43093" xr:uid="{00000000-0005-0000-0000-000055A80000}"/>
    <cellStyle name="强调文字颜色 3 2 2 2 2 3" xfId="43094" xr:uid="{00000000-0005-0000-0000-000056A80000}"/>
    <cellStyle name="强调文字颜色 3 2 2 2 2 3 2" xfId="43095" xr:uid="{00000000-0005-0000-0000-000057A80000}"/>
    <cellStyle name="强调文字颜色 3 2 2 2 2 3 2 2" xfId="43096" xr:uid="{00000000-0005-0000-0000-000058A80000}"/>
    <cellStyle name="强调文字颜色 3 2 2 2 2 3 2 2 2" xfId="43097" xr:uid="{00000000-0005-0000-0000-000059A80000}"/>
    <cellStyle name="强调文字颜色 3 2 2 2 2 3 3" xfId="43098" xr:uid="{00000000-0005-0000-0000-00005AA80000}"/>
    <cellStyle name="强调文字颜色 3 2 2 2 2 3 3 2" xfId="43099" xr:uid="{00000000-0005-0000-0000-00005BA80000}"/>
    <cellStyle name="强调文字颜色 3 2 2 2 2 4" xfId="43100" xr:uid="{00000000-0005-0000-0000-00005CA80000}"/>
    <cellStyle name="强调文字颜色 3 2 2 2 2 5" xfId="43101" xr:uid="{00000000-0005-0000-0000-00005DA80000}"/>
    <cellStyle name="强调文字颜色 3 2 2 2 2 6" xfId="43102" xr:uid="{00000000-0005-0000-0000-00005EA80000}"/>
    <cellStyle name="强调文字颜色 3 2 2 2 3" xfId="43103" xr:uid="{00000000-0005-0000-0000-00005FA80000}"/>
    <cellStyle name="强调文字颜色 3 2 2 2 3 2" xfId="43104" xr:uid="{00000000-0005-0000-0000-000060A80000}"/>
    <cellStyle name="强调文字颜色 3 2 2 2 3 3" xfId="43105" xr:uid="{00000000-0005-0000-0000-000061A80000}"/>
    <cellStyle name="强调文字颜色 3 2 2 2 3 3 2" xfId="43106" xr:uid="{00000000-0005-0000-0000-000062A80000}"/>
    <cellStyle name="强调文字颜色 3 2 2 2 3 3 2 2" xfId="43107" xr:uid="{00000000-0005-0000-0000-000063A80000}"/>
    <cellStyle name="强调文字颜色 3 2 2 2 3 4" xfId="43108" xr:uid="{00000000-0005-0000-0000-000064A80000}"/>
    <cellStyle name="强调文字颜色 3 2 2 2 3 4 2" xfId="43109" xr:uid="{00000000-0005-0000-0000-000065A80000}"/>
    <cellStyle name="强调文字颜色 3 2 2 2 4" xfId="43110" xr:uid="{00000000-0005-0000-0000-000066A80000}"/>
    <cellStyle name="强调文字颜色 3 2 2 2 4 2" xfId="43111" xr:uid="{00000000-0005-0000-0000-000067A80000}"/>
    <cellStyle name="强调文字颜色 3 2 2 2 4 2 2" xfId="43112" xr:uid="{00000000-0005-0000-0000-000068A80000}"/>
    <cellStyle name="强调文字颜色 3 2 2 2 4 2 2 2" xfId="43113" xr:uid="{00000000-0005-0000-0000-000069A80000}"/>
    <cellStyle name="强调文字颜色 3 2 2 2 4 3" xfId="43114" xr:uid="{00000000-0005-0000-0000-00006AA80000}"/>
    <cellStyle name="强调文字颜色 3 2 2 2 4 3 2" xfId="43115" xr:uid="{00000000-0005-0000-0000-00006BA80000}"/>
    <cellStyle name="强调文字颜色 3 2 2 2 5" xfId="43116" xr:uid="{00000000-0005-0000-0000-00006CA80000}"/>
    <cellStyle name="强调文字颜色 3 2 2 2 6" xfId="43117" xr:uid="{00000000-0005-0000-0000-00006DA80000}"/>
    <cellStyle name="强调文字颜色 3 2 2 2 7" xfId="43118" xr:uid="{00000000-0005-0000-0000-00006EA80000}"/>
    <cellStyle name="强调文字颜色 3 2 2 3" xfId="43119" xr:uid="{00000000-0005-0000-0000-00006FA80000}"/>
    <cellStyle name="强调文字颜色 3 2 2 3 2" xfId="43120" xr:uid="{00000000-0005-0000-0000-000070A80000}"/>
    <cellStyle name="强调文字颜色 3 2 2 3 2 2" xfId="43121" xr:uid="{00000000-0005-0000-0000-000071A80000}"/>
    <cellStyle name="强调文字颜色 3 2 2 3 2 3" xfId="43122" xr:uid="{00000000-0005-0000-0000-000072A80000}"/>
    <cellStyle name="强调文字颜色 3 2 2 3 2 3 2" xfId="43123" xr:uid="{00000000-0005-0000-0000-000073A80000}"/>
    <cellStyle name="强调文字颜色 3 2 2 3 2 3 2 2" xfId="43124" xr:uid="{00000000-0005-0000-0000-000074A80000}"/>
    <cellStyle name="强调文字颜色 3 2 2 3 2 4" xfId="43125" xr:uid="{00000000-0005-0000-0000-000075A80000}"/>
    <cellStyle name="强调文字颜色 3 2 2 3 2 4 2" xfId="43126" xr:uid="{00000000-0005-0000-0000-000076A80000}"/>
    <cellStyle name="强调文字颜色 3 2 2 3 3" xfId="43127" xr:uid="{00000000-0005-0000-0000-000077A80000}"/>
    <cellStyle name="强调文字颜色 3 2 2 3 3 2" xfId="43128" xr:uid="{00000000-0005-0000-0000-000078A80000}"/>
    <cellStyle name="强调文字颜色 3 2 2 3 3 2 2" xfId="43129" xr:uid="{00000000-0005-0000-0000-000079A80000}"/>
    <cellStyle name="强调文字颜色 3 2 2 3 3 2 2 2" xfId="43130" xr:uid="{00000000-0005-0000-0000-00007AA80000}"/>
    <cellStyle name="强调文字颜色 3 2 2 3 3 3" xfId="43131" xr:uid="{00000000-0005-0000-0000-00007BA80000}"/>
    <cellStyle name="强调文字颜色 3 2 2 3 3 3 2" xfId="43132" xr:uid="{00000000-0005-0000-0000-00007CA80000}"/>
    <cellStyle name="强调文字颜色 3 2 2 3 4" xfId="43133" xr:uid="{00000000-0005-0000-0000-00007DA80000}"/>
    <cellStyle name="强调文字颜色 3 2 2 3 5" xfId="43134" xr:uid="{00000000-0005-0000-0000-00007EA80000}"/>
    <cellStyle name="强调文字颜色 3 2 2 3 6" xfId="43135" xr:uid="{00000000-0005-0000-0000-00007FA80000}"/>
    <cellStyle name="强调文字颜色 3 2 2 4" xfId="43136" xr:uid="{00000000-0005-0000-0000-000080A80000}"/>
    <cellStyle name="强调文字颜色 3 2 2 4 2" xfId="43137" xr:uid="{00000000-0005-0000-0000-000081A80000}"/>
    <cellStyle name="强调文字颜色 3 2 2 4 2 2" xfId="43138" xr:uid="{00000000-0005-0000-0000-000082A80000}"/>
    <cellStyle name="强调文字颜色 3 2 2 4 2 3" xfId="43139" xr:uid="{00000000-0005-0000-0000-000083A80000}"/>
    <cellStyle name="强调文字颜色 3 2 2 4 2 3 2" xfId="43140" xr:uid="{00000000-0005-0000-0000-000084A80000}"/>
    <cellStyle name="强调文字颜色 3 2 2 4 2 3 2 2" xfId="43141" xr:uid="{00000000-0005-0000-0000-000085A80000}"/>
    <cellStyle name="强调文字颜色 3 2 2 4 2 4" xfId="43142" xr:uid="{00000000-0005-0000-0000-000086A80000}"/>
    <cellStyle name="强调文字颜色 3 2 2 4 2 4 2" xfId="43143" xr:uid="{00000000-0005-0000-0000-000087A80000}"/>
    <cellStyle name="强调文字颜色 3 2 2 4 3" xfId="43144" xr:uid="{00000000-0005-0000-0000-000088A80000}"/>
    <cellStyle name="强调文字颜色 3 2 2 4 4" xfId="43145" xr:uid="{00000000-0005-0000-0000-000089A80000}"/>
    <cellStyle name="强调文字颜色 3 2 2 4 5" xfId="43146" xr:uid="{00000000-0005-0000-0000-00008AA80000}"/>
    <cellStyle name="强调文字颜色 3 2 2 4 6" xfId="43147" xr:uid="{00000000-0005-0000-0000-00008BA80000}"/>
    <cellStyle name="强调文字颜色 3 2 2 5" xfId="43148" xr:uid="{00000000-0005-0000-0000-00008CA80000}"/>
    <cellStyle name="强调文字颜色 3 2 2 5 2" xfId="43149" xr:uid="{00000000-0005-0000-0000-00008DA80000}"/>
    <cellStyle name="强调文字颜色 3 2 2 5 2 2" xfId="43150" xr:uid="{00000000-0005-0000-0000-00008EA80000}"/>
    <cellStyle name="强调文字颜色 3 2 2 5 2 2 2" xfId="43151" xr:uid="{00000000-0005-0000-0000-00008FA80000}"/>
    <cellStyle name="强调文字颜色 3 2 2 5 2 2 2 2" xfId="43152" xr:uid="{00000000-0005-0000-0000-000090A80000}"/>
    <cellStyle name="强调文字颜色 3 2 2 5 2 3" xfId="43153" xr:uid="{00000000-0005-0000-0000-000091A80000}"/>
    <cellStyle name="强调文字颜色 3 2 2 5 2 3 2" xfId="43154" xr:uid="{00000000-0005-0000-0000-000092A80000}"/>
    <cellStyle name="强调文字颜色 3 2 2 5 3" xfId="43155" xr:uid="{00000000-0005-0000-0000-000093A80000}"/>
    <cellStyle name="强调文字颜色 3 2 2 5 3 2" xfId="43156" xr:uid="{00000000-0005-0000-0000-000094A80000}"/>
    <cellStyle name="强调文字颜色 3 2 2 5 3 2 2" xfId="43157" xr:uid="{00000000-0005-0000-0000-000095A80000}"/>
    <cellStyle name="强调文字颜色 3 2 2 5 4" xfId="43158" xr:uid="{00000000-0005-0000-0000-000096A80000}"/>
    <cellStyle name="强调文字颜色 3 2 2 5 4 2" xfId="43159" xr:uid="{00000000-0005-0000-0000-000097A80000}"/>
    <cellStyle name="强调文字颜色 3 2 2 6" xfId="43160" xr:uid="{00000000-0005-0000-0000-000098A80000}"/>
    <cellStyle name="强调文字颜色 3 2 2 6 2" xfId="43161" xr:uid="{00000000-0005-0000-0000-000099A80000}"/>
    <cellStyle name="强调文字颜色 3 2 2 6 2 2" xfId="43162" xr:uid="{00000000-0005-0000-0000-00009AA80000}"/>
    <cellStyle name="强调文字颜色 3 2 2 6 2 2 2" xfId="43163" xr:uid="{00000000-0005-0000-0000-00009BA80000}"/>
    <cellStyle name="强调文字颜色 3 2 2 6 2 2 2 2" xfId="43164" xr:uid="{00000000-0005-0000-0000-00009CA80000}"/>
    <cellStyle name="强调文字颜色 3 2 2 6 2 3" xfId="43165" xr:uid="{00000000-0005-0000-0000-00009DA80000}"/>
    <cellStyle name="强调文字颜色 3 2 2 6 2 3 2" xfId="43166" xr:uid="{00000000-0005-0000-0000-00009EA80000}"/>
    <cellStyle name="强调文字颜色 3 2 2 6 3" xfId="43167" xr:uid="{00000000-0005-0000-0000-00009FA80000}"/>
    <cellStyle name="强调文字颜色 3 2 2 6 3 2" xfId="43168" xr:uid="{00000000-0005-0000-0000-0000A0A80000}"/>
    <cellStyle name="强调文字颜色 3 2 2 6 3 2 2" xfId="43169" xr:uid="{00000000-0005-0000-0000-0000A1A80000}"/>
    <cellStyle name="强调文字颜色 3 2 2 6 4" xfId="43170" xr:uid="{00000000-0005-0000-0000-0000A2A80000}"/>
    <cellStyle name="强调文字颜色 3 2 2 6 4 2" xfId="43171" xr:uid="{00000000-0005-0000-0000-0000A3A80000}"/>
    <cellStyle name="强调文字颜色 3 2 2 7" xfId="43172" xr:uid="{00000000-0005-0000-0000-0000A4A80000}"/>
    <cellStyle name="强调文字颜色 3 2 2 7 2" xfId="43173" xr:uid="{00000000-0005-0000-0000-0000A5A80000}"/>
    <cellStyle name="强调文字颜色 3 2 2 7 2 2" xfId="43174" xr:uid="{00000000-0005-0000-0000-0000A6A80000}"/>
    <cellStyle name="强调文字颜色 3 2 2 7 2 2 2" xfId="43175" xr:uid="{00000000-0005-0000-0000-0000A7A80000}"/>
    <cellStyle name="强调文字颜色 3 2 2 7 2 2 2 2" xfId="43176" xr:uid="{00000000-0005-0000-0000-0000A8A80000}"/>
    <cellStyle name="强调文字颜色 3 2 2 7 2 3" xfId="43177" xr:uid="{00000000-0005-0000-0000-0000A9A80000}"/>
    <cellStyle name="强调文字颜色 3 2 2 7 2 3 2" xfId="43178" xr:uid="{00000000-0005-0000-0000-0000AAA80000}"/>
    <cellStyle name="强调文字颜色 3 2 2 7 3" xfId="43179" xr:uid="{00000000-0005-0000-0000-0000ABA80000}"/>
    <cellStyle name="强调文字颜色 3 2 2 7 3 2" xfId="43180" xr:uid="{00000000-0005-0000-0000-0000ACA80000}"/>
    <cellStyle name="强调文字颜色 3 2 2 7 3 2 2" xfId="43181" xr:uid="{00000000-0005-0000-0000-0000ADA80000}"/>
    <cellStyle name="强调文字颜色 3 2 2 7 4" xfId="43182" xr:uid="{00000000-0005-0000-0000-0000AEA80000}"/>
    <cellStyle name="强调文字颜色 3 2 2 7 4 2" xfId="43183" xr:uid="{00000000-0005-0000-0000-0000AFA80000}"/>
    <cellStyle name="强调文字颜色 3 2 2 8" xfId="43184" xr:uid="{00000000-0005-0000-0000-0000B0A80000}"/>
    <cellStyle name="强调文字颜色 3 2 2 8 2" xfId="43185" xr:uid="{00000000-0005-0000-0000-0000B1A80000}"/>
    <cellStyle name="强调文字颜色 3 2 2 8 2 2" xfId="43186" xr:uid="{00000000-0005-0000-0000-0000B2A80000}"/>
    <cellStyle name="强调文字颜色 3 2 2 8 2 2 2" xfId="43187" xr:uid="{00000000-0005-0000-0000-0000B3A80000}"/>
    <cellStyle name="强调文字颜色 3 2 2 8 3" xfId="43188" xr:uid="{00000000-0005-0000-0000-0000B4A80000}"/>
    <cellStyle name="强调文字颜色 3 2 2 8 3 2" xfId="43189" xr:uid="{00000000-0005-0000-0000-0000B5A80000}"/>
    <cellStyle name="强调文字颜色 3 2 2 9" xfId="43190" xr:uid="{00000000-0005-0000-0000-0000B6A80000}"/>
    <cellStyle name="强调文字颜色 3 2 2 9 2" xfId="43191" xr:uid="{00000000-0005-0000-0000-0000B7A80000}"/>
    <cellStyle name="强调文字颜色 3 2 2 9 2 2" xfId="43192" xr:uid="{00000000-0005-0000-0000-0000B8A80000}"/>
    <cellStyle name="强调文字颜色 3 2 2 9 2 2 2" xfId="43193" xr:uid="{00000000-0005-0000-0000-0000B9A80000}"/>
    <cellStyle name="强调文字颜色 3 2 2 9 3" xfId="43194" xr:uid="{00000000-0005-0000-0000-0000BAA80000}"/>
    <cellStyle name="强调文字颜色 3 2 2 9 3 2" xfId="43195" xr:uid="{00000000-0005-0000-0000-0000BBA80000}"/>
    <cellStyle name="强调文字颜色 3 2 3" xfId="43196" xr:uid="{00000000-0005-0000-0000-0000BCA80000}"/>
    <cellStyle name="强调文字颜色 3 2 3 2" xfId="43197" xr:uid="{00000000-0005-0000-0000-0000BDA80000}"/>
    <cellStyle name="强调文字颜色 3 2 3 2 2" xfId="43198" xr:uid="{00000000-0005-0000-0000-0000BEA80000}"/>
    <cellStyle name="强调文字颜色 3 2 3 2 2 2" xfId="43199" xr:uid="{00000000-0005-0000-0000-0000BFA80000}"/>
    <cellStyle name="强调文字颜色 3 2 3 2 2 2 2" xfId="43200" xr:uid="{00000000-0005-0000-0000-0000C0A80000}"/>
    <cellStyle name="强调文字颜色 3 2 3 2 2 2 3" xfId="43201" xr:uid="{00000000-0005-0000-0000-0000C1A80000}"/>
    <cellStyle name="强调文字颜色 3 2 3 2 2 2 3 2" xfId="43202" xr:uid="{00000000-0005-0000-0000-0000C2A80000}"/>
    <cellStyle name="强调文字颜色 3 2 3 2 2 2 3 2 2" xfId="43203" xr:uid="{00000000-0005-0000-0000-0000C3A80000}"/>
    <cellStyle name="强调文字颜色 3 2 3 2 2 2 4" xfId="43204" xr:uid="{00000000-0005-0000-0000-0000C4A80000}"/>
    <cellStyle name="强调文字颜色 3 2 3 2 2 2 4 2" xfId="43205" xr:uid="{00000000-0005-0000-0000-0000C5A80000}"/>
    <cellStyle name="强调文字颜色 3 2 3 2 2 3" xfId="43206" xr:uid="{00000000-0005-0000-0000-0000C6A80000}"/>
    <cellStyle name="强调文字颜色 3 2 3 2 2 3 2" xfId="43207" xr:uid="{00000000-0005-0000-0000-0000C7A80000}"/>
    <cellStyle name="强调文字颜色 3 2 3 2 2 3 2 2" xfId="43208" xr:uid="{00000000-0005-0000-0000-0000C8A80000}"/>
    <cellStyle name="强调文字颜色 3 2 3 2 2 3 2 2 2" xfId="43209" xr:uid="{00000000-0005-0000-0000-0000C9A80000}"/>
    <cellStyle name="强调文字颜色 3 2 3 2 2 3 3" xfId="43210" xr:uid="{00000000-0005-0000-0000-0000CAA80000}"/>
    <cellStyle name="强调文字颜色 3 2 3 2 2 3 3 2" xfId="43211" xr:uid="{00000000-0005-0000-0000-0000CBA80000}"/>
    <cellStyle name="强调文字颜色 3 2 3 2 2 4" xfId="43212" xr:uid="{00000000-0005-0000-0000-0000CCA80000}"/>
    <cellStyle name="强调文字颜色 3 2 3 2 2 5" xfId="43213" xr:uid="{00000000-0005-0000-0000-0000CDA80000}"/>
    <cellStyle name="强调文字颜色 3 2 3 2 2 6" xfId="43214" xr:uid="{00000000-0005-0000-0000-0000CEA80000}"/>
    <cellStyle name="强调文字颜色 3 2 3 2 3" xfId="43215" xr:uid="{00000000-0005-0000-0000-0000CFA80000}"/>
    <cellStyle name="强调文字颜色 3 2 3 2 3 2" xfId="43216" xr:uid="{00000000-0005-0000-0000-0000D0A80000}"/>
    <cellStyle name="强调文字颜色 3 2 3 2 3 3" xfId="43217" xr:uid="{00000000-0005-0000-0000-0000D1A80000}"/>
    <cellStyle name="强调文字颜色 3 2 3 2 3 3 2" xfId="43218" xr:uid="{00000000-0005-0000-0000-0000D2A80000}"/>
    <cellStyle name="强调文字颜色 3 2 3 2 3 3 2 2" xfId="43219" xr:uid="{00000000-0005-0000-0000-0000D3A80000}"/>
    <cellStyle name="强调文字颜色 3 2 3 2 3 4" xfId="43220" xr:uid="{00000000-0005-0000-0000-0000D4A80000}"/>
    <cellStyle name="强调文字颜色 3 2 3 2 3 4 2" xfId="43221" xr:uid="{00000000-0005-0000-0000-0000D5A80000}"/>
    <cellStyle name="强调文字颜色 3 2 3 2 4" xfId="43222" xr:uid="{00000000-0005-0000-0000-0000D6A80000}"/>
    <cellStyle name="强调文字颜色 3 2 3 2 4 2" xfId="43223" xr:uid="{00000000-0005-0000-0000-0000D7A80000}"/>
    <cellStyle name="强调文字颜色 3 2 3 2 4 2 2" xfId="43224" xr:uid="{00000000-0005-0000-0000-0000D8A80000}"/>
    <cellStyle name="强调文字颜色 3 2 3 2 4 2 2 2" xfId="43225" xr:uid="{00000000-0005-0000-0000-0000D9A80000}"/>
    <cellStyle name="强调文字颜色 3 2 3 2 4 3" xfId="43226" xr:uid="{00000000-0005-0000-0000-0000DAA80000}"/>
    <cellStyle name="强调文字颜色 3 2 3 2 4 3 2" xfId="43227" xr:uid="{00000000-0005-0000-0000-0000DBA80000}"/>
    <cellStyle name="强调文字颜色 3 2 3 2 5" xfId="43228" xr:uid="{00000000-0005-0000-0000-0000DCA80000}"/>
    <cellStyle name="强调文字颜色 3 2 3 2 6" xfId="43229" xr:uid="{00000000-0005-0000-0000-0000DDA80000}"/>
    <cellStyle name="强调文字颜色 3 2 3 2 7" xfId="43230" xr:uid="{00000000-0005-0000-0000-0000DEA80000}"/>
    <cellStyle name="强调文字颜色 3 2 3 3" xfId="43231" xr:uid="{00000000-0005-0000-0000-0000DFA80000}"/>
    <cellStyle name="强调文字颜色 3 2 3 3 2" xfId="43232" xr:uid="{00000000-0005-0000-0000-0000E0A80000}"/>
    <cellStyle name="强调文字颜色 3 2 3 3 2 2" xfId="43233" xr:uid="{00000000-0005-0000-0000-0000E1A80000}"/>
    <cellStyle name="强调文字颜色 3 2 3 3 2 3" xfId="43234" xr:uid="{00000000-0005-0000-0000-0000E2A80000}"/>
    <cellStyle name="强调文字颜色 3 2 3 3 2 3 2" xfId="43235" xr:uid="{00000000-0005-0000-0000-0000E3A80000}"/>
    <cellStyle name="强调文字颜色 3 2 3 3 2 3 2 2" xfId="43236" xr:uid="{00000000-0005-0000-0000-0000E4A80000}"/>
    <cellStyle name="强调文字颜色 3 2 3 3 2 4" xfId="43237" xr:uid="{00000000-0005-0000-0000-0000E5A80000}"/>
    <cellStyle name="强调文字颜色 3 2 3 3 2 4 2" xfId="43238" xr:uid="{00000000-0005-0000-0000-0000E6A80000}"/>
    <cellStyle name="强调文字颜色 3 2 3 3 3" xfId="43239" xr:uid="{00000000-0005-0000-0000-0000E7A80000}"/>
    <cellStyle name="强调文字颜色 3 2 3 3 3 2" xfId="43240" xr:uid="{00000000-0005-0000-0000-0000E8A80000}"/>
    <cellStyle name="强调文字颜色 3 2 3 3 3 2 2" xfId="43241" xr:uid="{00000000-0005-0000-0000-0000E9A80000}"/>
    <cellStyle name="强调文字颜色 3 2 3 3 3 2 2 2" xfId="43242" xr:uid="{00000000-0005-0000-0000-0000EAA80000}"/>
    <cellStyle name="强调文字颜色 3 2 3 3 3 3" xfId="43243" xr:uid="{00000000-0005-0000-0000-0000EBA80000}"/>
    <cellStyle name="强调文字颜色 3 2 3 3 3 3 2" xfId="43244" xr:uid="{00000000-0005-0000-0000-0000ECA80000}"/>
    <cellStyle name="强调文字颜色 3 2 3 3 4" xfId="43245" xr:uid="{00000000-0005-0000-0000-0000EDA80000}"/>
    <cellStyle name="强调文字颜色 3 2 3 3 5" xfId="43246" xr:uid="{00000000-0005-0000-0000-0000EEA80000}"/>
    <cellStyle name="强调文字颜色 3 2 3 3 6" xfId="43247" xr:uid="{00000000-0005-0000-0000-0000EFA80000}"/>
    <cellStyle name="强调文字颜色 3 2 3 4" xfId="43248" xr:uid="{00000000-0005-0000-0000-0000F0A80000}"/>
    <cellStyle name="强调文字颜色 3 2 3 4 2" xfId="43249" xr:uid="{00000000-0005-0000-0000-0000F1A80000}"/>
    <cellStyle name="强调文字颜色 3 2 3 4 2 2" xfId="43250" xr:uid="{00000000-0005-0000-0000-0000F2A80000}"/>
    <cellStyle name="强调文字颜色 3 2 3 4 2 3" xfId="43251" xr:uid="{00000000-0005-0000-0000-0000F3A80000}"/>
    <cellStyle name="强调文字颜色 3 2 3 4 2 3 2" xfId="43252" xr:uid="{00000000-0005-0000-0000-0000F4A80000}"/>
    <cellStyle name="强调文字颜色 3 2 3 4 2 3 2 2" xfId="43253" xr:uid="{00000000-0005-0000-0000-0000F5A80000}"/>
    <cellStyle name="强调文字颜色 3 2 3 4 2 4" xfId="43254" xr:uid="{00000000-0005-0000-0000-0000F6A80000}"/>
    <cellStyle name="强调文字颜色 3 2 3 4 2 4 2" xfId="43255" xr:uid="{00000000-0005-0000-0000-0000F7A80000}"/>
    <cellStyle name="强调文字颜色 3 2 3 4 3" xfId="43256" xr:uid="{00000000-0005-0000-0000-0000F8A80000}"/>
    <cellStyle name="强调文字颜色 3 2 3 4 4" xfId="43257" xr:uid="{00000000-0005-0000-0000-0000F9A80000}"/>
    <cellStyle name="强调文字颜色 3 2 3 4 5" xfId="43258" xr:uid="{00000000-0005-0000-0000-0000FAA80000}"/>
    <cellStyle name="强调文字颜色 3 2 3 4 6" xfId="43259" xr:uid="{00000000-0005-0000-0000-0000FBA80000}"/>
    <cellStyle name="强调文字颜色 3 2 3 5" xfId="43260" xr:uid="{00000000-0005-0000-0000-0000FCA80000}"/>
    <cellStyle name="强调文字颜色 3 2 3 5 2" xfId="43261" xr:uid="{00000000-0005-0000-0000-0000FDA80000}"/>
    <cellStyle name="强调文字颜色 3 2 3 5 2 2" xfId="43262" xr:uid="{00000000-0005-0000-0000-0000FEA80000}"/>
    <cellStyle name="强调文字颜色 3 2 3 5 2 2 2" xfId="43263" xr:uid="{00000000-0005-0000-0000-0000FFA80000}"/>
    <cellStyle name="强调文字颜色 3 2 3 5 2 2 2 2" xfId="43264" xr:uid="{00000000-0005-0000-0000-000000A90000}"/>
    <cellStyle name="强调文字颜色 3 2 3 5 2 3" xfId="43265" xr:uid="{00000000-0005-0000-0000-000001A90000}"/>
    <cellStyle name="强调文字颜色 3 2 3 5 2 3 2" xfId="43266" xr:uid="{00000000-0005-0000-0000-000002A90000}"/>
    <cellStyle name="强调文字颜色 3 2 3 5 3" xfId="43267" xr:uid="{00000000-0005-0000-0000-000003A90000}"/>
    <cellStyle name="强调文字颜色 3 2 3 5 3 2" xfId="43268" xr:uid="{00000000-0005-0000-0000-000004A90000}"/>
    <cellStyle name="强调文字颜色 3 2 3 5 3 2 2" xfId="43269" xr:uid="{00000000-0005-0000-0000-000005A90000}"/>
    <cellStyle name="强调文字颜色 3 2 3 5 4" xfId="43270" xr:uid="{00000000-0005-0000-0000-000006A90000}"/>
    <cellStyle name="强调文字颜色 3 2 3 5 4 2" xfId="43271" xr:uid="{00000000-0005-0000-0000-000007A90000}"/>
    <cellStyle name="强调文字颜色 3 2 3 6" xfId="43272" xr:uid="{00000000-0005-0000-0000-000008A90000}"/>
    <cellStyle name="强调文字颜色 3 2 3 6 2" xfId="43273" xr:uid="{00000000-0005-0000-0000-000009A90000}"/>
    <cellStyle name="强调文字颜色 3 2 3 6 2 2" xfId="43274" xr:uid="{00000000-0005-0000-0000-00000AA90000}"/>
    <cellStyle name="强调文字颜色 3 2 3 6 2 2 2" xfId="43275" xr:uid="{00000000-0005-0000-0000-00000BA90000}"/>
    <cellStyle name="强调文字颜色 3 2 3 6 3" xfId="43276" xr:uid="{00000000-0005-0000-0000-00000CA90000}"/>
    <cellStyle name="强调文字颜色 3 2 3 6 3 2" xfId="43277" xr:uid="{00000000-0005-0000-0000-00000DA90000}"/>
    <cellStyle name="强调文字颜色 3 2 3 7" xfId="43278" xr:uid="{00000000-0005-0000-0000-00000EA90000}"/>
    <cellStyle name="强调文字颜色 3 2 3 7 2" xfId="43279" xr:uid="{00000000-0005-0000-0000-00000FA90000}"/>
    <cellStyle name="强调文字颜色 3 2 3 7 2 2" xfId="43280" xr:uid="{00000000-0005-0000-0000-000010A90000}"/>
    <cellStyle name="强调文字颜色 3 2 3 7 2 2 2" xfId="43281" xr:uid="{00000000-0005-0000-0000-000011A90000}"/>
    <cellStyle name="强调文字颜色 3 2 3 7 3" xfId="43282" xr:uid="{00000000-0005-0000-0000-000012A90000}"/>
    <cellStyle name="强调文字颜色 3 2 3 7 3 2" xfId="43283" xr:uid="{00000000-0005-0000-0000-000013A90000}"/>
    <cellStyle name="强调文字颜色 3 2 3 8" xfId="43284" xr:uid="{00000000-0005-0000-0000-000014A90000}"/>
    <cellStyle name="强调文字颜色 3 2 3 9" xfId="43285" xr:uid="{00000000-0005-0000-0000-000015A90000}"/>
    <cellStyle name="强调文字颜色 3 2 4" xfId="43286" xr:uid="{00000000-0005-0000-0000-000016A90000}"/>
    <cellStyle name="强调文字颜色 3 2 4 2" xfId="43287" xr:uid="{00000000-0005-0000-0000-000017A90000}"/>
    <cellStyle name="强调文字颜色 3 2 4 2 2" xfId="43288" xr:uid="{00000000-0005-0000-0000-000018A90000}"/>
    <cellStyle name="强调文字颜色 3 2 4 2 3" xfId="43289" xr:uid="{00000000-0005-0000-0000-000019A90000}"/>
    <cellStyle name="强调文字颜色 3 2 4 2 3 2" xfId="43290" xr:uid="{00000000-0005-0000-0000-00001AA90000}"/>
    <cellStyle name="强调文字颜色 3 2 4 2 3 2 2" xfId="43291" xr:uid="{00000000-0005-0000-0000-00001BA90000}"/>
    <cellStyle name="强调文字颜色 3 2 4 2 4" xfId="43292" xr:uid="{00000000-0005-0000-0000-00001CA90000}"/>
    <cellStyle name="强调文字颜色 3 2 4 2 4 2" xfId="43293" xr:uid="{00000000-0005-0000-0000-00001DA90000}"/>
    <cellStyle name="强调文字颜色 3 2 4 3" xfId="43294" xr:uid="{00000000-0005-0000-0000-00001EA90000}"/>
    <cellStyle name="强调文字颜色 3 2 4 3 2" xfId="43295" xr:uid="{00000000-0005-0000-0000-00001FA90000}"/>
    <cellStyle name="强调文字颜色 3 2 4 3 2 2" xfId="43296" xr:uid="{00000000-0005-0000-0000-000020A90000}"/>
    <cellStyle name="强调文字颜色 3 2 4 3 2 2 2" xfId="43297" xr:uid="{00000000-0005-0000-0000-000021A90000}"/>
    <cellStyle name="强调文字颜色 3 2 4 3 3" xfId="43298" xr:uid="{00000000-0005-0000-0000-000022A90000}"/>
    <cellStyle name="强调文字颜色 3 2 4 3 3 2" xfId="43299" xr:uid="{00000000-0005-0000-0000-000023A90000}"/>
    <cellStyle name="强调文字颜色 3 2 4 4" xfId="43300" xr:uid="{00000000-0005-0000-0000-000024A90000}"/>
    <cellStyle name="强调文字颜色 3 2 4 5" xfId="43301" xr:uid="{00000000-0005-0000-0000-000025A90000}"/>
    <cellStyle name="强调文字颜色 3 2 4 6" xfId="43302" xr:uid="{00000000-0005-0000-0000-000026A90000}"/>
    <cellStyle name="强调文字颜色 3 2 5" xfId="43303" xr:uid="{00000000-0005-0000-0000-000027A90000}"/>
    <cellStyle name="强调文字颜色 3 2 5 2" xfId="43304" xr:uid="{00000000-0005-0000-0000-000028A90000}"/>
    <cellStyle name="强调文字颜色 3 2 5 2 2" xfId="43305" xr:uid="{00000000-0005-0000-0000-000029A90000}"/>
    <cellStyle name="强调文字颜色 3 2 5 2 3" xfId="43306" xr:uid="{00000000-0005-0000-0000-00002AA90000}"/>
    <cellStyle name="强调文字颜色 3 2 5 2 3 2" xfId="43307" xr:uid="{00000000-0005-0000-0000-00002BA90000}"/>
    <cellStyle name="强调文字颜色 3 2 5 2 3 2 2" xfId="43308" xr:uid="{00000000-0005-0000-0000-00002CA90000}"/>
    <cellStyle name="强调文字颜色 3 2 5 2 4" xfId="43309" xr:uid="{00000000-0005-0000-0000-00002DA90000}"/>
    <cellStyle name="强调文字颜色 3 2 5 2 4 2" xfId="43310" xr:uid="{00000000-0005-0000-0000-00002EA90000}"/>
    <cellStyle name="强调文字颜色 3 2 5 3" xfId="43311" xr:uid="{00000000-0005-0000-0000-00002FA90000}"/>
    <cellStyle name="强调文字颜色 3 2 5 4" xfId="43312" xr:uid="{00000000-0005-0000-0000-000030A90000}"/>
    <cellStyle name="强调文字颜色 3 2 5 5" xfId="43313" xr:uid="{00000000-0005-0000-0000-000031A90000}"/>
    <cellStyle name="强调文字颜色 3 2 5 6" xfId="43314" xr:uid="{00000000-0005-0000-0000-000032A90000}"/>
    <cellStyle name="强调文字颜色 3 2 6" xfId="43315" xr:uid="{00000000-0005-0000-0000-000033A90000}"/>
    <cellStyle name="强调文字颜色 3 2 6 2" xfId="43316" xr:uid="{00000000-0005-0000-0000-000034A90000}"/>
    <cellStyle name="强调文字颜色 3 2 6 2 2" xfId="43317" xr:uid="{00000000-0005-0000-0000-000035A90000}"/>
    <cellStyle name="强调文字颜色 3 2 6 2 2 2" xfId="43318" xr:uid="{00000000-0005-0000-0000-000036A90000}"/>
    <cellStyle name="强调文字颜色 3 2 6 2 2 2 2" xfId="43319" xr:uid="{00000000-0005-0000-0000-000037A90000}"/>
    <cellStyle name="强调文字颜色 3 2 6 2 3" xfId="43320" xr:uid="{00000000-0005-0000-0000-000038A90000}"/>
    <cellStyle name="强调文字颜色 3 2 6 2 3 2" xfId="43321" xr:uid="{00000000-0005-0000-0000-000039A90000}"/>
    <cellStyle name="强调文字颜色 3 2 6 3" xfId="43322" xr:uid="{00000000-0005-0000-0000-00003AA90000}"/>
    <cellStyle name="强调文字颜色 3 2 6 3 2" xfId="43323" xr:uid="{00000000-0005-0000-0000-00003BA90000}"/>
    <cellStyle name="强调文字颜色 3 2 6 3 2 2" xfId="43324" xr:uid="{00000000-0005-0000-0000-00003CA90000}"/>
    <cellStyle name="强调文字颜色 3 2 6 4" xfId="43325" xr:uid="{00000000-0005-0000-0000-00003DA90000}"/>
    <cellStyle name="强调文字颜色 3 2 6 4 2" xfId="43326" xr:uid="{00000000-0005-0000-0000-00003EA90000}"/>
    <cellStyle name="强调文字颜色 3 2 7" xfId="43327" xr:uid="{00000000-0005-0000-0000-00003FA90000}"/>
    <cellStyle name="强调文字颜色 3 2 7 2" xfId="43328" xr:uid="{00000000-0005-0000-0000-000040A90000}"/>
    <cellStyle name="强调文字颜色 3 2 7 2 2" xfId="43329" xr:uid="{00000000-0005-0000-0000-000041A90000}"/>
    <cellStyle name="强调文字颜色 3 2 7 2 2 2" xfId="43330" xr:uid="{00000000-0005-0000-0000-000042A90000}"/>
    <cellStyle name="强调文字颜色 3 2 7 2 2 2 2" xfId="43331" xr:uid="{00000000-0005-0000-0000-000043A90000}"/>
    <cellStyle name="强调文字颜色 3 2 7 2 3" xfId="43332" xr:uid="{00000000-0005-0000-0000-000044A90000}"/>
    <cellStyle name="强调文字颜色 3 2 7 2 3 2" xfId="43333" xr:uid="{00000000-0005-0000-0000-000045A90000}"/>
    <cellStyle name="强调文字颜色 3 2 7 3" xfId="43334" xr:uid="{00000000-0005-0000-0000-000046A90000}"/>
    <cellStyle name="强调文字颜色 3 2 7 3 2" xfId="43335" xr:uid="{00000000-0005-0000-0000-000047A90000}"/>
    <cellStyle name="强调文字颜色 3 2 7 3 2 2" xfId="43336" xr:uid="{00000000-0005-0000-0000-000048A90000}"/>
    <cellStyle name="强调文字颜色 3 2 7 4" xfId="43337" xr:uid="{00000000-0005-0000-0000-000049A90000}"/>
    <cellStyle name="强调文字颜色 3 2 7 4 2" xfId="43338" xr:uid="{00000000-0005-0000-0000-00004AA90000}"/>
    <cellStyle name="强调文字颜色 3 2 8" xfId="43339" xr:uid="{00000000-0005-0000-0000-00004BA90000}"/>
    <cellStyle name="强调文字颜色 3 2 8 2" xfId="43340" xr:uid="{00000000-0005-0000-0000-00004CA90000}"/>
    <cellStyle name="强调文字颜色 3 2 8 2 2" xfId="43341" xr:uid="{00000000-0005-0000-0000-00004DA90000}"/>
    <cellStyle name="强调文字颜色 3 2 8 2 2 2" xfId="43342" xr:uid="{00000000-0005-0000-0000-00004EA90000}"/>
    <cellStyle name="强调文字颜色 3 2 8 2 2 2 2" xfId="43343" xr:uid="{00000000-0005-0000-0000-00004FA90000}"/>
    <cellStyle name="强调文字颜色 3 2 8 2 3" xfId="43344" xr:uid="{00000000-0005-0000-0000-000050A90000}"/>
    <cellStyle name="强调文字颜色 3 2 8 2 3 2" xfId="43345" xr:uid="{00000000-0005-0000-0000-000051A90000}"/>
    <cellStyle name="强调文字颜色 3 2 8 3" xfId="43346" xr:uid="{00000000-0005-0000-0000-000052A90000}"/>
    <cellStyle name="强调文字颜色 3 2 8 3 2" xfId="43347" xr:uid="{00000000-0005-0000-0000-000053A90000}"/>
    <cellStyle name="强调文字颜色 3 2 8 3 2 2" xfId="43348" xr:uid="{00000000-0005-0000-0000-000054A90000}"/>
    <cellStyle name="强调文字颜色 3 2 8 4" xfId="43349" xr:uid="{00000000-0005-0000-0000-000055A90000}"/>
    <cellStyle name="强调文字颜色 3 2 8 4 2" xfId="43350" xr:uid="{00000000-0005-0000-0000-000056A90000}"/>
    <cellStyle name="强调文字颜色 3 2 9" xfId="43351" xr:uid="{00000000-0005-0000-0000-000057A90000}"/>
    <cellStyle name="强调文字颜色 3 2 9 2" xfId="43352" xr:uid="{00000000-0005-0000-0000-000058A90000}"/>
    <cellStyle name="强调文字颜色 3 2 9 2 2" xfId="43353" xr:uid="{00000000-0005-0000-0000-000059A90000}"/>
    <cellStyle name="强调文字颜色 3 2 9 2 2 2" xfId="43354" xr:uid="{00000000-0005-0000-0000-00005AA90000}"/>
    <cellStyle name="强调文字颜色 3 2 9 3" xfId="43355" xr:uid="{00000000-0005-0000-0000-00005BA90000}"/>
    <cellStyle name="强调文字颜色 3 2 9 3 2" xfId="43356" xr:uid="{00000000-0005-0000-0000-00005CA90000}"/>
    <cellStyle name="强调文字颜色 3 3" xfId="43357" xr:uid="{00000000-0005-0000-0000-00005DA90000}"/>
    <cellStyle name="强调文字颜色 3 3 2" xfId="43358" xr:uid="{00000000-0005-0000-0000-00005EA90000}"/>
    <cellStyle name="强调文字颜色 3 3 2 2" xfId="43359" xr:uid="{00000000-0005-0000-0000-00005FA90000}"/>
    <cellStyle name="强调文字颜色 3 3 2 2 2" xfId="43360" xr:uid="{00000000-0005-0000-0000-000060A90000}"/>
    <cellStyle name="强调文字颜色 3 3 2 2 2 2" xfId="43361" xr:uid="{00000000-0005-0000-0000-000061A90000}"/>
    <cellStyle name="强调文字颜色 3 3 2 2 2 3" xfId="43362" xr:uid="{00000000-0005-0000-0000-000062A90000}"/>
    <cellStyle name="强调文字颜色 3 3 2 2 2 3 2" xfId="43363" xr:uid="{00000000-0005-0000-0000-000063A90000}"/>
    <cellStyle name="强调文字颜色 3 3 2 2 2 3 2 2" xfId="43364" xr:uid="{00000000-0005-0000-0000-000064A90000}"/>
    <cellStyle name="强调文字颜色 3 3 2 2 2 4" xfId="43365" xr:uid="{00000000-0005-0000-0000-000065A90000}"/>
    <cellStyle name="强调文字颜色 3 3 2 2 2 4 2" xfId="43366" xr:uid="{00000000-0005-0000-0000-000066A90000}"/>
    <cellStyle name="强调文字颜色 3 3 2 2 3" xfId="43367" xr:uid="{00000000-0005-0000-0000-000067A90000}"/>
    <cellStyle name="强调文字颜色 3 3 2 2 3 2" xfId="43368" xr:uid="{00000000-0005-0000-0000-000068A90000}"/>
    <cellStyle name="强调文字颜色 3 3 2 2 3 2 2" xfId="43369" xr:uid="{00000000-0005-0000-0000-000069A90000}"/>
    <cellStyle name="强调文字颜色 3 3 2 2 3 2 2 2" xfId="43370" xr:uid="{00000000-0005-0000-0000-00006AA90000}"/>
    <cellStyle name="强调文字颜色 3 3 2 2 3 3" xfId="43371" xr:uid="{00000000-0005-0000-0000-00006BA90000}"/>
    <cellStyle name="强调文字颜色 3 3 2 2 3 3 2" xfId="43372" xr:uid="{00000000-0005-0000-0000-00006CA90000}"/>
    <cellStyle name="强调文字颜色 3 3 2 2 4" xfId="43373" xr:uid="{00000000-0005-0000-0000-00006DA90000}"/>
    <cellStyle name="强调文字颜色 3 3 2 2 5" xfId="43374" xr:uid="{00000000-0005-0000-0000-00006EA90000}"/>
    <cellStyle name="强调文字颜色 3 3 2 2 6" xfId="43375" xr:uid="{00000000-0005-0000-0000-00006FA90000}"/>
    <cellStyle name="强调文字颜色 3 3 2 3" xfId="43376" xr:uid="{00000000-0005-0000-0000-000070A90000}"/>
    <cellStyle name="强调文字颜色 3 3 2 3 2" xfId="43377" xr:uid="{00000000-0005-0000-0000-000071A90000}"/>
    <cellStyle name="强调文字颜色 3 3 2 3 3" xfId="43378" xr:uid="{00000000-0005-0000-0000-000072A90000}"/>
    <cellStyle name="强调文字颜色 3 3 2 3 3 2" xfId="43379" xr:uid="{00000000-0005-0000-0000-000073A90000}"/>
    <cellStyle name="强调文字颜色 3 3 2 3 3 2 2" xfId="43380" xr:uid="{00000000-0005-0000-0000-000074A90000}"/>
    <cellStyle name="强调文字颜色 3 3 2 3 4" xfId="43381" xr:uid="{00000000-0005-0000-0000-000075A90000}"/>
    <cellStyle name="强调文字颜色 3 3 2 3 4 2" xfId="43382" xr:uid="{00000000-0005-0000-0000-000076A90000}"/>
    <cellStyle name="强调文字颜色 3 3 2 4" xfId="43383" xr:uid="{00000000-0005-0000-0000-000077A90000}"/>
    <cellStyle name="强调文字颜色 3 3 2 4 2" xfId="43384" xr:uid="{00000000-0005-0000-0000-000078A90000}"/>
    <cellStyle name="强调文字颜色 3 3 2 4 2 2" xfId="43385" xr:uid="{00000000-0005-0000-0000-000079A90000}"/>
    <cellStyle name="强调文字颜色 3 3 2 4 2 2 2" xfId="43386" xr:uid="{00000000-0005-0000-0000-00007AA90000}"/>
    <cellStyle name="强调文字颜色 3 3 2 4 3" xfId="43387" xr:uid="{00000000-0005-0000-0000-00007BA90000}"/>
    <cellStyle name="强调文字颜色 3 3 2 4 3 2" xfId="43388" xr:uid="{00000000-0005-0000-0000-00007CA90000}"/>
    <cellStyle name="强调文字颜色 3 3 2 5" xfId="43389" xr:uid="{00000000-0005-0000-0000-00007DA90000}"/>
    <cellStyle name="强调文字颜色 3 3 2 6" xfId="43390" xr:uid="{00000000-0005-0000-0000-00007EA90000}"/>
    <cellStyle name="强调文字颜色 3 3 2 7" xfId="43391" xr:uid="{00000000-0005-0000-0000-00007FA90000}"/>
    <cellStyle name="强调文字颜色 3 3 3" xfId="43392" xr:uid="{00000000-0005-0000-0000-000080A90000}"/>
    <cellStyle name="强调文字颜色 3 3 3 2" xfId="43393" xr:uid="{00000000-0005-0000-0000-000081A90000}"/>
    <cellStyle name="强调文字颜色 3 3 3 2 2" xfId="43394" xr:uid="{00000000-0005-0000-0000-000082A90000}"/>
    <cellStyle name="强调文字颜色 3 3 3 2 3" xfId="43395" xr:uid="{00000000-0005-0000-0000-000083A90000}"/>
    <cellStyle name="强调文字颜色 3 3 3 2 3 2" xfId="43396" xr:uid="{00000000-0005-0000-0000-000084A90000}"/>
    <cellStyle name="强调文字颜色 3 3 3 2 3 2 2" xfId="43397" xr:uid="{00000000-0005-0000-0000-000085A90000}"/>
    <cellStyle name="强调文字颜色 3 3 3 2 4" xfId="43398" xr:uid="{00000000-0005-0000-0000-000086A90000}"/>
    <cellStyle name="强调文字颜色 3 3 3 2 4 2" xfId="43399" xr:uid="{00000000-0005-0000-0000-000087A90000}"/>
    <cellStyle name="强调文字颜色 3 3 3 3" xfId="43400" xr:uid="{00000000-0005-0000-0000-000088A90000}"/>
    <cellStyle name="强调文字颜色 3 3 3 3 2" xfId="43401" xr:uid="{00000000-0005-0000-0000-000089A90000}"/>
    <cellStyle name="强调文字颜色 3 3 3 3 2 2" xfId="43402" xr:uid="{00000000-0005-0000-0000-00008AA90000}"/>
    <cellStyle name="强调文字颜色 3 3 3 3 2 2 2" xfId="43403" xr:uid="{00000000-0005-0000-0000-00008BA90000}"/>
    <cellStyle name="强调文字颜色 3 3 3 3 3" xfId="43404" xr:uid="{00000000-0005-0000-0000-00008CA90000}"/>
    <cellStyle name="强调文字颜色 3 3 3 3 3 2" xfId="43405" xr:uid="{00000000-0005-0000-0000-00008DA90000}"/>
    <cellStyle name="强调文字颜色 3 3 3 4" xfId="43406" xr:uid="{00000000-0005-0000-0000-00008EA90000}"/>
    <cellStyle name="强调文字颜色 3 3 3 5" xfId="43407" xr:uid="{00000000-0005-0000-0000-00008FA90000}"/>
    <cellStyle name="强调文字颜色 3 3 3 6" xfId="43408" xr:uid="{00000000-0005-0000-0000-000090A90000}"/>
    <cellStyle name="强调文字颜色 3 3 4" xfId="43409" xr:uid="{00000000-0005-0000-0000-000091A90000}"/>
    <cellStyle name="强调文字颜色 3 3 4 2" xfId="43410" xr:uid="{00000000-0005-0000-0000-000092A90000}"/>
    <cellStyle name="强调文字颜色 3 3 4 2 2" xfId="43411" xr:uid="{00000000-0005-0000-0000-000093A90000}"/>
    <cellStyle name="强调文字颜色 3 3 4 2 3" xfId="43412" xr:uid="{00000000-0005-0000-0000-000094A90000}"/>
    <cellStyle name="强调文字颜色 3 3 4 2 3 2" xfId="43413" xr:uid="{00000000-0005-0000-0000-000095A90000}"/>
    <cellStyle name="强调文字颜色 3 3 4 2 3 2 2" xfId="43414" xr:uid="{00000000-0005-0000-0000-000096A90000}"/>
    <cellStyle name="强调文字颜色 3 3 4 2 4" xfId="43415" xr:uid="{00000000-0005-0000-0000-000097A90000}"/>
    <cellStyle name="强调文字颜色 3 3 4 2 4 2" xfId="43416" xr:uid="{00000000-0005-0000-0000-000098A90000}"/>
    <cellStyle name="强调文字颜色 3 3 4 3" xfId="43417" xr:uid="{00000000-0005-0000-0000-000099A90000}"/>
    <cellStyle name="强调文字颜色 3 3 4 4" xfId="43418" xr:uid="{00000000-0005-0000-0000-00009AA90000}"/>
    <cellStyle name="强调文字颜色 3 3 4 5" xfId="43419" xr:uid="{00000000-0005-0000-0000-00009BA90000}"/>
    <cellStyle name="强调文字颜色 3 3 4 6" xfId="43420" xr:uid="{00000000-0005-0000-0000-00009CA90000}"/>
    <cellStyle name="强调文字颜色 3 3 5" xfId="43421" xr:uid="{00000000-0005-0000-0000-00009DA90000}"/>
    <cellStyle name="强调文字颜色 3 3 5 2" xfId="43422" xr:uid="{00000000-0005-0000-0000-00009EA90000}"/>
    <cellStyle name="强调文字颜色 3 3 5 2 2" xfId="43423" xr:uid="{00000000-0005-0000-0000-00009FA90000}"/>
    <cellStyle name="强调文字颜色 3 3 5 2 2 2" xfId="43424" xr:uid="{00000000-0005-0000-0000-0000A0A90000}"/>
    <cellStyle name="强调文字颜色 3 3 5 2 2 2 2" xfId="43425" xr:uid="{00000000-0005-0000-0000-0000A1A90000}"/>
    <cellStyle name="强调文字颜色 3 3 5 2 3" xfId="43426" xr:uid="{00000000-0005-0000-0000-0000A2A90000}"/>
    <cellStyle name="强调文字颜色 3 3 5 2 3 2" xfId="43427" xr:uid="{00000000-0005-0000-0000-0000A3A90000}"/>
    <cellStyle name="强调文字颜色 3 3 5 3" xfId="43428" xr:uid="{00000000-0005-0000-0000-0000A4A90000}"/>
    <cellStyle name="强调文字颜色 3 3 5 3 2" xfId="43429" xr:uid="{00000000-0005-0000-0000-0000A5A90000}"/>
    <cellStyle name="强调文字颜色 3 3 5 3 2 2" xfId="43430" xr:uid="{00000000-0005-0000-0000-0000A6A90000}"/>
    <cellStyle name="强调文字颜色 3 3 5 4" xfId="43431" xr:uid="{00000000-0005-0000-0000-0000A7A90000}"/>
    <cellStyle name="强调文字颜色 3 3 5 4 2" xfId="43432" xr:uid="{00000000-0005-0000-0000-0000A8A90000}"/>
    <cellStyle name="强调文字颜色 3 3 6" xfId="43433" xr:uid="{00000000-0005-0000-0000-0000A9A90000}"/>
    <cellStyle name="强调文字颜色 3 3 6 2" xfId="43434" xr:uid="{00000000-0005-0000-0000-0000AAA90000}"/>
    <cellStyle name="强调文字颜色 3 3 6 2 2" xfId="43435" xr:uid="{00000000-0005-0000-0000-0000ABA90000}"/>
    <cellStyle name="强调文字颜色 3 3 6 2 2 2" xfId="43436" xr:uid="{00000000-0005-0000-0000-0000ACA90000}"/>
    <cellStyle name="强调文字颜色 3 3 6 3" xfId="43437" xr:uid="{00000000-0005-0000-0000-0000ADA90000}"/>
    <cellStyle name="强调文字颜色 3 3 6 3 2" xfId="43438" xr:uid="{00000000-0005-0000-0000-0000AEA90000}"/>
    <cellStyle name="强调文字颜色 3 3 7" xfId="43439" xr:uid="{00000000-0005-0000-0000-0000AFA90000}"/>
    <cellStyle name="强调文字颜色 3 3 8" xfId="43440" xr:uid="{00000000-0005-0000-0000-0000B0A90000}"/>
    <cellStyle name="强调文字颜色 4 2" xfId="43441" xr:uid="{00000000-0005-0000-0000-0000B1A90000}"/>
    <cellStyle name="强调文字颜色 4 2 10" xfId="43442" xr:uid="{00000000-0005-0000-0000-0000B2A90000}"/>
    <cellStyle name="强调文字颜色 4 2 11" xfId="43443" xr:uid="{00000000-0005-0000-0000-0000B3A90000}"/>
    <cellStyle name="强调文字颜色 4 2 2" xfId="43444" xr:uid="{00000000-0005-0000-0000-0000B4A90000}"/>
    <cellStyle name="强调文字颜色 4 2 2 10" xfId="43445" xr:uid="{00000000-0005-0000-0000-0000B5A90000}"/>
    <cellStyle name="强调文字颜色 4 2 2 11" xfId="43446" xr:uid="{00000000-0005-0000-0000-0000B6A90000}"/>
    <cellStyle name="强调文字颜色 4 2 2 2" xfId="43447" xr:uid="{00000000-0005-0000-0000-0000B7A90000}"/>
    <cellStyle name="强调文字颜色 4 2 2 2 2" xfId="43448" xr:uid="{00000000-0005-0000-0000-0000B8A90000}"/>
    <cellStyle name="强调文字颜色 4 2 2 2 2 2" xfId="43449" xr:uid="{00000000-0005-0000-0000-0000B9A90000}"/>
    <cellStyle name="强调文字颜色 4 2 2 2 2 2 2" xfId="43450" xr:uid="{00000000-0005-0000-0000-0000BAA90000}"/>
    <cellStyle name="强调文字颜色 4 2 2 2 2 2 3" xfId="43451" xr:uid="{00000000-0005-0000-0000-0000BBA90000}"/>
    <cellStyle name="强调文字颜色 4 2 2 2 2 2 3 2" xfId="43452" xr:uid="{00000000-0005-0000-0000-0000BCA90000}"/>
    <cellStyle name="强调文字颜色 4 2 2 2 2 2 3 2 2" xfId="43453" xr:uid="{00000000-0005-0000-0000-0000BDA90000}"/>
    <cellStyle name="强调文字颜色 4 2 2 2 2 2 4" xfId="43454" xr:uid="{00000000-0005-0000-0000-0000BEA90000}"/>
    <cellStyle name="强调文字颜色 4 2 2 2 2 2 4 2" xfId="43455" xr:uid="{00000000-0005-0000-0000-0000BFA90000}"/>
    <cellStyle name="强调文字颜色 4 2 2 2 2 3" xfId="43456" xr:uid="{00000000-0005-0000-0000-0000C0A90000}"/>
    <cellStyle name="强调文字颜色 4 2 2 2 2 3 2" xfId="43457" xr:uid="{00000000-0005-0000-0000-0000C1A90000}"/>
    <cellStyle name="强调文字颜色 4 2 2 2 2 3 2 2" xfId="43458" xr:uid="{00000000-0005-0000-0000-0000C2A90000}"/>
    <cellStyle name="强调文字颜色 4 2 2 2 2 3 2 2 2" xfId="43459" xr:uid="{00000000-0005-0000-0000-0000C3A90000}"/>
    <cellStyle name="强调文字颜色 4 2 2 2 2 3 3" xfId="43460" xr:uid="{00000000-0005-0000-0000-0000C4A90000}"/>
    <cellStyle name="强调文字颜色 4 2 2 2 2 3 3 2" xfId="43461" xr:uid="{00000000-0005-0000-0000-0000C5A90000}"/>
    <cellStyle name="强调文字颜色 4 2 2 2 2 4" xfId="43462" xr:uid="{00000000-0005-0000-0000-0000C6A90000}"/>
    <cellStyle name="强调文字颜色 4 2 2 2 2 5" xfId="43463" xr:uid="{00000000-0005-0000-0000-0000C7A90000}"/>
    <cellStyle name="强调文字颜色 4 2 2 2 2 6" xfId="43464" xr:uid="{00000000-0005-0000-0000-0000C8A90000}"/>
    <cellStyle name="强调文字颜色 4 2 2 2 3" xfId="43465" xr:uid="{00000000-0005-0000-0000-0000C9A90000}"/>
    <cellStyle name="强调文字颜色 4 2 2 2 3 2" xfId="43466" xr:uid="{00000000-0005-0000-0000-0000CAA90000}"/>
    <cellStyle name="强调文字颜色 4 2 2 2 3 3" xfId="43467" xr:uid="{00000000-0005-0000-0000-0000CBA90000}"/>
    <cellStyle name="强调文字颜色 4 2 2 2 3 3 2" xfId="43468" xr:uid="{00000000-0005-0000-0000-0000CCA90000}"/>
    <cellStyle name="强调文字颜色 4 2 2 2 3 3 2 2" xfId="43469" xr:uid="{00000000-0005-0000-0000-0000CDA90000}"/>
    <cellStyle name="强调文字颜色 4 2 2 2 3 4" xfId="43470" xr:uid="{00000000-0005-0000-0000-0000CEA90000}"/>
    <cellStyle name="强调文字颜色 4 2 2 2 3 4 2" xfId="43471" xr:uid="{00000000-0005-0000-0000-0000CFA90000}"/>
    <cellStyle name="强调文字颜色 4 2 2 2 4" xfId="43472" xr:uid="{00000000-0005-0000-0000-0000D0A90000}"/>
    <cellStyle name="强调文字颜色 4 2 2 2 4 2" xfId="43473" xr:uid="{00000000-0005-0000-0000-0000D1A90000}"/>
    <cellStyle name="强调文字颜色 4 2 2 2 4 2 2" xfId="43474" xr:uid="{00000000-0005-0000-0000-0000D2A90000}"/>
    <cellStyle name="强调文字颜色 4 2 2 2 4 2 2 2" xfId="43475" xr:uid="{00000000-0005-0000-0000-0000D3A90000}"/>
    <cellStyle name="强调文字颜色 4 2 2 2 4 3" xfId="43476" xr:uid="{00000000-0005-0000-0000-0000D4A90000}"/>
    <cellStyle name="强调文字颜色 4 2 2 2 4 3 2" xfId="43477" xr:uid="{00000000-0005-0000-0000-0000D5A90000}"/>
    <cellStyle name="强调文字颜色 4 2 2 2 5" xfId="43478" xr:uid="{00000000-0005-0000-0000-0000D6A90000}"/>
    <cellStyle name="强调文字颜色 4 2 2 2 6" xfId="43479" xr:uid="{00000000-0005-0000-0000-0000D7A90000}"/>
    <cellStyle name="强调文字颜色 4 2 2 2 7" xfId="43480" xr:uid="{00000000-0005-0000-0000-0000D8A90000}"/>
    <cellStyle name="强调文字颜色 4 2 2 3" xfId="43481" xr:uid="{00000000-0005-0000-0000-0000D9A90000}"/>
    <cellStyle name="强调文字颜色 4 2 2 3 2" xfId="43482" xr:uid="{00000000-0005-0000-0000-0000DAA90000}"/>
    <cellStyle name="强调文字颜色 4 2 2 3 2 2" xfId="43483" xr:uid="{00000000-0005-0000-0000-0000DBA90000}"/>
    <cellStyle name="强调文字颜色 4 2 2 3 2 3" xfId="43484" xr:uid="{00000000-0005-0000-0000-0000DCA90000}"/>
    <cellStyle name="强调文字颜色 4 2 2 3 2 3 2" xfId="43485" xr:uid="{00000000-0005-0000-0000-0000DDA90000}"/>
    <cellStyle name="强调文字颜色 4 2 2 3 2 3 2 2" xfId="43486" xr:uid="{00000000-0005-0000-0000-0000DEA90000}"/>
    <cellStyle name="强调文字颜色 4 2 2 3 2 4" xfId="43487" xr:uid="{00000000-0005-0000-0000-0000DFA90000}"/>
    <cellStyle name="强调文字颜色 4 2 2 3 2 4 2" xfId="43488" xr:uid="{00000000-0005-0000-0000-0000E0A90000}"/>
    <cellStyle name="强调文字颜色 4 2 2 3 3" xfId="43489" xr:uid="{00000000-0005-0000-0000-0000E1A90000}"/>
    <cellStyle name="强调文字颜色 4 2 2 3 3 2" xfId="43490" xr:uid="{00000000-0005-0000-0000-0000E2A90000}"/>
    <cellStyle name="强调文字颜色 4 2 2 3 3 2 2" xfId="43491" xr:uid="{00000000-0005-0000-0000-0000E3A90000}"/>
    <cellStyle name="强调文字颜色 4 2 2 3 3 2 2 2" xfId="43492" xr:uid="{00000000-0005-0000-0000-0000E4A90000}"/>
    <cellStyle name="强调文字颜色 4 2 2 3 3 3" xfId="43493" xr:uid="{00000000-0005-0000-0000-0000E5A90000}"/>
    <cellStyle name="强调文字颜色 4 2 2 3 3 3 2" xfId="43494" xr:uid="{00000000-0005-0000-0000-0000E6A90000}"/>
    <cellStyle name="强调文字颜色 4 2 2 3 4" xfId="43495" xr:uid="{00000000-0005-0000-0000-0000E7A90000}"/>
    <cellStyle name="强调文字颜色 4 2 2 3 5" xfId="43496" xr:uid="{00000000-0005-0000-0000-0000E8A90000}"/>
    <cellStyle name="强调文字颜色 4 2 2 3 6" xfId="43497" xr:uid="{00000000-0005-0000-0000-0000E9A90000}"/>
    <cellStyle name="强调文字颜色 4 2 2 4" xfId="43498" xr:uid="{00000000-0005-0000-0000-0000EAA90000}"/>
    <cellStyle name="强调文字颜色 4 2 2 4 2" xfId="43499" xr:uid="{00000000-0005-0000-0000-0000EBA90000}"/>
    <cellStyle name="强调文字颜色 4 2 2 4 2 2" xfId="43500" xr:uid="{00000000-0005-0000-0000-0000ECA90000}"/>
    <cellStyle name="强调文字颜色 4 2 2 4 2 3" xfId="43501" xr:uid="{00000000-0005-0000-0000-0000EDA90000}"/>
    <cellStyle name="强调文字颜色 4 2 2 4 2 3 2" xfId="43502" xr:uid="{00000000-0005-0000-0000-0000EEA90000}"/>
    <cellStyle name="强调文字颜色 4 2 2 4 2 3 2 2" xfId="43503" xr:uid="{00000000-0005-0000-0000-0000EFA90000}"/>
    <cellStyle name="强调文字颜色 4 2 2 4 2 4" xfId="43504" xr:uid="{00000000-0005-0000-0000-0000F0A90000}"/>
    <cellStyle name="强调文字颜色 4 2 2 4 2 4 2" xfId="43505" xr:uid="{00000000-0005-0000-0000-0000F1A90000}"/>
    <cellStyle name="强调文字颜色 4 2 2 4 3" xfId="43506" xr:uid="{00000000-0005-0000-0000-0000F2A90000}"/>
    <cellStyle name="强调文字颜色 4 2 2 4 4" xfId="43507" xr:uid="{00000000-0005-0000-0000-0000F3A90000}"/>
    <cellStyle name="强调文字颜色 4 2 2 4 5" xfId="43508" xr:uid="{00000000-0005-0000-0000-0000F4A90000}"/>
    <cellStyle name="强调文字颜色 4 2 2 4 6" xfId="43509" xr:uid="{00000000-0005-0000-0000-0000F5A90000}"/>
    <cellStyle name="强调文字颜色 4 2 2 5" xfId="43510" xr:uid="{00000000-0005-0000-0000-0000F6A90000}"/>
    <cellStyle name="强调文字颜色 4 2 2 5 2" xfId="43511" xr:uid="{00000000-0005-0000-0000-0000F7A90000}"/>
    <cellStyle name="强调文字颜色 4 2 2 5 2 2" xfId="43512" xr:uid="{00000000-0005-0000-0000-0000F8A90000}"/>
    <cellStyle name="强调文字颜色 4 2 2 5 2 2 2" xfId="43513" xr:uid="{00000000-0005-0000-0000-0000F9A90000}"/>
    <cellStyle name="强调文字颜色 4 2 2 5 2 2 2 2" xfId="43514" xr:uid="{00000000-0005-0000-0000-0000FAA90000}"/>
    <cellStyle name="强调文字颜色 4 2 2 5 2 3" xfId="43515" xr:uid="{00000000-0005-0000-0000-0000FBA90000}"/>
    <cellStyle name="强调文字颜色 4 2 2 5 2 3 2" xfId="43516" xr:uid="{00000000-0005-0000-0000-0000FCA90000}"/>
    <cellStyle name="强调文字颜色 4 2 2 5 3" xfId="43517" xr:uid="{00000000-0005-0000-0000-0000FDA90000}"/>
    <cellStyle name="强调文字颜色 4 2 2 5 3 2" xfId="43518" xr:uid="{00000000-0005-0000-0000-0000FEA90000}"/>
    <cellStyle name="强调文字颜色 4 2 2 5 3 2 2" xfId="43519" xr:uid="{00000000-0005-0000-0000-0000FFA90000}"/>
    <cellStyle name="强调文字颜色 4 2 2 5 4" xfId="43520" xr:uid="{00000000-0005-0000-0000-000000AA0000}"/>
    <cellStyle name="强调文字颜色 4 2 2 5 4 2" xfId="43521" xr:uid="{00000000-0005-0000-0000-000001AA0000}"/>
    <cellStyle name="强调文字颜色 4 2 2 6" xfId="43522" xr:uid="{00000000-0005-0000-0000-000002AA0000}"/>
    <cellStyle name="强调文字颜色 4 2 2 6 2" xfId="43523" xr:uid="{00000000-0005-0000-0000-000003AA0000}"/>
    <cellStyle name="强调文字颜色 4 2 2 6 2 2" xfId="43524" xr:uid="{00000000-0005-0000-0000-000004AA0000}"/>
    <cellStyle name="强调文字颜色 4 2 2 6 2 2 2" xfId="43525" xr:uid="{00000000-0005-0000-0000-000005AA0000}"/>
    <cellStyle name="强调文字颜色 4 2 2 6 2 2 2 2" xfId="43526" xr:uid="{00000000-0005-0000-0000-000006AA0000}"/>
    <cellStyle name="强调文字颜色 4 2 2 6 2 3" xfId="43527" xr:uid="{00000000-0005-0000-0000-000007AA0000}"/>
    <cellStyle name="强调文字颜色 4 2 2 6 2 3 2" xfId="43528" xr:uid="{00000000-0005-0000-0000-000008AA0000}"/>
    <cellStyle name="强调文字颜色 4 2 2 6 3" xfId="43529" xr:uid="{00000000-0005-0000-0000-000009AA0000}"/>
    <cellStyle name="强调文字颜色 4 2 2 6 3 2" xfId="43530" xr:uid="{00000000-0005-0000-0000-00000AAA0000}"/>
    <cellStyle name="强调文字颜色 4 2 2 6 3 2 2" xfId="43531" xr:uid="{00000000-0005-0000-0000-00000BAA0000}"/>
    <cellStyle name="强调文字颜色 4 2 2 6 4" xfId="43532" xr:uid="{00000000-0005-0000-0000-00000CAA0000}"/>
    <cellStyle name="强调文字颜色 4 2 2 6 4 2" xfId="43533" xr:uid="{00000000-0005-0000-0000-00000DAA0000}"/>
    <cellStyle name="强调文字颜色 4 2 2 7" xfId="43534" xr:uid="{00000000-0005-0000-0000-00000EAA0000}"/>
    <cellStyle name="强调文字颜色 4 2 2 7 2" xfId="43535" xr:uid="{00000000-0005-0000-0000-00000FAA0000}"/>
    <cellStyle name="强调文字颜色 4 2 2 7 2 2" xfId="43536" xr:uid="{00000000-0005-0000-0000-000010AA0000}"/>
    <cellStyle name="强调文字颜色 4 2 2 7 2 2 2" xfId="43537" xr:uid="{00000000-0005-0000-0000-000011AA0000}"/>
    <cellStyle name="强调文字颜色 4 2 2 7 2 2 2 2" xfId="43538" xr:uid="{00000000-0005-0000-0000-000012AA0000}"/>
    <cellStyle name="强调文字颜色 4 2 2 7 2 3" xfId="43539" xr:uid="{00000000-0005-0000-0000-000013AA0000}"/>
    <cellStyle name="强调文字颜色 4 2 2 7 2 3 2" xfId="43540" xr:uid="{00000000-0005-0000-0000-000014AA0000}"/>
    <cellStyle name="强调文字颜色 4 2 2 7 3" xfId="43541" xr:uid="{00000000-0005-0000-0000-000015AA0000}"/>
    <cellStyle name="强调文字颜色 4 2 2 7 3 2" xfId="43542" xr:uid="{00000000-0005-0000-0000-000016AA0000}"/>
    <cellStyle name="强调文字颜色 4 2 2 7 3 2 2" xfId="43543" xr:uid="{00000000-0005-0000-0000-000017AA0000}"/>
    <cellStyle name="强调文字颜色 4 2 2 7 4" xfId="43544" xr:uid="{00000000-0005-0000-0000-000018AA0000}"/>
    <cellStyle name="强调文字颜色 4 2 2 7 4 2" xfId="43545" xr:uid="{00000000-0005-0000-0000-000019AA0000}"/>
    <cellStyle name="强调文字颜色 4 2 2 8" xfId="43546" xr:uid="{00000000-0005-0000-0000-00001AAA0000}"/>
    <cellStyle name="强调文字颜色 4 2 2 8 2" xfId="43547" xr:uid="{00000000-0005-0000-0000-00001BAA0000}"/>
    <cellStyle name="强调文字颜色 4 2 2 8 2 2" xfId="43548" xr:uid="{00000000-0005-0000-0000-00001CAA0000}"/>
    <cellStyle name="强调文字颜色 4 2 2 8 2 2 2" xfId="43549" xr:uid="{00000000-0005-0000-0000-00001DAA0000}"/>
    <cellStyle name="强调文字颜色 4 2 2 8 3" xfId="43550" xr:uid="{00000000-0005-0000-0000-00001EAA0000}"/>
    <cellStyle name="强调文字颜色 4 2 2 8 3 2" xfId="43551" xr:uid="{00000000-0005-0000-0000-00001FAA0000}"/>
    <cellStyle name="强调文字颜色 4 2 2 9" xfId="43552" xr:uid="{00000000-0005-0000-0000-000020AA0000}"/>
    <cellStyle name="强调文字颜色 4 2 2 9 2" xfId="43553" xr:uid="{00000000-0005-0000-0000-000021AA0000}"/>
    <cellStyle name="强调文字颜色 4 2 2 9 2 2" xfId="43554" xr:uid="{00000000-0005-0000-0000-000022AA0000}"/>
    <cellStyle name="强调文字颜色 4 2 2 9 2 2 2" xfId="43555" xr:uid="{00000000-0005-0000-0000-000023AA0000}"/>
    <cellStyle name="强调文字颜色 4 2 2 9 3" xfId="43556" xr:uid="{00000000-0005-0000-0000-000024AA0000}"/>
    <cellStyle name="强调文字颜色 4 2 2 9 3 2" xfId="43557" xr:uid="{00000000-0005-0000-0000-000025AA0000}"/>
    <cellStyle name="强调文字颜色 4 2 3" xfId="43558" xr:uid="{00000000-0005-0000-0000-000026AA0000}"/>
    <cellStyle name="强调文字颜色 4 2 3 2" xfId="43559" xr:uid="{00000000-0005-0000-0000-000027AA0000}"/>
    <cellStyle name="强调文字颜色 4 2 3 2 2" xfId="43560" xr:uid="{00000000-0005-0000-0000-000028AA0000}"/>
    <cellStyle name="强调文字颜色 4 2 3 2 2 2" xfId="43561" xr:uid="{00000000-0005-0000-0000-000029AA0000}"/>
    <cellStyle name="强调文字颜色 4 2 3 2 2 2 2" xfId="43562" xr:uid="{00000000-0005-0000-0000-00002AAA0000}"/>
    <cellStyle name="强调文字颜色 4 2 3 2 2 2 3" xfId="43563" xr:uid="{00000000-0005-0000-0000-00002BAA0000}"/>
    <cellStyle name="强调文字颜色 4 2 3 2 2 2 3 2" xfId="43564" xr:uid="{00000000-0005-0000-0000-00002CAA0000}"/>
    <cellStyle name="强调文字颜色 4 2 3 2 2 2 3 2 2" xfId="43565" xr:uid="{00000000-0005-0000-0000-00002DAA0000}"/>
    <cellStyle name="强调文字颜色 4 2 3 2 2 2 4" xfId="43566" xr:uid="{00000000-0005-0000-0000-00002EAA0000}"/>
    <cellStyle name="强调文字颜色 4 2 3 2 2 2 4 2" xfId="43567" xr:uid="{00000000-0005-0000-0000-00002FAA0000}"/>
    <cellStyle name="强调文字颜色 4 2 3 2 2 3" xfId="43568" xr:uid="{00000000-0005-0000-0000-000030AA0000}"/>
    <cellStyle name="强调文字颜色 4 2 3 2 2 3 2" xfId="43569" xr:uid="{00000000-0005-0000-0000-000031AA0000}"/>
    <cellStyle name="强调文字颜色 4 2 3 2 2 3 2 2" xfId="43570" xr:uid="{00000000-0005-0000-0000-000032AA0000}"/>
    <cellStyle name="强调文字颜色 4 2 3 2 2 3 2 2 2" xfId="43571" xr:uid="{00000000-0005-0000-0000-000033AA0000}"/>
    <cellStyle name="强调文字颜色 4 2 3 2 2 3 3" xfId="43572" xr:uid="{00000000-0005-0000-0000-000034AA0000}"/>
    <cellStyle name="强调文字颜色 4 2 3 2 2 3 3 2" xfId="43573" xr:uid="{00000000-0005-0000-0000-000035AA0000}"/>
    <cellStyle name="强调文字颜色 4 2 3 2 2 4" xfId="43574" xr:uid="{00000000-0005-0000-0000-000036AA0000}"/>
    <cellStyle name="强调文字颜色 4 2 3 2 2 5" xfId="43575" xr:uid="{00000000-0005-0000-0000-000037AA0000}"/>
    <cellStyle name="强调文字颜色 4 2 3 2 2 6" xfId="43576" xr:uid="{00000000-0005-0000-0000-000038AA0000}"/>
    <cellStyle name="强调文字颜色 4 2 3 2 3" xfId="43577" xr:uid="{00000000-0005-0000-0000-000039AA0000}"/>
    <cellStyle name="强调文字颜色 4 2 3 2 3 2" xfId="43578" xr:uid="{00000000-0005-0000-0000-00003AAA0000}"/>
    <cellStyle name="强调文字颜色 4 2 3 2 3 3" xfId="43579" xr:uid="{00000000-0005-0000-0000-00003BAA0000}"/>
    <cellStyle name="强调文字颜色 4 2 3 2 3 3 2" xfId="43580" xr:uid="{00000000-0005-0000-0000-00003CAA0000}"/>
    <cellStyle name="强调文字颜色 4 2 3 2 3 3 2 2" xfId="43581" xr:uid="{00000000-0005-0000-0000-00003DAA0000}"/>
    <cellStyle name="强调文字颜色 4 2 3 2 3 4" xfId="43582" xr:uid="{00000000-0005-0000-0000-00003EAA0000}"/>
    <cellStyle name="强调文字颜色 4 2 3 2 3 4 2" xfId="43583" xr:uid="{00000000-0005-0000-0000-00003FAA0000}"/>
    <cellStyle name="强调文字颜色 4 2 3 2 4" xfId="43584" xr:uid="{00000000-0005-0000-0000-000040AA0000}"/>
    <cellStyle name="强调文字颜色 4 2 3 2 4 2" xfId="43585" xr:uid="{00000000-0005-0000-0000-000041AA0000}"/>
    <cellStyle name="强调文字颜色 4 2 3 2 4 2 2" xfId="43586" xr:uid="{00000000-0005-0000-0000-000042AA0000}"/>
    <cellStyle name="强调文字颜色 4 2 3 2 4 2 2 2" xfId="43587" xr:uid="{00000000-0005-0000-0000-000043AA0000}"/>
    <cellStyle name="强调文字颜色 4 2 3 2 4 3" xfId="43588" xr:uid="{00000000-0005-0000-0000-000044AA0000}"/>
    <cellStyle name="强调文字颜色 4 2 3 2 4 3 2" xfId="43589" xr:uid="{00000000-0005-0000-0000-000045AA0000}"/>
    <cellStyle name="强调文字颜色 4 2 3 2 5" xfId="43590" xr:uid="{00000000-0005-0000-0000-000046AA0000}"/>
    <cellStyle name="强调文字颜色 4 2 3 2 6" xfId="43591" xr:uid="{00000000-0005-0000-0000-000047AA0000}"/>
    <cellStyle name="强调文字颜色 4 2 3 2 7" xfId="43592" xr:uid="{00000000-0005-0000-0000-000048AA0000}"/>
    <cellStyle name="强调文字颜色 4 2 3 3" xfId="43593" xr:uid="{00000000-0005-0000-0000-000049AA0000}"/>
    <cellStyle name="强调文字颜色 4 2 3 3 2" xfId="43594" xr:uid="{00000000-0005-0000-0000-00004AAA0000}"/>
    <cellStyle name="强调文字颜色 4 2 3 3 2 2" xfId="43595" xr:uid="{00000000-0005-0000-0000-00004BAA0000}"/>
    <cellStyle name="强调文字颜色 4 2 3 3 2 3" xfId="43596" xr:uid="{00000000-0005-0000-0000-00004CAA0000}"/>
    <cellStyle name="强调文字颜色 4 2 3 3 2 3 2" xfId="43597" xr:uid="{00000000-0005-0000-0000-00004DAA0000}"/>
    <cellStyle name="强调文字颜色 4 2 3 3 2 3 2 2" xfId="43598" xr:uid="{00000000-0005-0000-0000-00004EAA0000}"/>
    <cellStyle name="强调文字颜色 4 2 3 3 2 4" xfId="43599" xr:uid="{00000000-0005-0000-0000-00004FAA0000}"/>
    <cellStyle name="强调文字颜色 4 2 3 3 2 4 2" xfId="43600" xr:uid="{00000000-0005-0000-0000-000050AA0000}"/>
    <cellStyle name="强调文字颜色 4 2 3 3 3" xfId="43601" xr:uid="{00000000-0005-0000-0000-000051AA0000}"/>
    <cellStyle name="强调文字颜色 4 2 3 3 3 2" xfId="43602" xr:uid="{00000000-0005-0000-0000-000052AA0000}"/>
    <cellStyle name="强调文字颜色 4 2 3 3 3 2 2" xfId="43603" xr:uid="{00000000-0005-0000-0000-000053AA0000}"/>
    <cellStyle name="强调文字颜色 4 2 3 3 3 2 2 2" xfId="43604" xr:uid="{00000000-0005-0000-0000-000054AA0000}"/>
    <cellStyle name="强调文字颜色 4 2 3 3 3 3" xfId="43605" xr:uid="{00000000-0005-0000-0000-000055AA0000}"/>
    <cellStyle name="强调文字颜色 4 2 3 3 3 3 2" xfId="43606" xr:uid="{00000000-0005-0000-0000-000056AA0000}"/>
    <cellStyle name="强调文字颜色 4 2 3 3 4" xfId="43607" xr:uid="{00000000-0005-0000-0000-000057AA0000}"/>
    <cellStyle name="强调文字颜色 4 2 3 3 5" xfId="43608" xr:uid="{00000000-0005-0000-0000-000058AA0000}"/>
    <cellStyle name="强调文字颜色 4 2 3 3 6" xfId="43609" xr:uid="{00000000-0005-0000-0000-000059AA0000}"/>
    <cellStyle name="强调文字颜色 4 2 3 4" xfId="43610" xr:uid="{00000000-0005-0000-0000-00005AAA0000}"/>
    <cellStyle name="强调文字颜色 4 2 3 4 2" xfId="43611" xr:uid="{00000000-0005-0000-0000-00005BAA0000}"/>
    <cellStyle name="强调文字颜色 4 2 3 4 2 2" xfId="43612" xr:uid="{00000000-0005-0000-0000-00005CAA0000}"/>
    <cellStyle name="强调文字颜色 4 2 3 4 2 3" xfId="43613" xr:uid="{00000000-0005-0000-0000-00005DAA0000}"/>
    <cellStyle name="强调文字颜色 4 2 3 4 2 3 2" xfId="43614" xr:uid="{00000000-0005-0000-0000-00005EAA0000}"/>
    <cellStyle name="强调文字颜色 4 2 3 4 2 3 2 2" xfId="43615" xr:uid="{00000000-0005-0000-0000-00005FAA0000}"/>
    <cellStyle name="强调文字颜色 4 2 3 4 2 4" xfId="43616" xr:uid="{00000000-0005-0000-0000-000060AA0000}"/>
    <cellStyle name="强调文字颜色 4 2 3 4 2 4 2" xfId="43617" xr:uid="{00000000-0005-0000-0000-000061AA0000}"/>
    <cellStyle name="强调文字颜色 4 2 3 4 3" xfId="43618" xr:uid="{00000000-0005-0000-0000-000062AA0000}"/>
    <cellStyle name="强调文字颜色 4 2 3 4 4" xfId="43619" xr:uid="{00000000-0005-0000-0000-000063AA0000}"/>
    <cellStyle name="强调文字颜色 4 2 3 4 5" xfId="43620" xr:uid="{00000000-0005-0000-0000-000064AA0000}"/>
    <cellStyle name="强调文字颜色 4 2 3 4 6" xfId="43621" xr:uid="{00000000-0005-0000-0000-000065AA0000}"/>
    <cellStyle name="强调文字颜色 4 2 3 5" xfId="43622" xr:uid="{00000000-0005-0000-0000-000066AA0000}"/>
    <cellStyle name="强调文字颜色 4 2 3 5 2" xfId="43623" xr:uid="{00000000-0005-0000-0000-000067AA0000}"/>
    <cellStyle name="强调文字颜色 4 2 3 5 2 2" xfId="43624" xr:uid="{00000000-0005-0000-0000-000068AA0000}"/>
    <cellStyle name="强调文字颜色 4 2 3 5 2 2 2" xfId="43625" xr:uid="{00000000-0005-0000-0000-000069AA0000}"/>
    <cellStyle name="强调文字颜色 4 2 3 5 2 2 2 2" xfId="43626" xr:uid="{00000000-0005-0000-0000-00006AAA0000}"/>
    <cellStyle name="强调文字颜色 4 2 3 5 2 3" xfId="43627" xr:uid="{00000000-0005-0000-0000-00006BAA0000}"/>
    <cellStyle name="强调文字颜色 4 2 3 5 2 3 2" xfId="43628" xr:uid="{00000000-0005-0000-0000-00006CAA0000}"/>
    <cellStyle name="强调文字颜色 4 2 3 5 3" xfId="43629" xr:uid="{00000000-0005-0000-0000-00006DAA0000}"/>
    <cellStyle name="强调文字颜色 4 2 3 5 3 2" xfId="43630" xr:uid="{00000000-0005-0000-0000-00006EAA0000}"/>
    <cellStyle name="强调文字颜色 4 2 3 5 3 2 2" xfId="43631" xr:uid="{00000000-0005-0000-0000-00006FAA0000}"/>
    <cellStyle name="强调文字颜色 4 2 3 5 4" xfId="43632" xr:uid="{00000000-0005-0000-0000-000070AA0000}"/>
    <cellStyle name="强调文字颜色 4 2 3 5 4 2" xfId="43633" xr:uid="{00000000-0005-0000-0000-000071AA0000}"/>
    <cellStyle name="强调文字颜色 4 2 3 6" xfId="43634" xr:uid="{00000000-0005-0000-0000-000072AA0000}"/>
    <cellStyle name="强调文字颜色 4 2 3 6 2" xfId="43635" xr:uid="{00000000-0005-0000-0000-000073AA0000}"/>
    <cellStyle name="强调文字颜色 4 2 3 6 2 2" xfId="43636" xr:uid="{00000000-0005-0000-0000-000074AA0000}"/>
    <cellStyle name="强调文字颜色 4 2 3 6 2 2 2" xfId="43637" xr:uid="{00000000-0005-0000-0000-000075AA0000}"/>
    <cellStyle name="强调文字颜色 4 2 3 6 3" xfId="43638" xr:uid="{00000000-0005-0000-0000-000076AA0000}"/>
    <cellStyle name="强调文字颜色 4 2 3 6 3 2" xfId="43639" xr:uid="{00000000-0005-0000-0000-000077AA0000}"/>
    <cellStyle name="强调文字颜色 4 2 3 7" xfId="43640" xr:uid="{00000000-0005-0000-0000-000078AA0000}"/>
    <cellStyle name="强调文字颜色 4 2 3 7 2" xfId="43641" xr:uid="{00000000-0005-0000-0000-000079AA0000}"/>
    <cellStyle name="强调文字颜色 4 2 3 7 2 2" xfId="43642" xr:uid="{00000000-0005-0000-0000-00007AAA0000}"/>
    <cellStyle name="强调文字颜色 4 2 3 7 2 2 2" xfId="43643" xr:uid="{00000000-0005-0000-0000-00007BAA0000}"/>
    <cellStyle name="强调文字颜色 4 2 3 7 3" xfId="43644" xr:uid="{00000000-0005-0000-0000-00007CAA0000}"/>
    <cellStyle name="强调文字颜色 4 2 3 7 3 2" xfId="43645" xr:uid="{00000000-0005-0000-0000-00007DAA0000}"/>
    <cellStyle name="强调文字颜色 4 2 3 8" xfId="43646" xr:uid="{00000000-0005-0000-0000-00007EAA0000}"/>
    <cellStyle name="强调文字颜色 4 2 3 9" xfId="43647" xr:uid="{00000000-0005-0000-0000-00007FAA0000}"/>
    <cellStyle name="强调文字颜色 4 2 4" xfId="43648" xr:uid="{00000000-0005-0000-0000-000080AA0000}"/>
    <cellStyle name="强调文字颜色 4 2 4 2" xfId="43649" xr:uid="{00000000-0005-0000-0000-000081AA0000}"/>
    <cellStyle name="强调文字颜色 4 2 4 2 2" xfId="43650" xr:uid="{00000000-0005-0000-0000-000082AA0000}"/>
    <cellStyle name="强调文字颜色 4 2 4 2 3" xfId="43651" xr:uid="{00000000-0005-0000-0000-000083AA0000}"/>
    <cellStyle name="强调文字颜色 4 2 4 2 3 2" xfId="43652" xr:uid="{00000000-0005-0000-0000-000084AA0000}"/>
    <cellStyle name="强调文字颜色 4 2 4 2 3 2 2" xfId="43653" xr:uid="{00000000-0005-0000-0000-000085AA0000}"/>
    <cellStyle name="强调文字颜色 4 2 4 2 4" xfId="43654" xr:uid="{00000000-0005-0000-0000-000086AA0000}"/>
    <cellStyle name="强调文字颜色 4 2 4 2 4 2" xfId="43655" xr:uid="{00000000-0005-0000-0000-000087AA0000}"/>
    <cellStyle name="强调文字颜色 4 2 4 3" xfId="43656" xr:uid="{00000000-0005-0000-0000-000088AA0000}"/>
    <cellStyle name="强调文字颜色 4 2 4 3 2" xfId="43657" xr:uid="{00000000-0005-0000-0000-000089AA0000}"/>
    <cellStyle name="强调文字颜色 4 2 4 3 2 2" xfId="43658" xr:uid="{00000000-0005-0000-0000-00008AAA0000}"/>
    <cellStyle name="强调文字颜色 4 2 4 3 2 2 2" xfId="43659" xr:uid="{00000000-0005-0000-0000-00008BAA0000}"/>
    <cellStyle name="强调文字颜色 4 2 4 3 3" xfId="43660" xr:uid="{00000000-0005-0000-0000-00008CAA0000}"/>
    <cellStyle name="强调文字颜色 4 2 4 3 3 2" xfId="43661" xr:uid="{00000000-0005-0000-0000-00008DAA0000}"/>
    <cellStyle name="强调文字颜色 4 2 4 4" xfId="43662" xr:uid="{00000000-0005-0000-0000-00008EAA0000}"/>
    <cellStyle name="强调文字颜色 4 2 4 5" xfId="43663" xr:uid="{00000000-0005-0000-0000-00008FAA0000}"/>
    <cellStyle name="强调文字颜色 4 2 4 6" xfId="43664" xr:uid="{00000000-0005-0000-0000-000090AA0000}"/>
    <cellStyle name="强调文字颜色 4 2 5" xfId="43665" xr:uid="{00000000-0005-0000-0000-000091AA0000}"/>
    <cellStyle name="强调文字颜色 4 2 5 2" xfId="43666" xr:uid="{00000000-0005-0000-0000-000092AA0000}"/>
    <cellStyle name="强调文字颜色 4 2 5 2 2" xfId="43667" xr:uid="{00000000-0005-0000-0000-000093AA0000}"/>
    <cellStyle name="强调文字颜色 4 2 5 2 3" xfId="43668" xr:uid="{00000000-0005-0000-0000-000094AA0000}"/>
    <cellStyle name="强调文字颜色 4 2 5 2 3 2" xfId="43669" xr:uid="{00000000-0005-0000-0000-000095AA0000}"/>
    <cellStyle name="强调文字颜色 4 2 5 2 3 2 2" xfId="43670" xr:uid="{00000000-0005-0000-0000-000096AA0000}"/>
    <cellStyle name="强调文字颜色 4 2 5 2 4" xfId="43671" xr:uid="{00000000-0005-0000-0000-000097AA0000}"/>
    <cellStyle name="强调文字颜色 4 2 5 2 4 2" xfId="43672" xr:uid="{00000000-0005-0000-0000-000098AA0000}"/>
    <cellStyle name="强调文字颜色 4 2 5 3" xfId="43673" xr:uid="{00000000-0005-0000-0000-000099AA0000}"/>
    <cellStyle name="强调文字颜色 4 2 5 4" xfId="43674" xr:uid="{00000000-0005-0000-0000-00009AAA0000}"/>
    <cellStyle name="强调文字颜色 4 2 5 5" xfId="43675" xr:uid="{00000000-0005-0000-0000-00009BAA0000}"/>
    <cellStyle name="强调文字颜色 4 2 5 6" xfId="43676" xr:uid="{00000000-0005-0000-0000-00009CAA0000}"/>
    <cellStyle name="强调文字颜色 4 2 6" xfId="43677" xr:uid="{00000000-0005-0000-0000-00009DAA0000}"/>
    <cellStyle name="强调文字颜色 4 2 6 2" xfId="43678" xr:uid="{00000000-0005-0000-0000-00009EAA0000}"/>
    <cellStyle name="强调文字颜色 4 2 6 2 2" xfId="43679" xr:uid="{00000000-0005-0000-0000-00009FAA0000}"/>
    <cellStyle name="强调文字颜色 4 2 6 2 2 2" xfId="43680" xr:uid="{00000000-0005-0000-0000-0000A0AA0000}"/>
    <cellStyle name="强调文字颜色 4 2 6 2 2 2 2" xfId="43681" xr:uid="{00000000-0005-0000-0000-0000A1AA0000}"/>
    <cellStyle name="强调文字颜色 4 2 6 2 3" xfId="43682" xr:uid="{00000000-0005-0000-0000-0000A2AA0000}"/>
    <cellStyle name="强调文字颜色 4 2 6 2 3 2" xfId="43683" xr:uid="{00000000-0005-0000-0000-0000A3AA0000}"/>
    <cellStyle name="强调文字颜色 4 2 6 3" xfId="43684" xr:uid="{00000000-0005-0000-0000-0000A4AA0000}"/>
    <cellStyle name="强调文字颜色 4 2 6 3 2" xfId="43685" xr:uid="{00000000-0005-0000-0000-0000A5AA0000}"/>
    <cellStyle name="强调文字颜色 4 2 6 3 2 2" xfId="43686" xr:uid="{00000000-0005-0000-0000-0000A6AA0000}"/>
    <cellStyle name="强调文字颜色 4 2 6 4" xfId="43687" xr:uid="{00000000-0005-0000-0000-0000A7AA0000}"/>
    <cellStyle name="强调文字颜色 4 2 6 4 2" xfId="43688" xr:uid="{00000000-0005-0000-0000-0000A8AA0000}"/>
    <cellStyle name="强调文字颜色 4 2 7" xfId="43689" xr:uid="{00000000-0005-0000-0000-0000A9AA0000}"/>
    <cellStyle name="强调文字颜色 4 2 7 2" xfId="43690" xr:uid="{00000000-0005-0000-0000-0000AAAA0000}"/>
    <cellStyle name="强调文字颜色 4 2 7 2 2" xfId="43691" xr:uid="{00000000-0005-0000-0000-0000ABAA0000}"/>
    <cellStyle name="强调文字颜色 4 2 7 2 2 2" xfId="43692" xr:uid="{00000000-0005-0000-0000-0000ACAA0000}"/>
    <cellStyle name="强调文字颜色 4 2 7 2 2 2 2" xfId="43693" xr:uid="{00000000-0005-0000-0000-0000ADAA0000}"/>
    <cellStyle name="强调文字颜色 4 2 7 2 3" xfId="43694" xr:uid="{00000000-0005-0000-0000-0000AEAA0000}"/>
    <cellStyle name="强调文字颜色 4 2 7 2 3 2" xfId="43695" xr:uid="{00000000-0005-0000-0000-0000AFAA0000}"/>
    <cellStyle name="强调文字颜色 4 2 7 3" xfId="43696" xr:uid="{00000000-0005-0000-0000-0000B0AA0000}"/>
    <cellStyle name="强调文字颜色 4 2 7 3 2" xfId="43697" xr:uid="{00000000-0005-0000-0000-0000B1AA0000}"/>
    <cellStyle name="强调文字颜色 4 2 7 3 2 2" xfId="43698" xr:uid="{00000000-0005-0000-0000-0000B2AA0000}"/>
    <cellStyle name="强调文字颜色 4 2 7 4" xfId="43699" xr:uid="{00000000-0005-0000-0000-0000B3AA0000}"/>
    <cellStyle name="强调文字颜色 4 2 7 4 2" xfId="43700" xr:uid="{00000000-0005-0000-0000-0000B4AA0000}"/>
    <cellStyle name="强调文字颜色 4 2 8" xfId="43701" xr:uid="{00000000-0005-0000-0000-0000B5AA0000}"/>
    <cellStyle name="强调文字颜色 4 2 8 2" xfId="43702" xr:uid="{00000000-0005-0000-0000-0000B6AA0000}"/>
    <cellStyle name="强调文字颜色 4 2 8 2 2" xfId="43703" xr:uid="{00000000-0005-0000-0000-0000B7AA0000}"/>
    <cellStyle name="强调文字颜色 4 2 8 2 2 2" xfId="43704" xr:uid="{00000000-0005-0000-0000-0000B8AA0000}"/>
    <cellStyle name="强调文字颜色 4 2 8 2 2 2 2" xfId="43705" xr:uid="{00000000-0005-0000-0000-0000B9AA0000}"/>
    <cellStyle name="强调文字颜色 4 2 8 2 3" xfId="43706" xr:uid="{00000000-0005-0000-0000-0000BAAA0000}"/>
    <cellStyle name="强调文字颜色 4 2 8 2 3 2" xfId="43707" xr:uid="{00000000-0005-0000-0000-0000BBAA0000}"/>
    <cellStyle name="强调文字颜色 4 2 8 3" xfId="43708" xr:uid="{00000000-0005-0000-0000-0000BCAA0000}"/>
    <cellStyle name="强调文字颜色 4 2 8 3 2" xfId="43709" xr:uid="{00000000-0005-0000-0000-0000BDAA0000}"/>
    <cellStyle name="强调文字颜色 4 2 8 3 2 2" xfId="43710" xr:uid="{00000000-0005-0000-0000-0000BEAA0000}"/>
    <cellStyle name="强调文字颜色 4 2 8 4" xfId="43711" xr:uid="{00000000-0005-0000-0000-0000BFAA0000}"/>
    <cellStyle name="强调文字颜色 4 2 8 4 2" xfId="43712" xr:uid="{00000000-0005-0000-0000-0000C0AA0000}"/>
    <cellStyle name="强调文字颜色 4 2 9" xfId="43713" xr:uid="{00000000-0005-0000-0000-0000C1AA0000}"/>
    <cellStyle name="强调文字颜色 4 2 9 2" xfId="43714" xr:uid="{00000000-0005-0000-0000-0000C2AA0000}"/>
    <cellStyle name="强调文字颜色 4 2 9 2 2" xfId="43715" xr:uid="{00000000-0005-0000-0000-0000C3AA0000}"/>
    <cellStyle name="强调文字颜色 4 2 9 2 2 2" xfId="43716" xr:uid="{00000000-0005-0000-0000-0000C4AA0000}"/>
    <cellStyle name="强调文字颜色 4 2 9 3" xfId="43717" xr:uid="{00000000-0005-0000-0000-0000C5AA0000}"/>
    <cellStyle name="强调文字颜色 4 2 9 3 2" xfId="43718" xr:uid="{00000000-0005-0000-0000-0000C6AA0000}"/>
    <cellStyle name="强调文字颜色 4 3" xfId="43719" xr:uid="{00000000-0005-0000-0000-0000C7AA0000}"/>
    <cellStyle name="强调文字颜色 4 3 2" xfId="43720" xr:uid="{00000000-0005-0000-0000-0000C8AA0000}"/>
    <cellStyle name="强调文字颜色 4 3 2 2" xfId="43721" xr:uid="{00000000-0005-0000-0000-0000C9AA0000}"/>
    <cellStyle name="强调文字颜色 4 3 2 2 2" xfId="43722" xr:uid="{00000000-0005-0000-0000-0000CAAA0000}"/>
    <cellStyle name="强调文字颜色 4 3 2 2 2 2" xfId="43723" xr:uid="{00000000-0005-0000-0000-0000CBAA0000}"/>
    <cellStyle name="强调文字颜色 4 3 2 2 2 3" xfId="43724" xr:uid="{00000000-0005-0000-0000-0000CCAA0000}"/>
    <cellStyle name="强调文字颜色 4 3 2 2 2 3 2" xfId="43725" xr:uid="{00000000-0005-0000-0000-0000CDAA0000}"/>
    <cellStyle name="强调文字颜色 4 3 2 2 2 3 2 2" xfId="43726" xr:uid="{00000000-0005-0000-0000-0000CEAA0000}"/>
    <cellStyle name="强调文字颜色 4 3 2 2 2 4" xfId="43727" xr:uid="{00000000-0005-0000-0000-0000CFAA0000}"/>
    <cellStyle name="强调文字颜色 4 3 2 2 2 4 2" xfId="43728" xr:uid="{00000000-0005-0000-0000-0000D0AA0000}"/>
    <cellStyle name="强调文字颜色 4 3 2 2 3" xfId="43729" xr:uid="{00000000-0005-0000-0000-0000D1AA0000}"/>
    <cellStyle name="强调文字颜色 4 3 2 2 3 2" xfId="43730" xr:uid="{00000000-0005-0000-0000-0000D2AA0000}"/>
    <cellStyle name="强调文字颜色 4 3 2 2 3 2 2" xfId="43731" xr:uid="{00000000-0005-0000-0000-0000D3AA0000}"/>
    <cellStyle name="强调文字颜色 4 3 2 2 3 2 2 2" xfId="43732" xr:uid="{00000000-0005-0000-0000-0000D4AA0000}"/>
    <cellStyle name="强调文字颜色 4 3 2 2 3 3" xfId="43733" xr:uid="{00000000-0005-0000-0000-0000D5AA0000}"/>
    <cellStyle name="强调文字颜色 4 3 2 2 3 3 2" xfId="43734" xr:uid="{00000000-0005-0000-0000-0000D6AA0000}"/>
    <cellStyle name="强调文字颜色 4 3 2 2 4" xfId="43735" xr:uid="{00000000-0005-0000-0000-0000D7AA0000}"/>
    <cellStyle name="强调文字颜色 4 3 2 2 5" xfId="43736" xr:uid="{00000000-0005-0000-0000-0000D8AA0000}"/>
    <cellStyle name="强调文字颜色 4 3 2 2 6" xfId="43737" xr:uid="{00000000-0005-0000-0000-0000D9AA0000}"/>
    <cellStyle name="强调文字颜色 4 3 2 3" xfId="43738" xr:uid="{00000000-0005-0000-0000-0000DAAA0000}"/>
    <cellStyle name="强调文字颜色 4 3 2 3 2" xfId="43739" xr:uid="{00000000-0005-0000-0000-0000DBAA0000}"/>
    <cellStyle name="强调文字颜色 4 3 2 3 3" xfId="43740" xr:uid="{00000000-0005-0000-0000-0000DCAA0000}"/>
    <cellStyle name="强调文字颜色 4 3 2 3 3 2" xfId="43741" xr:uid="{00000000-0005-0000-0000-0000DDAA0000}"/>
    <cellStyle name="强调文字颜色 4 3 2 3 3 2 2" xfId="43742" xr:uid="{00000000-0005-0000-0000-0000DEAA0000}"/>
    <cellStyle name="强调文字颜色 4 3 2 3 4" xfId="43743" xr:uid="{00000000-0005-0000-0000-0000DFAA0000}"/>
    <cellStyle name="强调文字颜色 4 3 2 3 4 2" xfId="43744" xr:uid="{00000000-0005-0000-0000-0000E0AA0000}"/>
    <cellStyle name="强调文字颜色 4 3 2 4" xfId="43745" xr:uid="{00000000-0005-0000-0000-0000E1AA0000}"/>
    <cellStyle name="强调文字颜色 4 3 2 4 2" xfId="43746" xr:uid="{00000000-0005-0000-0000-0000E2AA0000}"/>
    <cellStyle name="强调文字颜色 4 3 2 4 2 2" xfId="43747" xr:uid="{00000000-0005-0000-0000-0000E3AA0000}"/>
    <cellStyle name="强调文字颜色 4 3 2 4 2 2 2" xfId="43748" xr:uid="{00000000-0005-0000-0000-0000E4AA0000}"/>
    <cellStyle name="强调文字颜色 4 3 2 4 3" xfId="43749" xr:uid="{00000000-0005-0000-0000-0000E5AA0000}"/>
    <cellStyle name="强调文字颜色 4 3 2 4 3 2" xfId="43750" xr:uid="{00000000-0005-0000-0000-0000E6AA0000}"/>
    <cellStyle name="强调文字颜色 4 3 2 5" xfId="43751" xr:uid="{00000000-0005-0000-0000-0000E7AA0000}"/>
    <cellStyle name="强调文字颜色 4 3 2 6" xfId="43752" xr:uid="{00000000-0005-0000-0000-0000E8AA0000}"/>
    <cellStyle name="强调文字颜色 4 3 2 7" xfId="43753" xr:uid="{00000000-0005-0000-0000-0000E9AA0000}"/>
    <cellStyle name="强调文字颜色 4 3 3" xfId="43754" xr:uid="{00000000-0005-0000-0000-0000EAAA0000}"/>
    <cellStyle name="强调文字颜色 4 3 3 2" xfId="43755" xr:uid="{00000000-0005-0000-0000-0000EBAA0000}"/>
    <cellStyle name="强调文字颜色 4 3 3 2 2" xfId="43756" xr:uid="{00000000-0005-0000-0000-0000ECAA0000}"/>
    <cellStyle name="强调文字颜色 4 3 3 2 3" xfId="43757" xr:uid="{00000000-0005-0000-0000-0000EDAA0000}"/>
    <cellStyle name="强调文字颜色 4 3 3 2 3 2" xfId="43758" xr:uid="{00000000-0005-0000-0000-0000EEAA0000}"/>
    <cellStyle name="强调文字颜色 4 3 3 2 3 2 2" xfId="43759" xr:uid="{00000000-0005-0000-0000-0000EFAA0000}"/>
    <cellStyle name="强调文字颜色 4 3 3 2 4" xfId="43760" xr:uid="{00000000-0005-0000-0000-0000F0AA0000}"/>
    <cellStyle name="强调文字颜色 4 3 3 2 4 2" xfId="43761" xr:uid="{00000000-0005-0000-0000-0000F1AA0000}"/>
    <cellStyle name="强调文字颜色 4 3 3 3" xfId="43762" xr:uid="{00000000-0005-0000-0000-0000F2AA0000}"/>
    <cellStyle name="强调文字颜色 4 3 3 3 2" xfId="43763" xr:uid="{00000000-0005-0000-0000-0000F3AA0000}"/>
    <cellStyle name="强调文字颜色 4 3 3 3 2 2" xfId="43764" xr:uid="{00000000-0005-0000-0000-0000F4AA0000}"/>
    <cellStyle name="强调文字颜色 4 3 3 3 2 2 2" xfId="43765" xr:uid="{00000000-0005-0000-0000-0000F5AA0000}"/>
    <cellStyle name="强调文字颜色 4 3 3 3 3" xfId="43766" xr:uid="{00000000-0005-0000-0000-0000F6AA0000}"/>
    <cellStyle name="强调文字颜色 4 3 3 3 3 2" xfId="43767" xr:uid="{00000000-0005-0000-0000-0000F7AA0000}"/>
    <cellStyle name="强调文字颜色 4 3 3 4" xfId="43768" xr:uid="{00000000-0005-0000-0000-0000F8AA0000}"/>
    <cellStyle name="强调文字颜色 4 3 3 5" xfId="43769" xr:uid="{00000000-0005-0000-0000-0000F9AA0000}"/>
    <cellStyle name="强调文字颜色 4 3 3 6" xfId="43770" xr:uid="{00000000-0005-0000-0000-0000FAAA0000}"/>
    <cellStyle name="强调文字颜色 4 3 4" xfId="43771" xr:uid="{00000000-0005-0000-0000-0000FBAA0000}"/>
    <cellStyle name="强调文字颜色 4 3 4 2" xfId="43772" xr:uid="{00000000-0005-0000-0000-0000FCAA0000}"/>
    <cellStyle name="强调文字颜色 4 3 4 2 2" xfId="43773" xr:uid="{00000000-0005-0000-0000-0000FDAA0000}"/>
    <cellStyle name="强调文字颜色 4 3 4 2 3" xfId="43774" xr:uid="{00000000-0005-0000-0000-0000FEAA0000}"/>
    <cellStyle name="强调文字颜色 4 3 4 2 3 2" xfId="43775" xr:uid="{00000000-0005-0000-0000-0000FFAA0000}"/>
    <cellStyle name="强调文字颜色 4 3 4 2 3 2 2" xfId="43776" xr:uid="{00000000-0005-0000-0000-000000AB0000}"/>
    <cellStyle name="强调文字颜色 4 3 4 2 4" xfId="43777" xr:uid="{00000000-0005-0000-0000-000001AB0000}"/>
    <cellStyle name="强调文字颜色 4 3 4 2 4 2" xfId="43778" xr:uid="{00000000-0005-0000-0000-000002AB0000}"/>
    <cellStyle name="强调文字颜色 4 3 4 3" xfId="43779" xr:uid="{00000000-0005-0000-0000-000003AB0000}"/>
    <cellStyle name="强调文字颜色 4 3 4 4" xfId="43780" xr:uid="{00000000-0005-0000-0000-000004AB0000}"/>
    <cellStyle name="强调文字颜色 4 3 4 5" xfId="43781" xr:uid="{00000000-0005-0000-0000-000005AB0000}"/>
    <cellStyle name="强调文字颜色 4 3 4 6" xfId="43782" xr:uid="{00000000-0005-0000-0000-000006AB0000}"/>
    <cellStyle name="强调文字颜色 4 3 5" xfId="43783" xr:uid="{00000000-0005-0000-0000-000007AB0000}"/>
    <cellStyle name="强调文字颜色 4 3 5 2" xfId="43784" xr:uid="{00000000-0005-0000-0000-000008AB0000}"/>
    <cellStyle name="强调文字颜色 4 3 5 2 2" xfId="43785" xr:uid="{00000000-0005-0000-0000-000009AB0000}"/>
    <cellStyle name="强调文字颜色 4 3 5 2 2 2" xfId="43786" xr:uid="{00000000-0005-0000-0000-00000AAB0000}"/>
    <cellStyle name="强调文字颜色 4 3 5 2 2 2 2" xfId="43787" xr:uid="{00000000-0005-0000-0000-00000BAB0000}"/>
    <cellStyle name="强调文字颜色 4 3 5 2 3" xfId="43788" xr:uid="{00000000-0005-0000-0000-00000CAB0000}"/>
    <cellStyle name="强调文字颜色 4 3 5 2 3 2" xfId="43789" xr:uid="{00000000-0005-0000-0000-00000DAB0000}"/>
    <cellStyle name="强调文字颜色 4 3 5 3" xfId="43790" xr:uid="{00000000-0005-0000-0000-00000EAB0000}"/>
    <cellStyle name="强调文字颜色 4 3 5 3 2" xfId="43791" xr:uid="{00000000-0005-0000-0000-00000FAB0000}"/>
    <cellStyle name="强调文字颜色 4 3 5 3 2 2" xfId="43792" xr:uid="{00000000-0005-0000-0000-000010AB0000}"/>
    <cellStyle name="强调文字颜色 4 3 5 4" xfId="43793" xr:uid="{00000000-0005-0000-0000-000011AB0000}"/>
    <cellStyle name="强调文字颜色 4 3 5 4 2" xfId="43794" xr:uid="{00000000-0005-0000-0000-000012AB0000}"/>
    <cellStyle name="强调文字颜色 4 3 6" xfId="43795" xr:uid="{00000000-0005-0000-0000-000013AB0000}"/>
    <cellStyle name="强调文字颜色 4 3 6 2" xfId="43796" xr:uid="{00000000-0005-0000-0000-000014AB0000}"/>
    <cellStyle name="强调文字颜色 4 3 6 2 2" xfId="43797" xr:uid="{00000000-0005-0000-0000-000015AB0000}"/>
    <cellStyle name="强调文字颜色 4 3 6 2 2 2" xfId="43798" xr:uid="{00000000-0005-0000-0000-000016AB0000}"/>
    <cellStyle name="强调文字颜色 4 3 6 3" xfId="43799" xr:uid="{00000000-0005-0000-0000-000017AB0000}"/>
    <cellStyle name="强调文字颜色 4 3 6 3 2" xfId="43800" xr:uid="{00000000-0005-0000-0000-000018AB0000}"/>
    <cellStyle name="强调文字颜色 4 3 7" xfId="43801" xr:uid="{00000000-0005-0000-0000-000019AB0000}"/>
    <cellStyle name="强调文字颜色 4 3 8" xfId="43802" xr:uid="{00000000-0005-0000-0000-00001AAB0000}"/>
    <cellStyle name="强调文字颜色 5 2" xfId="43803" xr:uid="{00000000-0005-0000-0000-00001BAB0000}"/>
    <cellStyle name="强调文字颜色 5 2 10" xfId="43804" xr:uid="{00000000-0005-0000-0000-00001CAB0000}"/>
    <cellStyle name="强调文字颜色 5 2 11" xfId="43805" xr:uid="{00000000-0005-0000-0000-00001DAB0000}"/>
    <cellStyle name="强调文字颜色 5 2 2" xfId="43806" xr:uid="{00000000-0005-0000-0000-00001EAB0000}"/>
    <cellStyle name="强调文字颜色 5 2 2 10" xfId="43807" xr:uid="{00000000-0005-0000-0000-00001FAB0000}"/>
    <cellStyle name="强调文字颜色 5 2 2 11" xfId="43808" xr:uid="{00000000-0005-0000-0000-000020AB0000}"/>
    <cellStyle name="强调文字颜色 5 2 2 2" xfId="43809" xr:uid="{00000000-0005-0000-0000-000021AB0000}"/>
    <cellStyle name="强调文字颜色 5 2 2 2 2" xfId="43810" xr:uid="{00000000-0005-0000-0000-000022AB0000}"/>
    <cellStyle name="强调文字颜色 5 2 2 2 2 2" xfId="43811" xr:uid="{00000000-0005-0000-0000-000023AB0000}"/>
    <cellStyle name="强调文字颜色 5 2 2 2 2 2 2" xfId="43812" xr:uid="{00000000-0005-0000-0000-000024AB0000}"/>
    <cellStyle name="强调文字颜色 5 2 2 2 2 2 3" xfId="43813" xr:uid="{00000000-0005-0000-0000-000025AB0000}"/>
    <cellStyle name="强调文字颜色 5 2 2 2 2 2 3 2" xfId="43814" xr:uid="{00000000-0005-0000-0000-000026AB0000}"/>
    <cellStyle name="强调文字颜色 5 2 2 2 2 2 3 2 2" xfId="43815" xr:uid="{00000000-0005-0000-0000-000027AB0000}"/>
    <cellStyle name="强调文字颜色 5 2 2 2 2 2 4" xfId="43816" xr:uid="{00000000-0005-0000-0000-000028AB0000}"/>
    <cellStyle name="强调文字颜色 5 2 2 2 2 2 4 2" xfId="43817" xr:uid="{00000000-0005-0000-0000-000029AB0000}"/>
    <cellStyle name="强调文字颜色 5 2 2 2 2 3" xfId="43818" xr:uid="{00000000-0005-0000-0000-00002AAB0000}"/>
    <cellStyle name="强调文字颜色 5 2 2 2 2 3 2" xfId="43819" xr:uid="{00000000-0005-0000-0000-00002BAB0000}"/>
    <cellStyle name="强调文字颜色 5 2 2 2 2 3 2 2" xfId="43820" xr:uid="{00000000-0005-0000-0000-00002CAB0000}"/>
    <cellStyle name="强调文字颜色 5 2 2 2 2 3 2 2 2" xfId="43821" xr:uid="{00000000-0005-0000-0000-00002DAB0000}"/>
    <cellStyle name="强调文字颜色 5 2 2 2 2 3 3" xfId="43822" xr:uid="{00000000-0005-0000-0000-00002EAB0000}"/>
    <cellStyle name="强调文字颜色 5 2 2 2 2 3 3 2" xfId="43823" xr:uid="{00000000-0005-0000-0000-00002FAB0000}"/>
    <cellStyle name="强调文字颜色 5 2 2 2 2 4" xfId="43824" xr:uid="{00000000-0005-0000-0000-000030AB0000}"/>
    <cellStyle name="强调文字颜色 5 2 2 2 2 5" xfId="43825" xr:uid="{00000000-0005-0000-0000-000031AB0000}"/>
    <cellStyle name="强调文字颜色 5 2 2 2 2 6" xfId="43826" xr:uid="{00000000-0005-0000-0000-000032AB0000}"/>
    <cellStyle name="强调文字颜色 5 2 2 2 3" xfId="43827" xr:uid="{00000000-0005-0000-0000-000033AB0000}"/>
    <cellStyle name="强调文字颜色 5 2 2 2 3 2" xfId="43828" xr:uid="{00000000-0005-0000-0000-000034AB0000}"/>
    <cellStyle name="强调文字颜色 5 2 2 2 3 3" xfId="43829" xr:uid="{00000000-0005-0000-0000-000035AB0000}"/>
    <cellStyle name="强调文字颜色 5 2 2 2 3 3 2" xfId="43830" xr:uid="{00000000-0005-0000-0000-000036AB0000}"/>
    <cellStyle name="强调文字颜色 5 2 2 2 3 3 2 2" xfId="43831" xr:uid="{00000000-0005-0000-0000-000037AB0000}"/>
    <cellStyle name="强调文字颜色 5 2 2 2 3 4" xfId="43832" xr:uid="{00000000-0005-0000-0000-000038AB0000}"/>
    <cellStyle name="强调文字颜色 5 2 2 2 3 4 2" xfId="43833" xr:uid="{00000000-0005-0000-0000-000039AB0000}"/>
    <cellStyle name="强调文字颜色 5 2 2 2 4" xfId="43834" xr:uid="{00000000-0005-0000-0000-00003AAB0000}"/>
    <cellStyle name="强调文字颜色 5 2 2 2 4 2" xfId="43835" xr:uid="{00000000-0005-0000-0000-00003BAB0000}"/>
    <cellStyle name="强调文字颜色 5 2 2 2 4 2 2" xfId="43836" xr:uid="{00000000-0005-0000-0000-00003CAB0000}"/>
    <cellStyle name="强调文字颜色 5 2 2 2 4 2 2 2" xfId="43837" xr:uid="{00000000-0005-0000-0000-00003DAB0000}"/>
    <cellStyle name="强调文字颜色 5 2 2 2 4 3" xfId="43838" xr:uid="{00000000-0005-0000-0000-00003EAB0000}"/>
    <cellStyle name="强调文字颜色 5 2 2 2 4 3 2" xfId="43839" xr:uid="{00000000-0005-0000-0000-00003FAB0000}"/>
    <cellStyle name="强调文字颜色 5 2 2 2 5" xfId="43840" xr:uid="{00000000-0005-0000-0000-000040AB0000}"/>
    <cellStyle name="强调文字颜色 5 2 2 2 6" xfId="43841" xr:uid="{00000000-0005-0000-0000-000041AB0000}"/>
    <cellStyle name="强调文字颜色 5 2 2 2 7" xfId="43842" xr:uid="{00000000-0005-0000-0000-000042AB0000}"/>
    <cellStyle name="强调文字颜色 5 2 2 3" xfId="43843" xr:uid="{00000000-0005-0000-0000-000043AB0000}"/>
    <cellStyle name="强调文字颜色 5 2 2 3 2" xfId="43844" xr:uid="{00000000-0005-0000-0000-000044AB0000}"/>
    <cellStyle name="强调文字颜色 5 2 2 3 2 2" xfId="43845" xr:uid="{00000000-0005-0000-0000-000045AB0000}"/>
    <cellStyle name="强调文字颜色 5 2 2 3 2 3" xfId="43846" xr:uid="{00000000-0005-0000-0000-000046AB0000}"/>
    <cellStyle name="强调文字颜色 5 2 2 3 2 3 2" xfId="43847" xr:uid="{00000000-0005-0000-0000-000047AB0000}"/>
    <cellStyle name="强调文字颜色 5 2 2 3 2 3 2 2" xfId="43848" xr:uid="{00000000-0005-0000-0000-000048AB0000}"/>
    <cellStyle name="强调文字颜色 5 2 2 3 2 4" xfId="43849" xr:uid="{00000000-0005-0000-0000-000049AB0000}"/>
    <cellStyle name="强调文字颜色 5 2 2 3 2 4 2" xfId="43850" xr:uid="{00000000-0005-0000-0000-00004AAB0000}"/>
    <cellStyle name="强调文字颜色 5 2 2 3 3" xfId="43851" xr:uid="{00000000-0005-0000-0000-00004BAB0000}"/>
    <cellStyle name="强调文字颜色 5 2 2 3 3 2" xfId="43852" xr:uid="{00000000-0005-0000-0000-00004CAB0000}"/>
    <cellStyle name="强调文字颜色 5 2 2 3 3 2 2" xfId="43853" xr:uid="{00000000-0005-0000-0000-00004DAB0000}"/>
    <cellStyle name="强调文字颜色 5 2 2 3 3 2 2 2" xfId="43854" xr:uid="{00000000-0005-0000-0000-00004EAB0000}"/>
    <cellStyle name="强调文字颜色 5 2 2 3 3 3" xfId="43855" xr:uid="{00000000-0005-0000-0000-00004FAB0000}"/>
    <cellStyle name="强调文字颜色 5 2 2 3 3 3 2" xfId="43856" xr:uid="{00000000-0005-0000-0000-000050AB0000}"/>
    <cellStyle name="强调文字颜色 5 2 2 3 4" xfId="43857" xr:uid="{00000000-0005-0000-0000-000051AB0000}"/>
    <cellStyle name="强调文字颜色 5 2 2 3 5" xfId="43858" xr:uid="{00000000-0005-0000-0000-000052AB0000}"/>
    <cellStyle name="强调文字颜色 5 2 2 3 6" xfId="43859" xr:uid="{00000000-0005-0000-0000-000053AB0000}"/>
    <cellStyle name="强调文字颜色 5 2 2 4" xfId="43860" xr:uid="{00000000-0005-0000-0000-000054AB0000}"/>
    <cellStyle name="强调文字颜色 5 2 2 4 2" xfId="43861" xr:uid="{00000000-0005-0000-0000-000055AB0000}"/>
    <cellStyle name="强调文字颜色 5 2 2 4 2 2" xfId="43862" xr:uid="{00000000-0005-0000-0000-000056AB0000}"/>
    <cellStyle name="强调文字颜色 5 2 2 4 2 3" xfId="43863" xr:uid="{00000000-0005-0000-0000-000057AB0000}"/>
    <cellStyle name="强调文字颜色 5 2 2 4 2 3 2" xfId="43864" xr:uid="{00000000-0005-0000-0000-000058AB0000}"/>
    <cellStyle name="强调文字颜色 5 2 2 4 2 3 2 2" xfId="43865" xr:uid="{00000000-0005-0000-0000-000059AB0000}"/>
    <cellStyle name="强调文字颜色 5 2 2 4 2 4" xfId="43866" xr:uid="{00000000-0005-0000-0000-00005AAB0000}"/>
    <cellStyle name="强调文字颜色 5 2 2 4 2 4 2" xfId="43867" xr:uid="{00000000-0005-0000-0000-00005BAB0000}"/>
    <cellStyle name="强调文字颜色 5 2 2 4 3" xfId="43868" xr:uid="{00000000-0005-0000-0000-00005CAB0000}"/>
    <cellStyle name="强调文字颜色 5 2 2 4 4" xfId="43869" xr:uid="{00000000-0005-0000-0000-00005DAB0000}"/>
    <cellStyle name="强调文字颜色 5 2 2 4 5" xfId="43870" xr:uid="{00000000-0005-0000-0000-00005EAB0000}"/>
    <cellStyle name="强调文字颜色 5 2 2 4 6" xfId="43871" xr:uid="{00000000-0005-0000-0000-00005FAB0000}"/>
    <cellStyle name="强调文字颜色 5 2 2 5" xfId="43872" xr:uid="{00000000-0005-0000-0000-000060AB0000}"/>
    <cellStyle name="强调文字颜色 5 2 2 5 2" xfId="43873" xr:uid="{00000000-0005-0000-0000-000061AB0000}"/>
    <cellStyle name="强调文字颜色 5 2 2 5 2 2" xfId="43874" xr:uid="{00000000-0005-0000-0000-000062AB0000}"/>
    <cellStyle name="强调文字颜色 5 2 2 5 2 2 2" xfId="43875" xr:uid="{00000000-0005-0000-0000-000063AB0000}"/>
    <cellStyle name="强调文字颜色 5 2 2 5 2 2 2 2" xfId="43876" xr:uid="{00000000-0005-0000-0000-000064AB0000}"/>
    <cellStyle name="强调文字颜色 5 2 2 5 2 3" xfId="43877" xr:uid="{00000000-0005-0000-0000-000065AB0000}"/>
    <cellStyle name="强调文字颜色 5 2 2 5 2 3 2" xfId="43878" xr:uid="{00000000-0005-0000-0000-000066AB0000}"/>
    <cellStyle name="强调文字颜色 5 2 2 5 3" xfId="43879" xr:uid="{00000000-0005-0000-0000-000067AB0000}"/>
    <cellStyle name="强调文字颜色 5 2 2 5 3 2" xfId="43880" xr:uid="{00000000-0005-0000-0000-000068AB0000}"/>
    <cellStyle name="强调文字颜色 5 2 2 5 3 2 2" xfId="43881" xr:uid="{00000000-0005-0000-0000-000069AB0000}"/>
    <cellStyle name="强调文字颜色 5 2 2 5 4" xfId="43882" xr:uid="{00000000-0005-0000-0000-00006AAB0000}"/>
    <cellStyle name="强调文字颜色 5 2 2 5 4 2" xfId="43883" xr:uid="{00000000-0005-0000-0000-00006BAB0000}"/>
    <cellStyle name="强调文字颜色 5 2 2 6" xfId="43884" xr:uid="{00000000-0005-0000-0000-00006CAB0000}"/>
    <cellStyle name="强调文字颜色 5 2 2 6 2" xfId="43885" xr:uid="{00000000-0005-0000-0000-00006DAB0000}"/>
    <cellStyle name="强调文字颜色 5 2 2 6 2 2" xfId="43886" xr:uid="{00000000-0005-0000-0000-00006EAB0000}"/>
    <cellStyle name="强调文字颜色 5 2 2 6 2 2 2" xfId="43887" xr:uid="{00000000-0005-0000-0000-00006FAB0000}"/>
    <cellStyle name="强调文字颜色 5 2 2 6 2 2 2 2" xfId="43888" xr:uid="{00000000-0005-0000-0000-000070AB0000}"/>
    <cellStyle name="强调文字颜色 5 2 2 6 2 3" xfId="43889" xr:uid="{00000000-0005-0000-0000-000071AB0000}"/>
    <cellStyle name="强调文字颜色 5 2 2 6 2 3 2" xfId="43890" xr:uid="{00000000-0005-0000-0000-000072AB0000}"/>
    <cellStyle name="强调文字颜色 5 2 2 6 3" xfId="43891" xr:uid="{00000000-0005-0000-0000-000073AB0000}"/>
    <cellStyle name="强调文字颜色 5 2 2 6 3 2" xfId="43892" xr:uid="{00000000-0005-0000-0000-000074AB0000}"/>
    <cellStyle name="强调文字颜色 5 2 2 6 3 2 2" xfId="43893" xr:uid="{00000000-0005-0000-0000-000075AB0000}"/>
    <cellStyle name="强调文字颜色 5 2 2 6 4" xfId="43894" xr:uid="{00000000-0005-0000-0000-000076AB0000}"/>
    <cellStyle name="强调文字颜色 5 2 2 6 4 2" xfId="43895" xr:uid="{00000000-0005-0000-0000-000077AB0000}"/>
    <cellStyle name="强调文字颜色 5 2 2 7" xfId="43896" xr:uid="{00000000-0005-0000-0000-000078AB0000}"/>
    <cellStyle name="强调文字颜色 5 2 2 7 2" xfId="43897" xr:uid="{00000000-0005-0000-0000-000079AB0000}"/>
    <cellStyle name="强调文字颜色 5 2 2 7 2 2" xfId="43898" xr:uid="{00000000-0005-0000-0000-00007AAB0000}"/>
    <cellStyle name="强调文字颜色 5 2 2 7 2 2 2" xfId="43899" xr:uid="{00000000-0005-0000-0000-00007BAB0000}"/>
    <cellStyle name="强调文字颜色 5 2 2 7 2 2 2 2" xfId="43900" xr:uid="{00000000-0005-0000-0000-00007CAB0000}"/>
    <cellStyle name="强调文字颜色 5 2 2 7 2 3" xfId="43901" xr:uid="{00000000-0005-0000-0000-00007DAB0000}"/>
    <cellStyle name="强调文字颜色 5 2 2 7 2 3 2" xfId="43902" xr:uid="{00000000-0005-0000-0000-00007EAB0000}"/>
    <cellStyle name="强调文字颜色 5 2 2 7 3" xfId="43903" xr:uid="{00000000-0005-0000-0000-00007FAB0000}"/>
    <cellStyle name="强调文字颜色 5 2 2 7 3 2" xfId="43904" xr:uid="{00000000-0005-0000-0000-000080AB0000}"/>
    <cellStyle name="强调文字颜色 5 2 2 7 3 2 2" xfId="43905" xr:uid="{00000000-0005-0000-0000-000081AB0000}"/>
    <cellStyle name="强调文字颜色 5 2 2 7 4" xfId="43906" xr:uid="{00000000-0005-0000-0000-000082AB0000}"/>
    <cellStyle name="强调文字颜色 5 2 2 7 4 2" xfId="43907" xr:uid="{00000000-0005-0000-0000-000083AB0000}"/>
    <cellStyle name="强调文字颜色 5 2 2 8" xfId="43908" xr:uid="{00000000-0005-0000-0000-000084AB0000}"/>
    <cellStyle name="强调文字颜色 5 2 2 8 2" xfId="43909" xr:uid="{00000000-0005-0000-0000-000085AB0000}"/>
    <cellStyle name="强调文字颜色 5 2 2 8 2 2" xfId="43910" xr:uid="{00000000-0005-0000-0000-000086AB0000}"/>
    <cellStyle name="强调文字颜色 5 2 2 8 2 2 2" xfId="43911" xr:uid="{00000000-0005-0000-0000-000087AB0000}"/>
    <cellStyle name="强调文字颜色 5 2 2 8 3" xfId="43912" xr:uid="{00000000-0005-0000-0000-000088AB0000}"/>
    <cellStyle name="强调文字颜色 5 2 2 8 3 2" xfId="43913" xr:uid="{00000000-0005-0000-0000-000089AB0000}"/>
    <cellStyle name="强调文字颜色 5 2 2 9" xfId="43914" xr:uid="{00000000-0005-0000-0000-00008AAB0000}"/>
    <cellStyle name="强调文字颜色 5 2 2 9 2" xfId="43915" xr:uid="{00000000-0005-0000-0000-00008BAB0000}"/>
    <cellStyle name="强调文字颜色 5 2 2 9 2 2" xfId="43916" xr:uid="{00000000-0005-0000-0000-00008CAB0000}"/>
    <cellStyle name="强调文字颜色 5 2 2 9 2 2 2" xfId="43917" xr:uid="{00000000-0005-0000-0000-00008DAB0000}"/>
    <cellStyle name="强调文字颜色 5 2 2 9 3" xfId="43918" xr:uid="{00000000-0005-0000-0000-00008EAB0000}"/>
    <cellStyle name="强调文字颜色 5 2 2 9 3 2" xfId="43919" xr:uid="{00000000-0005-0000-0000-00008FAB0000}"/>
    <cellStyle name="强调文字颜色 5 2 3" xfId="43920" xr:uid="{00000000-0005-0000-0000-000090AB0000}"/>
    <cellStyle name="强调文字颜色 5 2 3 2" xfId="43921" xr:uid="{00000000-0005-0000-0000-000091AB0000}"/>
    <cellStyle name="强调文字颜色 5 2 3 2 2" xfId="43922" xr:uid="{00000000-0005-0000-0000-000092AB0000}"/>
    <cellStyle name="强调文字颜色 5 2 3 2 2 2" xfId="43923" xr:uid="{00000000-0005-0000-0000-000093AB0000}"/>
    <cellStyle name="强调文字颜色 5 2 3 2 2 2 2" xfId="43924" xr:uid="{00000000-0005-0000-0000-000094AB0000}"/>
    <cellStyle name="强调文字颜色 5 2 3 2 2 2 3" xfId="43925" xr:uid="{00000000-0005-0000-0000-000095AB0000}"/>
    <cellStyle name="强调文字颜色 5 2 3 2 2 2 3 2" xfId="43926" xr:uid="{00000000-0005-0000-0000-000096AB0000}"/>
    <cellStyle name="强调文字颜色 5 2 3 2 2 2 3 2 2" xfId="43927" xr:uid="{00000000-0005-0000-0000-000097AB0000}"/>
    <cellStyle name="强调文字颜色 5 2 3 2 2 2 4" xfId="43928" xr:uid="{00000000-0005-0000-0000-000098AB0000}"/>
    <cellStyle name="强调文字颜色 5 2 3 2 2 2 4 2" xfId="43929" xr:uid="{00000000-0005-0000-0000-000099AB0000}"/>
    <cellStyle name="强调文字颜色 5 2 3 2 2 3" xfId="43930" xr:uid="{00000000-0005-0000-0000-00009AAB0000}"/>
    <cellStyle name="强调文字颜色 5 2 3 2 2 3 2" xfId="43931" xr:uid="{00000000-0005-0000-0000-00009BAB0000}"/>
    <cellStyle name="强调文字颜色 5 2 3 2 2 3 2 2" xfId="43932" xr:uid="{00000000-0005-0000-0000-00009CAB0000}"/>
    <cellStyle name="强调文字颜色 5 2 3 2 2 3 2 2 2" xfId="43933" xr:uid="{00000000-0005-0000-0000-00009DAB0000}"/>
    <cellStyle name="强调文字颜色 5 2 3 2 2 3 3" xfId="43934" xr:uid="{00000000-0005-0000-0000-00009EAB0000}"/>
    <cellStyle name="强调文字颜色 5 2 3 2 2 3 3 2" xfId="43935" xr:uid="{00000000-0005-0000-0000-00009FAB0000}"/>
    <cellStyle name="强调文字颜色 5 2 3 2 2 4" xfId="43936" xr:uid="{00000000-0005-0000-0000-0000A0AB0000}"/>
    <cellStyle name="强调文字颜色 5 2 3 2 2 5" xfId="43937" xr:uid="{00000000-0005-0000-0000-0000A1AB0000}"/>
    <cellStyle name="强调文字颜色 5 2 3 2 2 6" xfId="43938" xr:uid="{00000000-0005-0000-0000-0000A2AB0000}"/>
    <cellStyle name="强调文字颜色 5 2 3 2 3" xfId="43939" xr:uid="{00000000-0005-0000-0000-0000A3AB0000}"/>
    <cellStyle name="强调文字颜色 5 2 3 2 3 2" xfId="43940" xr:uid="{00000000-0005-0000-0000-0000A4AB0000}"/>
    <cellStyle name="强调文字颜色 5 2 3 2 3 3" xfId="43941" xr:uid="{00000000-0005-0000-0000-0000A5AB0000}"/>
    <cellStyle name="强调文字颜色 5 2 3 2 3 3 2" xfId="43942" xr:uid="{00000000-0005-0000-0000-0000A6AB0000}"/>
    <cellStyle name="强调文字颜色 5 2 3 2 3 3 2 2" xfId="43943" xr:uid="{00000000-0005-0000-0000-0000A7AB0000}"/>
    <cellStyle name="强调文字颜色 5 2 3 2 3 4" xfId="43944" xr:uid="{00000000-0005-0000-0000-0000A8AB0000}"/>
    <cellStyle name="强调文字颜色 5 2 3 2 3 4 2" xfId="43945" xr:uid="{00000000-0005-0000-0000-0000A9AB0000}"/>
    <cellStyle name="强调文字颜色 5 2 3 2 4" xfId="43946" xr:uid="{00000000-0005-0000-0000-0000AAAB0000}"/>
    <cellStyle name="强调文字颜色 5 2 3 2 4 2" xfId="43947" xr:uid="{00000000-0005-0000-0000-0000ABAB0000}"/>
    <cellStyle name="强调文字颜色 5 2 3 2 4 2 2" xfId="43948" xr:uid="{00000000-0005-0000-0000-0000ACAB0000}"/>
    <cellStyle name="强调文字颜色 5 2 3 2 4 2 2 2" xfId="43949" xr:uid="{00000000-0005-0000-0000-0000ADAB0000}"/>
    <cellStyle name="强调文字颜色 5 2 3 2 4 3" xfId="43950" xr:uid="{00000000-0005-0000-0000-0000AEAB0000}"/>
    <cellStyle name="强调文字颜色 5 2 3 2 4 3 2" xfId="43951" xr:uid="{00000000-0005-0000-0000-0000AFAB0000}"/>
    <cellStyle name="强调文字颜色 5 2 3 2 5" xfId="43952" xr:uid="{00000000-0005-0000-0000-0000B0AB0000}"/>
    <cellStyle name="强调文字颜色 5 2 3 2 6" xfId="43953" xr:uid="{00000000-0005-0000-0000-0000B1AB0000}"/>
    <cellStyle name="强调文字颜色 5 2 3 2 7" xfId="43954" xr:uid="{00000000-0005-0000-0000-0000B2AB0000}"/>
    <cellStyle name="强调文字颜色 5 2 3 3" xfId="43955" xr:uid="{00000000-0005-0000-0000-0000B3AB0000}"/>
    <cellStyle name="强调文字颜色 5 2 3 3 2" xfId="43956" xr:uid="{00000000-0005-0000-0000-0000B4AB0000}"/>
    <cellStyle name="强调文字颜色 5 2 3 3 2 2" xfId="43957" xr:uid="{00000000-0005-0000-0000-0000B5AB0000}"/>
    <cellStyle name="强调文字颜色 5 2 3 3 2 3" xfId="43958" xr:uid="{00000000-0005-0000-0000-0000B6AB0000}"/>
    <cellStyle name="强调文字颜色 5 2 3 3 2 3 2" xfId="43959" xr:uid="{00000000-0005-0000-0000-0000B7AB0000}"/>
    <cellStyle name="强调文字颜色 5 2 3 3 2 3 2 2" xfId="43960" xr:uid="{00000000-0005-0000-0000-0000B8AB0000}"/>
    <cellStyle name="强调文字颜色 5 2 3 3 2 4" xfId="43961" xr:uid="{00000000-0005-0000-0000-0000B9AB0000}"/>
    <cellStyle name="强调文字颜色 5 2 3 3 2 4 2" xfId="43962" xr:uid="{00000000-0005-0000-0000-0000BAAB0000}"/>
    <cellStyle name="强调文字颜色 5 2 3 3 3" xfId="43963" xr:uid="{00000000-0005-0000-0000-0000BBAB0000}"/>
    <cellStyle name="强调文字颜色 5 2 3 3 3 2" xfId="43964" xr:uid="{00000000-0005-0000-0000-0000BCAB0000}"/>
    <cellStyle name="强调文字颜色 5 2 3 3 3 2 2" xfId="43965" xr:uid="{00000000-0005-0000-0000-0000BDAB0000}"/>
    <cellStyle name="强调文字颜色 5 2 3 3 3 2 2 2" xfId="43966" xr:uid="{00000000-0005-0000-0000-0000BEAB0000}"/>
    <cellStyle name="强调文字颜色 5 2 3 3 3 3" xfId="43967" xr:uid="{00000000-0005-0000-0000-0000BFAB0000}"/>
    <cellStyle name="强调文字颜色 5 2 3 3 3 3 2" xfId="43968" xr:uid="{00000000-0005-0000-0000-0000C0AB0000}"/>
    <cellStyle name="强调文字颜色 5 2 3 3 4" xfId="43969" xr:uid="{00000000-0005-0000-0000-0000C1AB0000}"/>
    <cellStyle name="强调文字颜色 5 2 3 3 5" xfId="43970" xr:uid="{00000000-0005-0000-0000-0000C2AB0000}"/>
    <cellStyle name="强调文字颜色 5 2 3 3 6" xfId="43971" xr:uid="{00000000-0005-0000-0000-0000C3AB0000}"/>
    <cellStyle name="强调文字颜色 5 2 3 4" xfId="43972" xr:uid="{00000000-0005-0000-0000-0000C4AB0000}"/>
    <cellStyle name="强调文字颜色 5 2 3 4 2" xfId="43973" xr:uid="{00000000-0005-0000-0000-0000C5AB0000}"/>
    <cellStyle name="强调文字颜色 5 2 3 4 2 2" xfId="43974" xr:uid="{00000000-0005-0000-0000-0000C6AB0000}"/>
    <cellStyle name="强调文字颜色 5 2 3 4 2 3" xfId="43975" xr:uid="{00000000-0005-0000-0000-0000C7AB0000}"/>
    <cellStyle name="强调文字颜色 5 2 3 4 2 3 2" xfId="43976" xr:uid="{00000000-0005-0000-0000-0000C8AB0000}"/>
    <cellStyle name="强调文字颜色 5 2 3 4 2 3 2 2" xfId="43977" xr:uid="{00000000-0005-0000-0000-0000C9AB0000}"/>
    <cellStyle name="强调文字颜色 5 2 3 4 2 4" xfId="43978" xr:uid="{00000000-0005-0000-0000-0000CAAB0000}"/>
    <cellStyle name="强调文字颜色 5 2 3 4 2 4 2" xfId="43979" xr:uid="{00000000-0005-0000-0000-0000CBAB0000}"/>
    <cellStyle name="强调文字颜色 5 2 3 4 3" xfId="43980" xr:uid="{00000000-0005-0000-0000-0000CCAB0000}"/>
    <cellStyle name="强调文字颜色 5 2 3 4 4" xfId="43981" xr:uid="{00000000-0005-0000-0000-0000CDAB0000}"/>
    <cellStyle name="强调文字颜色 5 2 3 4 5" xfId="43982" xr:uid="{00000000-0005-0000-0000-0000CEAB0000}"/>
    <cellStyle name="强调文字颜色 5 2 3 4 6" xfId="43983" xr:uid="{00000000-0005-0000-0000-0000CFAB0000}"/>
    <cellStyle name="强调文字颜色 5 2 3 5" xfId="43984" xr:uid="{00000000-0005-0000-0000-0000D0AB0000}"/>
    <cellStyle name="强调文字颜色 5 2 3 5 2" xfId="43985" xr:uid="{00000000-0005-0000-0000-0000D1AB0000}"/>
    <cellStyle name="强调文字颜色 5 2 3 5 2 2" xfId="43986" xr:uid="{00000000-0005-0000-0000-0000D2AB0000}"/>
    <cellStyle name="强调文字颜色 5 2 3 5 2 2 2" xfId="43987" xr:uid="{00000000-0005-0000-0000-0000D3AB0000}"/>
    <cellStyle name="强调文字颜色 5 2 3 5 2 2 2 2" xfId="43988" xr:uid="{00000000-0005-0000-0000-0000D4AB0000}"/>
    <cellStyle name="强调文字颜色 5 2 3 5 2 3" xfId="43989" xr:uid="{00000000-0005-0000-0000-0000D5AB0000}"/>
    <cellStyle name="强调文字颜色 5 2 3 5 2 3 2" xfId="43990" xr:uid="{00000000-0005-0000-0000-0000D6AB0000}"/>
    <cellStyle name="强调文字颜色 5 2 3 5 3" xfId="43991" xr:uid="{00000000-0005-0000-0000-0000D7AB0000}"/>
    <cellStyle name="强调文字颜色 5 2 3 5 3 2" xfId="43992" xr:uid="{00000000-0005-0000-0000-0000D8AB0000}"/>
    <cellStyle name="强调文字颜色 5 2 3 5 3 2 2" xfId="43993" xr:uid="{00000000-0005-0000-0000-0000D9AB0000}"/>
    <cellStyle name="强调文字颜色 5 2 3 5 4" xfId="43994" xr:uid="{00000000-0005-0000-0000-0000DAAB0000}"/>
    <cellStyle name="强调文字颜色 5 2 3 5 4 2" xfId="43995" xr:uid="{00000000-0005-0000-0000-0000DBAB0000}"/>
    <cellStyle name="强调文字颜色 5 2 3 6" xfId="43996" xr:uid="{00000000-0005-0000-0000-0000DCAB0000}"/>
    <cellStyle name="强调文字颜色 5 2 3 6 2" xfId="43997" xr:uid="{00000000-0005-0000-0000-0000DDAB0000}"/>
    <cellStyle name="强调文字颜色 5 2 3 6 2 2" xfId="43998" xr:uid="{00000000-0005-0000-0000-0000DEAB0000}"/>
    <cellStyle name="强调文字颜色 5 2 3 6 2 2 2" xfId="43999" xr:uid="{00000000-0005-0000-0000-0000DFAB0000}"/>
    <cellStyle name="强调文字颜色 5 2 3 6 3" xfId="44000" xr:uid="{00000000-0005-0000-0000-0000E0AB0000}"/>
    <cellStyle name="强调文字颜色 5 2 3 6 3 2" xfId="44001" xr:uid="{00000000-0005-0000-0000-0000E1AB0000}"/>
    <cellStyle name="强调文字颜色 5 2 3 7" xfId="44002" xr:uid="{00000000-0005-0000-0000-0000E2AB0000}"/>
    <cellStyle name="强调文字颜色 5 2 3 7 2" xfId="44003" xr:uid="{00000000-0005-0000-0000-0000E3AB0000}"/>
    <cellStyle name="强调文字颜色 5 2 3 7 2 2" xfId="44004" xr:uid="{00000000-0005-0000-0000-0000E4AB0000}"/>
    <cellStyle name="强调文字颜色 5 2 3 7 2 2 2" xfId="44005" xr:uid="{00000000-0005-0000-0000-0000E5AB0000}"/>
    <cellStyle name="强调文字颜色 5 2 3 7 3" xfId="44006" xr:uid="{00000000-0005-0000-0000-0000E6AB0000}"/>
    <cellStyle name="强调文字颜色 5 2 3 7 3 2" xfId="44007" xr:uid="{00000000-0005-0000-0000-0000E7AB0000}"/>
    <cellStyle name="强调文字颜色 5 2 3 8" xfId="44008" xr:uid="{00000000-0005-0000-0000-0000E8AB0000}"/>
    <cellStyle name="强调文字颜色 5 2 3 9" xfId="44009" xr:uid="{00000000-0005-0000-0000-0000E9AB0000}"/>
    <cellStyle name="强调文字颜色 5 2 4" xfId="44010" xr:uid="{00000000-0005-0000-0000-0000EAAB0000}"/>
    <cellStyle name="强调文字颜色 5 2 4 2" xfId="44011" xr:uid="{00000000-0005-0000-0000-0000EBAB0000}"/>
    <cellStyle name="强调文字颜色 5 2 4 2 2" xfId="44012" xr:uid="{00000000-0005-0000-0000-0000ECAB0000}"/>
    <cellStyle name="强调文字颜色 5 2 4 2 3" xfId="44013" xr:uid="{00000000-0005-0000-0000-0000EDAB0000}"/>
    <cellStyle name="强调文字颜色 5 2 4 2 3 2" xfId="44014" xr:uid="{00000000-0005-0000-0000-0000EEAB0000}"/>
    <cellStyle name="强调文字颜色 5 2 4 2 3 2 2" xfId="44015" xr:uid="{00000000-0005-0000-0000-0000EFAB0000}"/>
    <cellStyle name="强调文字颜色 5 2 4 2 4" xfId="44016" xr:uid="{00000000-0005-0000-0000-0000F0AB0000}"/>
    <cellStyle name="强调文字颜色 5 2 4 2 4 2" xfId="44017" xr:uid="{00000000-0005-0000-0000-0000F1AB0000}"/>
    <cellStyle name="强调文字颜色 5 2 4 3" xfId="44018" xr:uid="{00000000-0005-0000-0000-0000F2AB0000}"/>
    <cellStyle name="强调文字颜色 5 2 4 3 2" xfId="44019" xr:uid="{00000000-0005-0000-0000-0000F3AB0000}"/>
    <cellStyle name="强调文字颜色 5 2 4 3 2 2" xfId="44020" xr:uid="{00000000-0005-0000-0000-0000F4AB0000}"/>
    <cellStyle name="强调文字颜色 5 2 4 3 2 2 2" xfId="44021" xr:uid="{00000000-0005-0000-0000-0000F5AB0000}"/>
    <cellStyle name="强调文字颜色 5 2 4 3 3" xfId="44022" xr:uid="{00000000-0005-0000-0000-0000F6AB0000}"/>
    <cellStyle name="强调文字颜色 5 2 4 3 3 2" xfId="44023" xr:uid="{00000000-0005-0000-0000-0000F7AB0000}"/>
    <cellStyle name="强调文字颜色 5 2 4 4" xfId="44024" xr:uid="{00000000-0005-0000-0000-0000F8AB0000}"/>
    <cellStyle name="强调文字颜色 5 2 4 5" xfId="44025" xr:uid="{00000000-0005-0000-0000-0000F9AB0000}"/>
    <cellStyle name="强调文字颜色 5 2 4 6" xfId="44026" xr:uid="{00000000-0005-0000-0000-0000FAAB0000}"/>
    <cellStyle name="强调文字颜色 5 2 5" xfId="44027" xr:uid="{00000000-0005-0000-0000-0000FBAB0000}"/>
    <cellStyle name="强调文字颜色 5 2 5 2" xfId="44028" xr:uid="{00000000-0005-0000-0000-0000FCAB0000}"/>
    <cellStyle name="强调文字颜色 5 2 5 2 2" xfId="44029" xr:uid="{00000000-0005-0000-0000-0000FDAB0000}"/>
    <cellStyle name="强调文字颜色 5 2 5 2 3" xfId="44030" xr:uid="{00000000-0005-0000-0000-0000FEAB0000}"/>
    <cellStyle name="强调文字颜色 5 2 5 2 3 2" xfId="44031" xr:uid="{00000000-0005-0000-0000-0000FFAB0000}"/>
    <cellStyle name="强调文字颜色 5 2 5 2 3 2 2" xfId="44032" xr:uid="{00000000-0005-0000-0000-000000AC0000}"/>
    <cellStyle name="强调文字颜色 5 2 5 2 4" xfId="44033" xr:uid="{00000000-0005-0000-0000-000001AC0000}"/>
    <cellStyle name="强调文字颜色 5 2 5 2 4 2" xfId="44034" xr:uid="{00000000-0005-0000-0000-000002AC0000}"/>
    <cellStyle name="强调文字颜色 5 2 5 3" xfId="44035" xr:uid="{00000000-0005-0000-0000-000003AC0000}"/>
    <cellStyle name="强调文字颜色 5 2 5 4" xfId="44036" xr:uid="{00000000-0005-0000-0000-000004AC0000}"/>
    <cellStyle name="强调文字颜色 5 2 5 5" xfId="44037" xr:uid="{00000000-0005-0000-0000-000005AC0000}"/>
    <cellStyle name="强调文字颜色 5 2 5 6" xfId="44038" xr:uid="{00000000-0005-0000-0000-000006AC0000}"/>
    <cellStyle name="强调文字颜色 5 2 6" xfId="44039" xr:uid="{00000000-0005-0000-0000-000007AC0000}"/>
    <cellStyle name="强调文字颜色 5 2 6 2" xfId="44040" xr:uid="{00000000-0005-0000-0000-000008AC0000}"/>
    <cellStyle name="强调文字颜色 5 2 6 2 2" xfId="44041" xr:uid="{00000000-0005-0000-0000-000009AC0000}"/>
    <cellStyle name="强调文字颜色 5 2 6 2 2 2" xfId="44042" xr:uid="{00000000-0005-0000-0000-00000AAC0000}"/>
    <cellStyle name="强调文字颜色 5 2 6 2 2 2 2" xfId="44043" xr:uid="{00000000-0005-0000-0000-00000BAC0000}"/>
    <cellStyle name="强调文字颜色 5 2 6 2 3" xfId="44044" xr:uid="{00000000-0005-0000-0000-00000CAC0000}"/>
    <cellStyle name="强调文字颜色 5 2 6 2 3 2" xfId="44045" xr:uid="{00000000-0005-0000-0000-00000DAC0000}"/>
    <cellStyle name="强调文字颜色 5 2 6 3" xfId="44046" xr:uid="{00000000-0005-0000-0000-00000EAC0000}"/>
    <cellStyle name="强调文字颜色 5 2 6 3 2" xfId="44047" xr:uid="{00000000-0005-0000-0000-00000FAC0000}"/>
    <cellStyle name="强调文字颜色 5 2 6 3 2 2" xfId="44048" xr:uid="{00000000-0005-0000-0000-000010AC0000}"/>
    <cellStyle name="强调文字颜色 5 2 6 4" xfId="44049" xr:uid="{00000000-0005-0000-0000-000011AC0000}"/>
    <cellStyle name="强调文字颜色 5 2 6 4 2" xfId="44050" xr:uid="{00000000-0005-0000-0000-000012AC0000}"/>
    <cellStyle name="强调文字颜色 5 2 7" xfId="44051" xr:uid="{00000000-0005-0000-0000-000013AC0000}"/>
    <cellStyle name="强调文字颜色 5 2 7 2" xfId="44052" xr:uid="{00000000-0005-0000-0000-000014AC0000}"/>
    <cellStyle name="强调文字颜色 5 2 7 2 2" xfId="44053" xr:uid="{00000000-0005-0000-0000-000015AC0000}"/>
    <cellStyle name="强调文字颜色 5 2 7 2 2 2" xfId="44054" xr:uid="{00000000-0005-0000-0000-000016AC0000}"/>
    <cellStyle name="强调文字颜色 5 2 7 2 2 2 2" xfId="44055" xr:uid="{00000000-0005-0000-0000-000017AC0000}"/>
    <cellStyle name="强调文字颜色 5 2 7 2 3" xfId="44056" xr:uid="{00000000-0005-0000-0000-000018AC0000}"/>
    <cellStyle name="强调文字颜色 5 2 7 2 3 2" xfId="44057" xr:uid="{00000000-0005-0000-0000-000019AC0000}"/>
    <cellStyle name="强调文字颜色 5 2 7 3" xfId="44058" xr:uid="{00000000-0005-0000-0000-00001AAC0000}"/>
    <cellStyle name="强调文字颜色 5 2 7 3 2" xfId="44059" xr:uid="{00000000-0005-0000-0000-00001BAC0000}"/>
    <cellStyle name="强调文字颜色 5 2 7 3 2 2" xfId="44060" xr:uid="{00000000-0005-0000-0000-00001CAC0000}"/>
    <cellStyle name="强调文字颜色 5 2 7 4" xfId="44061" xr:uid="{00000000-0005-0000-0000-00001DAC0000}"/>
    <cellStyle name="强调文字颜色 5 2 7 4 2" xfId="44062" xr:uid="{00000000-0005-0000-0000-00001EAC0000}"/>
    <cellStyle name="强调文字颜色 5 2 8" xfId="44063" xr:uid="{00000000-0005-0000-0000-00001FAC0000}"/>
    <cellStyle name="强调文字颜色 5 2 8 2" xfId="44064" xr:uid="{00000000-0005-0000-0000-000020AC0000}"/>
    <cellStyle name="强调文字颜色 5 2 8 2 2" xfId="44065" xr:uid="{00000000-0005-0000-0000-000021AC0000}"/>
    <cellStyle name="强调文字颜色 5 2 8 2 2 2" xfId="44066" xr:uid="{00000000-0005-0000-0000-000022AC0000}"/>
    <cellStyle name="强调文字颜色 5 2 8 2 2 2 2" xfId="44067" xr:uid="{00000000-0005-0000-0000-000023AC0000}"/>
    <cellStyle name="强调文字颜色 5 2 8 2 3" xfId="44068" xr:uid="{00000000-0005-0000-0000-000024AC0000}"/>
    <cellStyle name="强调文字颜色 5 2 8 2 3 2" xfId="44069" xr:uid="{00000000-0005-0000-0000-000025AC0000}"/>
    <cellStyle name="强调文字颜色 5 2 8 3" xfId="44070" xr:uid="{00000000-0005-0000-0000-000026AC0000}"/>
    <cellStyle name="强调文字颜色 5 2 8 3 2" xfId="44071" xr:uid="{00000000-0005-0000-0000-000027AC0000}"/>
    <cellStyle name="强调文字颜色 5 2 8 3 2 2" xfId="44072" xr:uid="{00000000-0005-0000-0000-000028AC0000}"/>
    <cellStyle name="强调文字颜色 5 2 8 4" xfId="44073" xr:uid="{00000000-0005-0000-0000-000029AC0000}"/>
    <cellStyle name="强调文字颜色 5 2 8 4 2" xfId="44074" xr:uid="{00000000-0005-0000-0000-00002AAC0000}"/>
    <cellStyle name="强调文字颜色 5 2 9" xfId="44075" xr:uid="{00000000-0005-0000-0000-00002BAC0000}"/>
    <cellStyle name="强调文字颜色 5 2 9 2" xfId="44076" xr:uid="{00000000-0005-0000-0000-00002CAC0000}"/>
    <cellStyle name="强调文字颜色 5 2 9 2 2" xfId="44077" xr:uid="{00000000-0005-0000-0000-00002DAC0000}"/>
    <cellStyle name="强调文字颜色 5 2 9 2 2 2" xfId="44078" xr:uid="{00000000-0005-0000-0000-00002EAC0000}"/>
    <cellStyle name="强调文字颜色 5 2 9 3" xfId="44079" xr:uid="{00000000-0005-0000-0000-00002FAC0000}"/>
    <cellStyle name="强调文字颜色 5 2 9 3 2" xfId="44080" xr:uid="{00000000-0005-0000-0000-000030AC0000}"/>
    <cellStyle name="强调文字颜色 5 3" xfId="44081" xr:uid="{00000000-0005-0000-0000-000031AC0000}"/>
    <cellStyle name="强调文字颜色 5 3 2" xfId="44082" xr:uid="{00000000-0005-0000-0000-000032AC0000}"/>
    <cellStyle name="强调文字颜色 5 3 2 2" xfId="44083" xr:uid="{00000000-0005-0000-0000-000033AC0000}"/>
    <cellStyle name="强调文字颜色 5 3 2 2 2" xfId="44084" xr:uid="{00000000-0005-0000-0000-000034AC0000}"/>
    <cellStyle name="强调文字颜色 5 3 2 2 2 2" xfId="44085" xr:uid="{00000000-0005-0000-0000-000035AC0000}"/>
    <cellStyle name="强调文字颜色 5 3 2 2 2 3" xfId="44086" xr:uid="{00000000-0005-0000-0000-000036AC0000}"/>
    <cellStyle name="强调文字颜色 5 3 2 2 2 3 2" xfId="44087" xr:uid="{00000000-0005-0000-0000-000037AC0000}"/>
    <cellStyle name="强调文字颜色 5 3 2 2 2 3 2 2" xfId="44088" xr:uid="{00000000-0005-0000-0000-000038AC0000}"/>
    <cellStyle name="强调文字颜色 5 3 2 2 2 4" xfId="44089" xr:uid="{00000000-0005-0000-0000-000039AC0000}"/>
    <cellStyle name="强调文字颜色 5 3 2 2 2 4 2" xfId="44090" xr:uid="{00000000-0005-0000-0000-00003AAC0000}"/>
    <cellStyle name="强调文字颜色 5 3 2 2 3" xfId="44091" xr:uid="{00000000-0005-0000-0000-00003BAC0000}"/>
    <cellStyle name="强调文字颜色 5 3 2 2 3 2" xfId="44092" xr:uid="{00000000-0005-0000-0000-00003CAC0000}"/>
    <cellStyle name="强调文字颜色 5 3 2 2 3 2 2" xfId="44093" xr:uid="{00000000-0005-0000-0000-00003DAC0000}"/>
    <cellStyle name="强调文字颜色 5 3 2 2 3 2 2 2" xfId="44094" xr:uid="{00000000-0005-0000-0000-00003EAC0000}"/>
    <cellStyle name="强调文字颜色 5 3 2 2 3 3" xfId="44095" xr:uid="{00000000-0005-0000-0000-00003FAC0000}"/>
    <cellStyle name="强调文字颜色 5 3 2 2 3 3 2" xfId="44096" xr:uid="{00000000-0005-0000-0000-000040AC0000}"/>
    <cellStyle name="强调文字颜色 5 3 2 2 4" xfId="44097" xr:uid="{00000000-0005-0000-0000-000041AC0000}"/>
    <cellStyle name="强调文字颜色 5 3 2 2 5" xfId="44098" xr:uid="{00000000-0005-0000-0000-000042AC0000}"/>
    <cellStyle name="强调文字颜色 5 3 2 2 6" xfId="44099" xr:uid="{00000000-0005-0000-0000-000043AC0000}"/>
    <cellStyle name="强调文字颜色 5 3 2 3" xfId="44100" xr:uid="{00000000-0005-0000-0000-000044AC0000}"/>
    <cellStyle name="强调文字颜色 5 3 2 3 2" xfId="44101" xr:uid="{00000000-0005-0000-0000-000045AC0000}"/>
    <cellStyle name="强调文字颜色 5 3 2 3 3" xfId="44102" xr:uid="{00000000-0005-0000-0000-000046AC0000}"/>
    <cellStyle name="强调文字颜色 5 3 2 3 3 2" xfId="44103" xr:uid="{00000000-0005-0000-0000-000047AC0000}"/>
    <cellStyle name="强调文字颜色 5 3 2 3 3 2 2" xfId="44104" xr:uid="{00000000-0005-0000-0000-000048AC0000}"/>
    <cellStyle name="强调文字颜色 5 3 2 3 4" xfId="44105" xr:uid="{00000000-0005-0000-0000-000049AC0000}"/>
    <cellStyle name="强调文字颜色 5 3 2 3 4 2" xfId="44106" xr:uid="{00000000-0005-0000-0000-00004AAC0000}"/>
    <cellStyle name="强调文字颜色 5 3 2 4" xfId="44107" xr:uid="{00000000-0005-0000-0000-00004BAC0000}"/>
    <cellStyle name="强调文字颜色 5 3 2 4 2" xfId="44108" xr:uid="{00000000-0005-0000-0000-00004CAC0000}"/>
    <cellStyle name="强调文字颜色 5 3 2 4 2 2" xfId="44109" xr:uid="{00000000-0005-0000-0000-00004DAC0000}"/>
    <cellStyle name="强调文字颜色 5 3 2 4 2 2 2" xfId="44110" xr:uid="{00000000-0005-0000-0000-00004EAC0000}"/>
    <cellStyle name="强调文字颜色 5 3 2 4 3" xfId="44111" xr:uid="{00000000-0005-0000-0000-00004FAC0000}"/>
    <cellStyle name="强调文字颜色 5 3 2 4 3 2" xfId="44112" xr:uid="{00000000-0005-0000-0000-000050AC0000}"/>
    <cellStyle name="强调文字颜色 5 3 2 5" xfId="44113" xr:uid="{00000000-0005-0000-0000-000051AC0000}"/>
    <cellStyle name="强调文字颜色 5 3 2 6" xfId="44114" xr:uid="{00000000-0005-0000-0000-000052AC0000}"/>
    <cellStyle name="强调文字颜色 5 3 2 7" xfId="44115" xr:uid="{00000000-0005-0000-0000-000053AC0000}"/>
    <cellStyle name="强调文字颜色 5 3 3" xfId="44116" xr:uid="{00000000-0005-0000-0000-000054AC0000}"/>
    <cellStyle name="强调文字颜色 5 3 3 2" xfId="44117" xr:uid="{00000000-0005-0000-0000-000055AC0000}"/>
    <cellStyle name="强调文字颜色 5 3 3 2 2" xfId="44118" xr:uid="{00000000-0005-0000-0000-000056AC0000}"/>
    <cellStyle name="强调文字颜色 5 3 3 2 3" xfId="44119" xr:uid="{00000000-0005-0000-0000-000057AC0000}"/>
    <cellStyle name="强调文字颜色 5 3 3 2 3 2" xfId="44120" xr:uid="{00000000-0005-0000-0000-000058AC0000}"/>
    <cellStyle name="强调文字颜色 5 3 3 2 3 2 2" xfId="44121" xr:uid="{00000000-0005-0000-0000-000059AC0000}"/>
    <cellStyle name="强调文字颜色 5 3 3 2 4" xfId="44122" xr:uid="{00000000-0005-0000-0000-00005AAC0000}"/>
    <cellStyle name="强调文字颜色 5 3 3 2 4 2" xfId="44123" xr:uid="{00000000-0005-0000-0000-00005BAC0000}"/>
    <cellStyle name="强调文字颜色 5 3 3 3" xfId="44124" xr:uid="{00000000-0005-0000-0000-00005CAC0000}"/>
    <cellStyle name="强调文字颜色 5 3 3 3 2" xfId="44125" xr:uid="{00000000-0005-0000-0000-00005DAC0000}"/>
    <cellStyle name="强调文字颜色 5 3 3 3 2 2" xfId="44126" xr:uid="{00000000-0005-0000-0000-00005EAC0000}"/>
    <cellStyle name="强调文字颜色 5 3 3 3 2 2 2" xfId="44127" xr:uid="{00000000-0005-0000-0000-00005FAC0000}"/>
    <cellStyle name="强调文字颜色 5 3 3 3 3" xfId="44128" xr:uid="{00000000-0005-0000-0000-000060AC0000}"/>
    <cellStyle name="强调文字颜色 5 3 3 3 3 2" xfId="44129" xr:uid="{00000000-0005-0000-0000-000061AC0000}"/>
    <cellStyle name="强调文字颜色 5 3 3 4" xfId="44130" xr:uid="{00000000-0005-0000-0000-000062AC0000}"/>
    <cellStyle name="强调文字颜色 5 3 3 5" xfId="44131" xr:uid="{00000000-0005-0000-0000-000063AC0000}"/>
    <cellStyle name="强调文字颜色 5 3 3 6" xfId="44132" xr:uid="{00000000-0005-0000-0000-000064AC0000}"/>
    <cellStyle name="强调文字颜色 5 3 4" xfId="44133" xr:uid="{00000000-0005-0000-0000-000065AC0000}"/>
    <cellStyle name="强调文字颜色 5 3 4 2" xfId="44134" xr:uid="{00000000-0005-0000-0000-000066AC0000}"/>
    <cellStyle name="强调文字颜色 5 3 4 2 2" xfId="44135" xr:uid="{00000000-0005-0000-0000-000067AC0000}"/>
    <cellStyle name="强调文字颜色 5 3 4 2 3" xfId="44136" xr:uid="{00000000-0005-0000-0000-000068AC0000}"/>
    <cellStyle name="强调文字颜色 5 3 4 2 3 2" xfId="44137" xr:uid="{00000000-0005-0000-0000-000069AC0000}"/>
    <cellStyle name="强调文字颜色 5 3 4 2 3 2 2" xfId="44138" xr:uid="{00000000-0005-0000-0000-00006AAC0000}"/>
    <cellStyle name="强调文字颜色 5 3 4 2 4" xfId="44139" xr:uid="{00000000-0005-0000-0000-00006BAC0000}"/>
    <cellStyle name="强调文字颜色 5 3 4 2 4 2" xfId="44140" xr:uid="{00000000-0005-0000-0000-00006CAC0000}"/>
    <cellStyle name="强调文字颜色 5 3 4 3" xfId="44141" xr:uid="{00000000-0005-0000-0000-00006DAC0000}"/>
    <cellStyle name="强调文字颜色 5 3 4 4" xfId="44142" xr:uid="{00000000-0005-0000-0000-00006EAC0000}"/>
    <cellStyle name="强调文字颜色 5 3 4 5" xfId="44143" xr:uid="{00000000-0005-0000-0000-00006FAC0000}"/>
    <cellStyle name="强调文字颜色 5 3 4 6" xfId="44144" xr:uid="{00000000-0005-0000-0000-000070AC0000}"/>
    <cellStyle name="强调文字颜色 5 3 5" xfId="44145" xr:uid="{00000000-0005-0000-0000-000071AC0000}"/>
    <cellStyle name="强调文字颜色 5 3 5 2" xfId="44146" xr:uid="{00000000-0005-0000-0000-000072AC0000}"/>
    <cellStyle name="强调文字颜色 5 3 5 2 2" xfId="44147" xr:uid="{00000000-0005-0000-0000-000073AC0000}"/>
    <cellStyle name="强调文字颜色 5 3 5 2 2 2" xfId="44148" xr:uid="{00000000-0005-0000-0000-000074AC0000}"/>
    <cellStyle name="强调文字颜色 5 3 5 2 2 2 2" xfId="44149" xr:uid="{00000000-0005-0000-0000-000075AC0000}"/>
    <cellStyle name="强调文字颜色 5 3 5 2 3" xfId="44150" xr:uid="{00000000-0005-0000-0000-000076AC0000}"/>
    <cellStyle name="强调文字颜色 5 3 5 2 3 2" xfId="44151" xr:uid="{00000000-0005-0000-0000-000077AC0000}"/>
    <cellStyle name="强调文字颜色 5 3 5 3" xfId="44152" xr:uid="{00000000-0005-0000-0000-000078AC0000}"/>
    <cellStyle name="强调文字颜色 5 3 5 3 2" xfId="44153" xr:uid="{00000000-0005-0000-0000-000079AC0000}"/>
    <cellStyle name="强调文字颜色 5 3 5 3 2 2" xfId="44154" xr:uid="{00000000-0005-0000-0000-00007AAC0000}"/>
    <cellStyle name="强调文字颜色 5 3 5 4" xfId="44155" xr:uid="{00000000-0005-0000-0000-00007BAC0000}"/>
    <cellStyle name="强调文字颜色 5 3 5 4 2" xfId="44156" xr:uid="{00000000-0005-0000-0000-00007CAC0000}"/>
    <cellStyle name="强调文字颜色 5 3 6" xfId="44157" xr:uid="{00000000-0005-0000-0000-00007DAC0000}"/>
    <cellStyle name="强调文字颜色 5 3 6 2" xfId="44158" xr:uid="{00000000-0005-0000-0000-00007EAC0000}"/>
    <cellStyle name="强调文字颜色 5 3 6 2 2" xfId="44159" xr:uid="{00000000-0005-0000-0000-00007FAC0000}"/>
    <cellStyle name="强调文字颜色 5 3 6 2 2 2" xfId="44160" xr:uid="{00000000-0005-0000-0000-000080AC0000}"/>
    <cellStyle name="强调文字颜色 5 3 6 3" xfId="44161" xr:uid="{00000000-0005-0000-0000-000081AC0000}"/>
    <cellStyle name="强调文字颜色 5 3 6 3 2" xfId="44162" xr:uid="{00000000-0005-0000-0000-000082AC0000}"/>
    <cellStyle name="强调文字颜色 5 3 7" xfId="44163" xr:uid="{00000000-0005-0000-0000-000083AC0000}"/>
    <cellStyle name="强调文字颜色 5 3 8" xfId="44164" xr:uid="{00000000-0005-0000-0000-000084AC0000}"/>
    <cellStyle name="强调文字颜色 6 2" xfId="44165" xr:uid="{00000000-0005-0000-0000-000085AC0000}"/>
    <cellStyle name="强调文字颜色 6 2 10" xfId="44166" xr:uid="{00000000-0005-0000-0000-000086AC0000}"/>
    <cellStyle name="强调文字颜色 6 2 11" xfId="44167" xr:uid="{00000000-0005-0000-0000-000087AC0000}"/>
    <cellStyle name="强调文字颜色 6 2 2" xfId="44168" xr:uid="{00000000-0005-0000-0000-000088AC0000}"/>
    <cellStyle name="强调文字颜色 6 2 2 10" xfId="44169" xr:uid="{00000000-0005-0000-0000-000089AC0000}"/>
    <cellStyle name="强调文字颜色 6 2 2 11" xfId="44170" xr:uid="{00000000-0005-0000-0000-00008AAC0000}"/>
    <cellStyle name="强调文字颜色 6 2 2 2" xfId="44171" xr:uid="{00000000-0005-0000-0000-00008BAC0000}"/>
    <cellStyle name="强调文字颜色 6 2 2 2 2" xfId="44172" xr:uid="{00000000-0005-0000-0000-00008CAC0000}"/>
    <cellStyle name="强调文字颜色 6 2 2 2 2 2" xfId="44173" xr:uid="{00000000-0005-0000-0000-00008DAC0000}"/>
    <cellStyle name="强调文字颜色 6 2 2 2 2 2 2" xfId="44174" xr:uid="{00000000-0005-0000-0000-00008EAC0000}"/>
    <cellStyle name="强调文字颜色 6 2 2 2 2 2 3" xfId="44175" xr:uid="{00000000-0005-0000-0000-00008FAC0000}"/>
    <cellStyle name="强调文字颜色 6 2 2 2 2 2 3 2" xfId="44176" xr:uid="{00000000-0005-0000-0000-000090AC0000}"/>
    <cellStyle name="强调文字颜色 6 2 2 2 2 2 3 2 2" xfId="44177" xr:uid="{00000000-0005-0000-0000-000091AC0000}"/>
    <cellStyle name="强调文字颜色 6 2 2 2 2 2 4" xfId="44178" xr:uid="{00000000-0005-0000-0000-000092AC0000}"/>
    <cellStyle name="强调文字颜色 6 2 2 2 2 2 4 2" xfId="44179" xr:uid="{00000000-0005-0000-0000-000093AC0000}"/>
    <cellStyle name="强调文字颜色 6 2 2 2 2 3" xfId="44180" xr:uid="{00000000-0005-0000-0000-000094AC0000}"/>
    <cellStyle name="强调文字颜色 6 2 2 2 2 3 2" xfId="44181" xr:uid="{00000000-0005-0000-0000-000095AC0000}"/>
    <cellStyle name="强调文字颜色 6 2 2 2 2 3 2 2" xfId="44182" xr:uid="{00000000-0005-0000-0000-000096AC0000}"/>
    <cellStyle name="强调文字颜色 6 2 2 2 2 3 2 2 2" xfId="44183" xr:uid="{00000000-0005-0000-0000-000097AC0000}"/>
    <cellStyle name="强调文字颜色 6 2 2 2 2 3 3" xfId="44184" xr:uid="{00000000-0005-0000-0000-000098AC0000}"/>
    <cellStyle name="强调文字颜色 6 2 2 2 2 3 3 2" xfId="44185" xr:uid="{00000000-0005-0000-0000-000099AC0000}"/>
    <cellStyle name="强调文字颜色 6 2 2 2 2 4" xfId="44186" xr:uid="{00000000-0005-0000-0000-00009AAC0000}"/>
    <cellStyle name="强调文字颜色 6 2 2 2 2 5" xfId="44187" xr:uid="{00000000-0005-0000-0000-00009BAC0000}"/>
    <cellStyle name="强调文字颜色 6 2 2 2 2 6" xfId="44188" xr:uid="{00000000-0005-0000-0000-00009CAC0000}"/>
    <cellStyle name="强调文字颜色 6 2 2 2 3" xfId="44189" xr:uid="{00000000-0005-0000-0000-00009DAC0000}"/>
    <cellStyle name="强调文字颜色 6 2 2 2 3 2" xfId="44190" xr:uid="{00000000-0005-0000-0000-00009EAC0000}"/>
    <cellStyle name="强调文字颜色 6 2 2 2 3 3" xfId="44191" xr:uid="{00000000-0005-0000-0000-00009FAC0000}"/>
    <cellStyle name="强调文字颜色 6 2 2 2 3 3 2" xfId="44192" xr:uid="{00000000-0005-0000-0000-0000A0AC0000}"/>
    <cellStyle name="强调文字颜色 6 2 2 2 3 3 2 2" xfId="44193" xr:uid="{00000000-0005-0000-0000-0000A1AC0000}"/>
    <cellStyle name="强调文字颜色 6 2 2 2 3 4" xfId="44194" xr:uid="{00000000-0005-0000-0000-0000A2AC0000}"/>
    <cellStyle name="强调文字颜色 6 2 2 2 3 4 2" xfId="44195" xr:uid="{00000000-0005-0000-0000-0000A3AC0000}"/>
    <cellStyle name="强调文字颜色 6 2 2 2 4" xfId="44196" xr:uid="{00000000-0005-0000-0000-0000A4AC0000}"/>
    <cellStyle name="强调文字颜色 6 2 2 2 4 2" xfId="44197" xr:uid="{00000000-0005-0000-0000-0000A5AC0000}"/>
    <cellStyle name="强调文字颜色 6 2 2 2 4 2 2" xfId="44198" xr:uid="{00000000-0005-0000-0000-0000A6AC0000}"/>
    <cellStyle name="强调文字颜色 6 2 2 2 4 2 2 2" xfId="44199" xr:uid="{00000000-0005-0000-0000-0000A7AC0000}"/>
    <cellStyle name="强调文字颜色 6 2 2 2 4 3" xfId="44200" xr:uid="{00000000-0005-0000-0000-0000A8AC0000}"/>
    <cellStyle name="强调文字颜色 6 2 2 2 4 3 2" xfId="44201" xr:uid="{00000000-0005-0000-0000-0000A9AC0000}"/>
    <cellStyle name="强调文字颜色 6 2 2 2 5" xfId="44202" xr:uid="{00000000-0005-0000-0000-0000AAAC0000}"/>
    <cellStyle name="强调文字颜色 6 2 2 2 6" xfId="44203" xr:uid="{00000000-0005-0000-0000-0000ABAC0000}"/>
    <cellStyle name="强调文字颜色 6 2 2 2 7" xfId="44204" xr:uid="{00000000-0005-0000-0000-0000ACAC0000}"/>
    <cellStyle name="强调文字颜色 6 2 2 3" xfId="44205" xr:uid="{00000000-0005-0000-0000-0000ADAC0000}"/>
    <cellStyle name="强调文字颜色 6 2 2 3 2" xfId="44206" xr:uid="{00000000-0005-0000-0000-0000AEAC0000}"/>
    <cellStyle name="强调文字颜色 6 2 2 3 2 2" xfId="44207" xr:uid="{00000000-0005-0000-0000-0000AFAC0000}"/>
    <cellStyle name="强调文字颜色 6 2 2 3 2 3" xfId="44208" xr:uid="{00000000-0005-0000-0000-0000B0AC0000}"/>
    <cellStyle name="强调文字颜色 6 2 2 3 2 3 2" xfId="44209" xr:uid="{00000000-0005-0000-0000-0000B1AC0000}"/>
    <cellStyle name="强调文字颜色 6 2 2 3 2 3 2 2" xfId="44210" xr:uid="{00000000-0005-0000-0000-0000B2AC0000}"/>
    <cellStyle name="强调文字颜色 6 2 2 3 2 4" xfId="44211" xr:uid="{00000000-0005-0000-0000-0000B3AC0000}"/>
    <cellStyle name="强调文字颜色 6 2 2 3 2 4 2" xfId="44212" xr:uid="{00000000-0005-0000-0000-0000B4AC0000}"/>
    <cellStyle name="强调文字颜色 6 2 2 3 3" xfId="44213" xr:uid="{00000000-0005-0000-0000-0000B5AC0000}"/>
    <cellStyle name="强调文字颜色 6 2 2 3 3 2" xfId="44214" xr:uid="{00000000-0005-0000-0000-0000B6AC0000}"/>
    <cellStyle name="强调文字颜色 6 2 2 3 3 2 2" xfId="44215" xr:uid="{00000000-0005-0000-0000-0000B7AC0000}"/>
    <cellStyle name="强调文字颜色 6 2 2 3 3 2 2 2" xfId="44216" xr:uid="{00000000-0005-0000-0000-0000B8AC0000}"/>
    <cellStyle name="强调文字颜色 6 2 2 3 3 3" xfId="44217" xr:uid="{00000000-0005-0000-0000-0000B9AC0000}"/>
    <cellStyle name="强调文字颜色 6 2 2 3 3 3 2" xfId="44218" xr:uid="{00000000-0005-0000-0000-0000BAAC0000}"/>
    <cellStyle name="强调文字颜色 6 2 2 3 4" xfId="44219" xr:uid="{00000000-0005-0000-0000-0000BBAC0000}"/>
    <cellStyle name="强调文字颜色 6 2 2 3 5" xfId="44220" xr:uid="{00000000-0005-0000-0000-0000BCAC0000}"/>
    <cellStyle name="强调文字颜色 6 2 2 3 6" xfId="44221" xr:uid="{00000000-0005-0000-0000-0000BDAC0000}"/>
    <cellStyle name="强调文字颜色 6 2 2 4" xfId="44222" xr:uid="{00000000-0005-0000-0000-0000BEAC0000}"/>
    <cellStyle name="强调文字颜色 6 2 2 4 2" xfId="44223" xr:uid="{00000000-0005-0000-0000-0000BFAC0000}"/>
    <cellStyle name="强调文字颜色 6 2 2 4 2 2" xfId="44224" xr:uid="{00000000-0005-0000-0000-0000C0AC0000}"/>
    <cellStyle name="强调文字颜色 6 2 2 4 2 3" xfId="44225" xr:uid="{00000000-0005-0000-0000-0000C1AC0000}"/>
    <cellStyle name="强调文字颜色 6 2 2 4 2 3 2" xfId="44226" xr:uid="{00000000-0005-0000-0000-0000C2AC0000}"/>
    <cellStyle name="强调文字颜色 6 2 2 4 2 3 2 2" xfId="44227" xr:uid="{00000000-0005-0000-0000-0000C3AC0000}"/>
    <cellStyle name="强调文字颜色 6 2 2 4 2 4" xfId="44228" xr:uid="{00000000-0005-0000-0000-0000C4AC0000}"/>
    <cellStyle name="强调文字颜色 6 2 2 4 2 4 2" xfId="44229" xr:uid="{00000000-0005-0000-0000-0000C5AC0000}"/>
    <cellStyle name="强调文字颜色 6 2 2 4 3" xfId="44230" xr:uid="{00000000-0005-0000-0000-0000C6AC0000}"/>
    <cellStyle name="强调文字颜色 6 2 2 4 4" xfId="44231" xr:uid="{00000000-0005-0000-0000-0000C7AC0000}"/>
    <cellStyle name="强调文字颜色 6 2 2 4 5" xfId="44232" xr:uid="{00000000-0005-0000-0000-0000C8AC0000}"/>
    <cellStyle name="强调文字颜色 6 2 2 4 6" xfId="44233" xr:uid="{00000000-0005-0000-0000-0000C9AC0000}"/>
    <cellStyle name="强调文字颜色 6 2 2 5" xfId="44234" xr:uid="{00000000-0005-0000-0000-0000CAAC0000}"/>
    <cellStyle name="强调文字颜色 6 2 2 5 2" xfId="44235" xr:uid="{00000000-0005-0000-0000-0000CBAC0000}"/>
    <cellStyle name="强调文字颜色 6 2 2 5 2 2" xfId="44236" xr:uid="{00000000-0005-0000-0000-0000CCAC0000}"/>
    <cellStyle name="强调文字颜色 6 2 2 5 2 2 2" xfId="44237" xr:uid="{00000000-0005-0000-0000-0000CDAC0000}"/>
    <cellStyle name="强调文字颜色 6 2 2 5 2 2 2 2" xfId="44238" xr:uid="{00000000-0005-0000-0000-0000CEAC0000}"/>
    <cellStyle name="强调文字颜色 6 2 2 5 2 3" xfId="44239" xr:uid="{00000000-0005-0000-0000-0000CFAC0000}"/>
    <cellStyle name="强调文字颜色 6 2 2 5 2 3 2" xfId="44240" xr:uid="{00000000-0005-0000-0000-0000D0AC0000}"/>
    <cellStyle name="强调文字颜色 6 2 2 5 3" xfId="44241" xr:uid="{00000000-0005-0000-0000-0000D1AC0000}"/>
    <cellStyle name="强调文字颜色 6 2 2 5 3 2" xfId="44242" xr:uid="{00000000-0005-0000-0000-0000D2AC0000}"/>
    <cellStyle name="强调文字颜色 6 2 2 5 3 2 2" xfId="44243" xr:uid="{00000000-0005-0000-0000-0000D3AC0000}"/>
    <cellStyle name="强调文字颜色 6 2 2 5 4" xfId="44244" xr:uid="{00000000-0005-0000-0000-0000D4AC0000}"/>
    <cellStyle name="强调文字颜色 6 2 2 5 4 2" xfId="44245" xr:uid="{00000000-0005-0000-0000-0000D5AC0000}"/>
    <cellStyle name="强调文字颜色 6 2 2 6" xfId="44246" xr:uid="{00000000-0005-0000-0000-0000D6AC0000}"/>
    <cellStyle name="强调文字颜色 6 2 2 6 2" xfId="44247" xr:uid="{00000000-0005-0000-0000-0000D7AC0000}"/>
    <cellStyle name="强调文字颜色 6 2 2 6 2 2" xfId="44248" xr:uid="{00000000-0005-0000-0000-0000D8AC0000}"/>
    <cellStyle name="强调文字颜色 6 2 2 6 2 2 2" xfId="44249" xr:uid="{00000000-0005-0000-0000-0000D9AC0000}"/>
    <cellStyle name="强调文字颜色 6 2 2 6 2 2 2 2" xfId="44250" xr:uid="{00000000-0005-0000-0000-0000DAAC0000}"/>
    <cellStyle name="强调文字颜色 6 2 2 6 2 3" xfId="44251" xr:uid="{00000000-0005-0000-0000-0000DBAC0000}"/>
    <cellStyle name="强调文字颜色 6 2 2 6 2 3 2" xfId="44252" xr:uid="{00000000-0005-0000-0000-0000DCAC0000}"/>
    <cellStyle name="强调文字颜色 6 2 2 6 3" xfId="44253" xr:uid="{00000000-0005-0000-0000-0000DDAC0000}"/>
    <cellStyle name="强调文字颜色 6 2 2 6 3 2" xfId="44254" xr:uid="{00000000-0005-0000-0000-0000DEAC0000}"/>
    <cellStyle name="强调文字颜色 6 2 2 6 3 2 2" xfId="44255" xr:uid="{00000000-0005-0000-0000-0000DFAC0000}"/>
    <cellStyle name="强调文字颜色 6 2 2 6 4" xfId="44256" xr:uid="{00000000-0005-0000-0000-0000E0AC0000}"/>
    <cellStyle name="强调文字颜色 6 2 2 6 4 2" xfId="44257" xr:uid="{00000000-0005-0000-0000-0000E1AC0000}"/>
    <cellStyle name="强调文字颜色 6 2 2 7" xfId="44258" xr:uid="{00000000-0005-0000-0000-0000E2AC0000}"/>
    <cellStyle name="强调文字颜色 6 2 2 7 2" xfId="44259" xr:uid="{00000000-0005-0000-0000-0000E3AC0000}"/>
    <cellStyle name="强调文字颜色 6 2 2 7 2 2" xfId="44260" xr:uid="{00000000-0005-0000-0000-0000E4AC0000}"/>
    <cellStyle name="强调文字颜色 6 2 2 7 2 2 2" xfId="44261" xr:uid="{00000000-0005-0000-0000-0000E5AC0000}"/>
    <cellStyle name="强调文字颜色 6 2 2 7 2 2 2 2" xfId="44262" xr:uid="{00000000-0005-0000-0000-0000E6AC0000}"/>
    <cellStyle name="强调文字颜色 6 2 2 7 2 3" xfId="44263" xr:uid="{00000000-0005-0000-0000-0000E7AC0000}"/>
    <cellStyle name="强调文字颜色 6 2 2 7 2 3 2" xfId="44264" xr:uid="{00000000-0005-0000-0000-0000E8AC0000}"/>
    <cellStyle name="强调文字颜色 6 2 2 7 3" xfId="44265" xr:uid="{00000000-0005-0000-0000-0000E9AC0000}"/>
    <cellStyle name="强调文字颜色 6 2 2 7 3 2" xfId="44266" xr:uid="{00000000-0005-0000-0000-0000EAAC0000}"/>
    <cellStyle name="强调文字颜色 6 2 2 7 3 2 2" xfId="44267" xr:uid="{00000000-0005-0000-0000-0000EBAC0000}"/>
    <cellStyle name="强调文字颜色 6 2 2 7 4" xfId="44268" xr:uid="{00000000-0005-0000-0000-0000ECAC0000}"/>
    <cellStyle name="强调文字颜色 6 2 2 7 4 2" xfId="44269" xr:uid="{00000000-0005-0000-0000-0000EDAC0000}"/>
    <cellStyle name="强调文字颜色 6 2 2 8" xfId="44270" xr:uid="{00000000-0005-0000-0000-0000EEAC0000}"/>
    <cellStyle name="强调文字颜色 6 2 2 8 2" xfId="44271" xr:uid="{00000000-0005-0000-0000-0000EFAC0000}"/>
    <cellStyle name="强调文字颜色 6 2 2 8 2 2" xfId="44272" xr:uid="{00000000-0005-0000-0000-0000F0AC0000}"/>
    <cellStyle name="强调文字颜色 6 2 2 8 2 2 2" xfId="44273" xr:uid="{00000000-0005-0000-0000-0000F1AC0000}"/>
    <cellStyle name="强调文字颜色 6 2 2 8 3" xfId="44274" xr:uid="{00000000-0005-0000-0000-0000F2AC0000}"/>
    <cellStyle name="强调文字颜色 6 2 2 8 3 2" xfId="44275" xr:uid="{00000000-0005-0000-0000-0000F3AC0000}"/>
    <cellStyle name="强调文字颜色 6 2 2 9" xfId="44276" xr:uid="{00000000-0005-0000-0000-0000F4AC0000}"/>
    <cellStyle name="强调文字颜色 6 2 2 9 2" xfId="44277" xr:uid="{00000000-0005-0000-0000-0000F5AC0000}"/>
    <cellStyle name="强调文字颜色 6 2 2 9 2 2" xfId="44278" xr:uid="{00000000-0005-0000-0000-0000F6AC0000}"/>
    <cellStyle name="强调文字颜色 6 2 2 9 2 2 2" xfId="44279" xr:uid="{00000000-0005-0000-0000-0000F7AC0000}"/>
    <cellStyle name="强调文字颜色 6 2 2 9 3" xfId="44280" xr:uid="{00000000-0005-0000-0000-0000F8AC0000}"/>
    <cellStyle name="强调文字颜色 6 2 2 9 3 2" xfId="44281" xr:uid="{00000000-0005-0000-0000-0000F9AC0000}"/>
    <cellStyle name="强调文字颜色 6 2 3" xfId="44282" xr:uid="{00000000-0005-0000-0000-0000FAAC0000}"/>
    <cellStyle name="强调文字颜色 6 2 3 2" xfId="44283" xr:uid="{00000000-0005-0000-0000-0000FBAC0000}"/>
    <cellStyle name="强调文字颜色 6 2 3 2 2" xfId="44284" xr:uid="{00000000-0005-0000-0000-0000FCAC0000}"/>
    <cellStyle name="强调文字颜色 6 2 3 2 2 2" xfId="44285" xr:uid="{00000000-0005-0000-0000-0000FDAC0000}"/>
    <cellStyle name="强调文字颜色 6 2 3 2 2 2 2" xfId="44286" xr:uid="{00000000-0005-0000-0000-0000FEAC0000}"/>
    <cellStyle name="强调文字颜色 6 2 3 2 2 2 3" xfId="44287" xr:uid="{00000000-0005-0000-0000-0000FFAC0000}"/>
    <cellStyle name="强调文字颜色 6 2 3 2 2 2 3 2" xfId="44288" xr:uid="{00000000-0005-0000-0000-000000AD0000}"/>
    <cellStyle name="强调文字颜色 6 2 3 2 2 2 3 2 2" xfId="44289" xr:uid="{00000000-0005-0000-0000-000001AD0000}"/>
    <cellStyle name="强调文字颜色 6 2 3 2 2 2 4" xfId="44290" xr:uid="{00000000-0005-0000-0000-000002AD0000}"/>
    <cellStyle name="强调文字颜色 6 2 3 2 2 2 4 2" xfId="44291" xr:uid="{00000000-0005-0000-0000-000003AD0000}"/>
    <cellStyle name="强调文字颜色 6 2 3 2 2 3" xfId="44292" xr:uid="{00000000-0005-0000-0000-000004AD0000}"/>
    <cellStyle name="强调文字颜色 6 2 3 2 2 3 2" xfId="44293" xr:uid="{00000000-0005-0000-0000-000005AD0000}"/>
    <cellStyle name="强调文字颜色 6 2 3 2 2 3 2 2" xfId="44294" xr:uid="{00000000-0005-0000-0000-000006AD0000}"/>
    <cellStyle name="强调文字颜色 6 2 3 2 2 3 2 2 2" xfId="44295" xr:uid="{00000000-0005-0000-0000-000007AD0000}"/>
    <cellStyle name="强调文字颜色 6 2 3 2 2 3 3" xfId="44296" xr:uid="{00000000-0005-0000-0000-000008AD0000}"/>
    <cellStyle name="强调文字颜色 6 2 3 2 2 3 3 2" xfId="44297" xr:uid="{00000000-0005-0000-0000-000009AD0000}"/>
    <cellStyle name="强调文字颜色 6 2 3 2 2 4" xfId="44298" xr:uid="{00000000-0005-0000-0000-00000AAD0000}"/>
    <cellStyle name="强调文字颜色 6 2 3 2 2 5" xfId="44299" xr:uid="{00000000-0005-0000-0000-00000BAD0000}"/>
    <cellStyle name="强调文字颜色 6 2 3 2 2 6" xfId="44300" xr:uid="{00000000-0005-0000-0000-00000CAD0000}"/>
    <cellStyle name="强调文字颜色 6 2 3 2 3" xfId="44301" xr:uid="{00000000-0005-0000-0000-00000DAD0000}"/>
    <cellStyle name="强调文字颜色 6 2 3 2 3 2" xfId="44302" xr:uid="{00000000-0005-0000-0000-00000EAD0000}"/>
    <cellStyle name="强调文字颜色 6 2 3 2 3 3" xfId="44303" xr:uid="{00000000-0005-0000-0000-00000FAD0000}"/>
    <cellStyle name="强调文字颜色 6 2 3 2 3 3 2" xfId="44304" xr:uid="{00000000-0005-0000-0000-000010AD0000}"/>
    <cellStyle name="强调文字颜色 6 2 3 2 3 3 2 2" xfId="44305" xr:uid="{00000000-0005-0000-0000-000011AD0000}"/>
    <cellStyle name="强调文字颜色 6 2 3 2 3 4" xfId="44306" xr:uid="{00000000-0005-0000-0000-000012AD0000}"/>
    <cellStyle name="强调文字颜色 6 2 3 2 3 4 2" xfId="44307" xr:uid="{00000000-0005-0000-0000-000013AD0000}"/>
    <cellStyle name="强调文字颜色 6 2 3 2 4" xfId="44308" xr:uid="{00000000-0005-0000-0000-000014AD0000}"/>
    <cellStyle name="强调文字颜色 6 2 3 2 4 2" xfId="44309" xr:uid="{00000000-0005-0000-0000-000015AD0000}"/>
    <cellStyle name="强调文字颜色 6 2 3 2 4 2 2" xfId="44310" xr:uid="{00000000-0005-0000-0000-000016AD0000}"/>
    <cellStyle name="强调文字颜色 6 2 3 2 4 2 2 2" xfId="44311" xr:uid="{00000000-0005-0000-0000-000017AD0000}"/>
    <cellStyle name="强调文字颜色 6 2 3 2 4 3" xfId="44312" xr:uid="{00000000-0005-0000-0000-000018AD0000}"/>
    <cellStyle name="强调文字颜色 6 2 3 2 4 3 2" xfId="44313" xr:uid="{00000000-0005-0000-0000-000019AD0000}"/>
    <cellStyle name="强调文字颜色 6 2 3 2 5" xfId="44314" xr:uid="{00000000-0005-0000-0000-00001AAD0000}"/>
    <cellStyle name="强调文字颜色 6 2 3 2 6" xfId="44315" xr:uid="{00000000-0005-0000-0000-00001BAD0000}"/>
    <cellStyle name="强调文字颜色 6 2 3 2 7" xfId="44316" xr:uid="{00000000-0005-0000-0000-00001CAD0000}"/>
    <cellStyle name="强调文字颜色 6 2 3 3" xfId="44317" xr:uid="{00000000-0005-0000-0000-00001DAD0000}"/>
    <cellStyle name="强调文字颜色 6 2 3 3 2" xfId="44318" xr:uid="{00000000-0005-0000-0000-00001EAD0000}"/>
    <cellStyle name="强调文字颜色 6 2 3 3 2 2" xfId="44319" xr:uid="{00000000-0005-0000-0000-00001FAD0000}"/>
    <cellStyle name="强调文字颜色 6 2 3 3 2 3" xfId="44320" xr:uid="{00000000-0005-0000-0000-000020AD0000}"/>
    <cellStyle name="强调文字颜色 6 2 3 3 2 3 2" xfId="44321" xr:uid="{00000000-0005-0000-0000-000021AD0000}"/>
    <cellStyle name="强调文字颜色 6 2 3 3 2 3 2 2" xfId="44322" xr:uid="{00000000-0005-0000-0000-000022AD0000}"/>
    <cellStyle name="强调文字颜色 6 2 3 3 2 4" xfId="44323" xr:uid="{00000000-0005-0000-0000-000023AD0000}"/>
    <cellStyle name="强调文字颜色 6 2 3 3 2 4 2" xfId="44324" xr:uid="{00000000-0005-0000-0000-000024AD0000}"/>
    <cellStyle name="强调文字颜色 6 2 3 3 3" xfId="44325" xr:uid="{00000000-0005-0000-0000-000025AD0000}"/>
    <cellStyle name="强调文字颜色 6 2 3 3 3 2" xfId="44326" xr:uid="{00000000-0005-0000-0000-000026AD0000}"/>
    <cellStyle name="强调文字颜色 6 2 3 3 3 2 2" xfId="44327" xr:uid="{00000000-0005-0000-0000-000027AD0000}"/>
    <cellStyle name="强调文字颜色 6 2 3 3 3 2 2 2" xfId="44328" xr:uid="{00000000-0005-0000-0000-000028AD0000}"/>
    <cellStyle name="强调文字颜色 6 2 3 3 3 3" xfId="44329" xr:uid="{00000000-0005-0000-0000-000029AD0000}"/>
    <cellStyle name="强调文字颜色 6 2 3 3 3 3 2" xfId="44330" xr:uid="{00000000-0005-0000-0000-00002AAD0000}"/>
    <cellStyle name="强调文字颜色 6 2 3 3 4" xfId="44331" xr:uid="{00000000-0005-0000-0000-00002BAD0000}"/>
    <cellStyle name="强调文字颜色 6 2 3 3 5" xfId="44332" xr:uid="{00000000-0005-0000-0000-00002CAD0000}"/>
    <cellStyle name="强调文字颜色 6 2 3 3 6" xfId="44333" xr:uid="{00000000-0005-0000-0000-00002DAD0000}"/>
    <cellStyle name="强调文字颜色 6 2 3 4" xfId="44334" xr:uid="{00000000-0005-0000-0000-00002EAD0000}"/>
    <cellStyle name="强调文字颜色 6 2 3 4 2" xfId="44335" xr:uid="{00000000-0005-0000-0000-00002FAD0000}"/>
    <cellStyle name="强调文字颜色 6 2 3 4 2 2" xfId="44336" xr:uid="{00000000-0005-0000-0000-000030AD0000}"/>
    <cellStyle name="强调文字颜色 6 2 3 4 2 3" xfId="44337" xr:uid="{00000000-0005-0000-0000-000031AD0000}"/>
    <cellStyle name="强调文字颜色 6 2 3 4 2 3 2" xfId="44338" xr:uid="{00000000-0005-0000-0000-000032AD0000}"/>
    <cellStyle name="强调文字颜色 6 2 3 4 2 3 2 2" xfId="44339" xr:uid="{00000000-0005-0000-0000-000033AD0000}"/>
    <cellStyle name="强调文字颜色 6 2 3 4 2 4" xfId="44340" xr:uid="{00000000-0005-0000-0000-000034AD0000}"/>
    <cellStyle name="强调文字颜色 6 2 3 4 2 4 2" xfId="44341" xr:uid="{00000000-0005-0000-0000-000035AD0000}"/>
    <cellStyle name="强调文字颜色 6 2 3 4 3" xfId="44342" xr:uid="{00000000-0005-0000-0000-000036AD0000}"/>
    <cellStyle name="强调文字颜色 6 2 3 4 4" xfId="44343" xr:uid="{00000000-0005-0000-0000-000037AD0000}"/>
    <cellStyle name="强调文字颜色 6 2 3 4 5" xfId="44344" xr:uid="{00000000-0005-0000-0000-000038AD0000}"/>
    <cellStyle name="强调文字颜色 6 2 3 4 6" xfId="44345" xr:uid="{00000000-0005-0000-0000-000039AD0000}"/>
    <cellStyle name="强调文字颜色 6 2 3 5" xfId="44346" xr:uid="{00000000-0005-0000-0000-00003AAD0000}"/>
    <cellStyle name="强调文字颜色 6 2 3 5 2" xfId="44347" xr:uid="{00000000-0005-0000-0000-00003BAD0000}"/>
    <cellStyle name="强调文字颜色 6 2 3 5 2 2" xfId="44348" xr:uid="{00000000-0005-0000-0000-00003CAD0000}"/>
    <cellStyle name="强调文字颜色 6 2 3 5 2 2 2" xfId="44349" xr:uid="{00000000-0005-0000-0000-00003DAD0000}"/>
    <cellStyle name="强调文字颜色 6 2 3 5 2 2 2 2" xfId="44350" xr:uid="{00000000-0005-0000-0000-00003EAD0000}"/>
    <cellStyle name="强调文字颜色 6 2 3 5 2 3" xfId="44351" xr:uid="{00000000-0005-0000-0000-00003FAD0000}"/>
    <cellStyle name="强调文字颜色 6 2 3 5 2 3 2" xfId="44352" xr:uid="{00000000-0005-0000-0000-000040AD0000}"/>
    <cellStyle name="强调文字颜色 6 2 3 5 3" xfId="44353" xr:uid="{00000000-0005-0000-0000-000041AD0000}"/>
    <cellStyle name="强调文字颜色 6 2 3 5 3 2" xfId="44354" xr:uid="{00000000-0005-0000-0000-000042AD0000}"/>
    <cellStyle name="强调文字颜色 6 2 3 5 3 2 2" xfId="44355" xr:uid="{00000000-0005-0000-0000-000043AD0000}"/>
    <cellStyle name="强调文字颜色 6 2 3 5 4" xfId="44356" xr:uid="{00000000-0005-0000-0000-000044AD0000}"/>
    <cellStyle name="强调文字颜色 6 2 3 5 4 2" xfId="44357" xr:uid="{00000000-0005-0000-0000-000045AD0000}"/>
    <cellStyle name="强调文字颜色 6 2 3 6" xfId="44358" xr:uid="{00000000-0005-0000-0000-000046AD0000}"/>
    <cellStyle name="强调文字颜色 6 2 3 6 2" xfId="44359" xr:uid="{00000000-0005-0000-0000-000047AD0000}"/>
    <cellStyle name="强调文字颜色 6 2 3 6 2 2" xfId="44360" xr:uid="{00000000-0005-0000-0000-000048AD0000}"/>
    <cellStyle name="强调文字颜色 6 2 3 6 2 2 2" xfId="44361" xr:uid="{00000000-0005-0000-0000-000049AD0000}"/>
    <cellStyle name="强调文字颜色 6 2 3 6 3" xfId="44362" xr:uid="{00000000-0005-0000-0000-00004AAD0000}"/>
    <cellStyle name="强调文字颜色 6 2 3 6 3 2" xfId="44363" xr:uid="{00000000-0005-0000-0000-00004BAD0000}"/>
    <cellStyle name="强调文字颜色 6 2 3 7" xfId="44364" xr:uid="{00000000-0005-0000-0000-00004CAD0000}"/>
    <cellStyle name="强调文字颜色 6 2 3 7 2" xfId="44365" xr:uid="{00000000-0005-0000-0000-00004DAD0000}"/>
    <cellStyle name="强调文字颜色 6 2 3 7 2 2" xfId="44366" xr:uid="{00000000-0005-0000-0000-00004EAD0000}"/>
    <cellStyle name="强调文字颜色 6 2 3 7 2 2 2" xfId="44367" xr:uid="{00000000-0005-0000-0000-00004FAD0000}"/>
    <cellStyle name="强调文字颜色 6 2 3 7 3" xfId="44368" xr:uid="{00000000-0005-0000-0000-000050AD0000}"/>
    <cellStyle name="强调文字颜色 6 2 3 7 3 2" xfId="44369" xr:uid="{00000000-0005-0000-0000-000051AD0000}"/>
    <cellStyle name="强调文字颜色 6 2 3 8" xfId="44370" xr:uid="{00000000-0005-0000-0000-000052AD0000}"/>
    <cellStyle name="强调文字颜色 6 2 3 9" xfId="44371" xr:uid="{00000000-0005-0000-0000-000053AD0000}"/>
    <cellStyle name="强调文字颜色 6 2 4" xfId="44372" xr:uid="{00000000-0005-0000-0000-000054AD0000}"/>
    <cellStyle name="强调文字颜色 6 2 4 2" xfId="44373" xr:uid="{00000000-0005-0000-0000-000055AD0000}"/>
    <cellStyle name="强调文字颜色 6 2 4 2 2" xfId="44374" xr:uid="{00000000-0005-0000-0000-000056AD0000}"/>
    <cellStyle name="强调文字颜色 6 2 4 2 3" xfId="44375" xr:uid="{00000000-0005-0000-0000-000057AD0000}"/>
    <cellStyle name="强调文字颜色 6 2 4 2 3 2" xfId="44376" xr:uid="{00000000-0005-0000-0000-000058AD0000}"/>
    <cellStyle name="强调文字颜色 6 2 4 2 3 2 2" xfId="44377" xr:uid="{00000000-0005-0000-0000-000059AD0000}"/>
    <cellStyle name="强调文字颜色 6 2 4 2 4" xfId="44378" xr:uid="{00000000-0005-0000-0000-00005AAD0000}"/>
    <cellStyle name="强调文字颜色 6 2 4 2 4 2" xfId="44379" xr:uid="{00000000-0005-0000-0000-00005BAD0000}"/>
    <cellStyle name="强调文字颜色 6 2 4 3" xfId="44380" xr:uid="{00000000-0005-0000-0000-00005CAD0000}"/>
    <cellStyle name="强调文字颜色 6 2 4 3 2" xfId="44381" xr:uid="{00000000-0005-0000-0000-00005DAD0000}"/>
    <cellStyle name="强调文字颜色 6 2 4 3 2 2" xfId="44382" xr:uid="{00000000-0005-0000-0000-00005EAD0000}"/>
    <cellStyle name="强调文字颜色 6 2 4 3 2 2 2" xfId="44383" xr:uid="{00000000-0005-0000-0000-00005FAD0000}"/>
    <cellStyle name="强调文字颜色 6 2 4 3 3" xfId="44384" xr:uid="{00000000-0005-0000-0000-000060AD0000}"/>
    <cellStyle name="强调文字颜色 6 2 4 3 3 2" xfId="44385" xr:uid="{00000000-0005-0000-0000-000061AD0000}"/>
    <cellStyle name="强调文字颜色 6 2 4 4" xfId="44386" xr:uid="{00000000-0005-0000-0000-000062AD0000}"/>
    <cellStyle name="强调文字颜色 6 2 4 5" xfId="44387" xr:uid="{00000000-0005-0000-0000-000063AD0000}"/>
    <cellStyle name="强调文字颜色 6 2 4 6" xfId="44388" xr:uid="{00000000-0005-0000-0000-000064AD0000}"/>
    <cellStyle name="强调文字颜色 6 2 5" xfId="44389" xr:uid="{00000000-0005-0000-0000-000065AD0000}"/>
    <cellStyle name="强调文字颜色 6 2 5 2" xfId="44390" xr:uid="{00000000-0005-0000-0000-000066AD0000}"/>
    <cellStyle name="强调文字颜色 6 2 5 2 2" xfId="44391" xr:uid="{00000000-0005-0000-0000-000067AD0000}"/>
    <cellStyle name="强调文字颜色 6 2 5 2 3" xfId="44392" xr:uid="{00000000-0005-0000-0000-000068AD0000}"/>
    <cellStyle name="强调文字颜色 6 2 5 2 3 2" xfId="44393" xr:uid="{00000000-0005-0000-0000-000069AD0000}"/>
    <cellStyle name="强调文字颜色 6 2 5 2 3 2 2" xfId="44394" xr:uid="{00000000-0005-0000-0000-00006AAD0000}"/>
    <cellStyle name="强调文字颜色 6 2 5 2 4" xfId="44395" xr:uid="{00000000-0005-0000-0000-00006BAD0000}"/>
    <cellStyle name="强调文字颜色 6 2 5 2 4 2" xfId="44396" xr:uid="{00000000-0005-0000-0000-00006CAD0000}"/>
    <cellStyle name="强调文字颜色 6 2 5 3" xfId="44397" xr:uid="{00000000-0005-0000-0000-00006DAD0000}"/>
    <cellStyle name="强调文字颜色 6 2 5 4" xfId="44398" xr:uid="{00000000-0005-0000-0000-00006EAD0000}"/>
    <cellStyle name="强调文字颜色 6 2 5 5" xfId="44399" xr:uid="{00000000-0005-0000-0000-00006FAD0000}"/>
    <cellStyle name="强调文字颜色 6 2 5 6" xfId="44400" xr:uid="{00000000-0005-0000-0000-000070AD0000}"/>
    <cellStyle name="强调文字颜色 6 2 6" xfId="44401" xr:uid="{00000000-0005-0000-0000-000071AD0000}"/>
    <cellStyle name="强调文字颜色 6 2 6 2" xfId="44402" xr:uid="{00000000-0005-0000-0000-000072AD0000}"/>
    <cellStyle name="强调文字颜色 6 2 6 2 2" xfId="44403" xr:uid="{00000000-0005-0000-0000-000073AD0000}"/>
    <cellStyle name="强调文字颜色 6 2 6 2 2 2" xfId="44404" xr:uid="{00000000-0005-0000-0000-000074AD0000}"/>
    <cellStyle name="强调文字颜色 6 2 6 2 2 2 2" xfId="44405" xr:uid="{00000000-0005-0000-0000-000075AD0000}"/>
    <cellStyle name="强调文字颜色 6 2 6 2 3" xfId="44406" xr:uid="{00000000-0005-0000-0000-000076AD0000}"/>
    <cellStyle name="强调文字颜色 6 2 6 2 3 2" xfId="44407" xr:uid="{00000000-0005-0000-0000-000077AD0000}"/>
    <cellStyle name="强调文字颜色 6 2 6 3" xfId="44408" xr:uid="{00000000-0005-0000-0000-000078AD0000}"/>
    <cellStyle name="强调文字颜色 6 2 6 3 2" xfId="44409" xr:uid="{00000000-0005-0000-0000-000079AD0000}"/>
    <cellStyle name="强调文字颜色 6 2 6 3 2 2" xfId="44410" xr:uid="{00000000-0005-0000-0000-00007AAD0000}"/>
    <cellStyle name="强调文字颜色 6 2 6 4" xfId="44411" xr:uid="{00000000-0005-0000-0000-00007BAD0000}"/>
    <cellStyle name="强调文字颜色 6 2 6 4 2" xfId="44412" xr:uid="{00000000-0005-0000-0000-00007CAD0000}"/>
    <cellStyle name="强调文字颜色 6 2 7" xfId="44413" xr:uid="{00000000-0005-0000-0000-00007DAD0000}"/>
    <cellStyle name="强调文字颜色 6 2 7 2" xfId="44414" xr:uid="{00000000-0005-0000-0000-00007EAD0000}"/>
    <cellStyle name="强调文字颜色 6 2 7 2 2" xfId="44415" xr:uid="{00000000-0005-0000-0000-00007FAD0000}"/>
    <cellStyle name="强调文字颜色 6 2 7 2 2 2" xfId="44416" xr:uid="{00000000-0005-0000-0000-000080AD0000}"/>
    <cellStyle name="强调文字颜色 6 2 7 2 2 2 2" xfId="44417" xr:uid="{00000000-0005-0000-0000-000081AD0000}"/>
    <cellStyle name="强调文字颜色 6 2 7 2 3" xfId="44418" xr:uid="{00000000-0005-0000-0000-000082AD0000}"/>
    <cellStyle name="强调文字颜色 6 2 7 2 3 2" xfId="44419" xr:uid="{00000000-0005-0000-0000-000083AD0000}"/>
    <cellStyle name="强调文字颜色 6 2 7 3" xfId="44420" xr:uid="{00000000-0005-0000-0000-000084AD0000}"/>
    <cellStyle name="强调文字颜色 6 2 7 3 2" xfId="44421" xr:uid="{00000000-0005-0000-0000-000085AD0000}"/>
    <cellStyle name="强调文字颜色 6 2 7 3 2 2" xfId="44422" xr:uid="{00000000-0005-0000-0000-000086AD0000}"/>
    <cellStyle name="强调文字颜色 6 2 7 4" xfId="44423" xr:uid="{00000000-0005-0000-0000-000087AD0000}"/>
    <cellStyle name="强调文字颜色 6 2 7 4 2" xfId="44424" xr:uid="{00000000-0005-0000-0000-000088AD0000}"/>
    <cellStyle name="强调文字颜色 6 2 8" xfId="44425" xr:uid="{00000000-0005-0000-0000-000089AD0000}"/>
    <cellStyle name="强调文字颜色 6 2 8 2" xfId="44426" xr:uid="{00000000-0005-0000-0000-00008AAD0000}"/>
    <cellStyle name="强调文字颜色 6 2 8 2 2" xfId="44427" xr:uid="{00000000-0005-0000-0000-00008BAD0000}"/>
    <cellStyle name="强调文字颜色 6 2 8 2 2 2" xfId="44428" xr:uid="{00000000-0005-0000-0000-00008CAD0000}"/>
    <cellStyle name="强调文字颜色 6 2 8 2 2 2 2" xfId="44429" xr:uid="{00000000-0005-0000-0000-00008DAD0000}"/>
    <cellStyle name="强调文字颜色 6 2 8 2 3" xfId="44430" xr:uid="{00000000-0005-0000-0000-00008EAD0000}"/>
    <cellStyle name="强调文字颜色 6 2 8 2 3 2" xfId="44431" xr:uid="{00000000-0005-0000-0000-00008FAD0000}"/>
    <cellStyle name="强调文字颜色 6 2 8 3" xfId="44432" xr:uid="{00000000-0005-0000-0000-000090AD0000}"/>
    <cellStyle name="强调文字颜色 6 2 8 3 2" xfId="44433" xr:uid="{00000000-0005-0000-0000-000091AD0000}"/>
    <cellStyle name="强调文字颜色 6 2 8 3 2 2" xfId="44434" xr:uid="{00000000-0005-0000-0000-000092AD0000}"/>
    <cellStyle name="强调文字颜色 6 2 8 4" xfId="44435" xr:uid="{00000000-0005-0000-0000-000093AD0000}"/>
    <cellStyle name="强调文字颜色 6 2 8 4 2" xfId="44436" xr:uid="{00000000-0005-0000-0000-000094AD0000}"/>
    <cellStyle name="强调文字颜色 6 2 9" xfId="44437" xr:uid="{00000000-0005-0000-0000-000095AD0000}"/>
    <cellStyle name="强调文字颜色 6 2 9 2" xfId="44438" xr:uid="{00000000-0005-0000-0000-000096AD0000}"/>
    <cellStyle name="强调文字颜色 6 2 9 2 2" xfId="44439" xr:uid="{00000000-0005-0000-0000-000097AD0000}"/>
    <cellStyle name="强调文字颜色 6 2 9 2 2 2" xfId="44440" xr:uid="{00000000-0005-0000-0000-000098AD0000}"/>
    <cellStyle name="强调文字颜色 6 2 9 3" xfId="44441" xr:uid="{00000000-0005-0000-0000-000099AD0000}"/>
    <cellStyle name="强调文字颜色 6 2 9 3 2" xfId="44442" xr:uid="{00000000-0005-0000-0000-00009AAD0000}"/>
    <cellStyle name="强调文字颜色 6 3" xfId="44443" xr:uid="{00000000-0005-0000-0000-00009BAD0000}"/>
    <cellStyle name="强调文字颜色 6 3 2" xfId="44444" xr:uid="{00000000-0005-0000-0000-00009CAD0000}"/>
    <cellStyle name="强调文字颜色 6 3 2 2" xfId="44445" xr:uid="{00000000-0005-0000-0000-00009DAD0000}"/>
    <cellStyle name="强调文字颜色 6 3 2 2 2" xfId="44446" xr:uid="{00000000-0005-0000-0000-00009EAD0000}"/>
    <cellStyle name="强调文字颜色 6 3 2 2 2 2" xfId="44447" xr:uid="{00000000-0005-0000-0000-00009FAD0000}"/>
    <cellStyle name="强调文字颜色 6 3 2 2 2 3" xfId="44448" xr:uid="{00000000-0005-0000-0000-0000A0AD0000}"/>
    <cellStyle name="强调文字颜色 6 3 2 2 2 3 2" xfId="44449" xr:uid="{00000000-0005-0000-0000-0000A1AD0000}"/>
    <cellStyle name="强调文字颜色 6 3 2 2 2 3 2 2" xfId="44450" xr:uid="{00000000-0005-0000-0000-0000A2AD0000}"/>
    <cellStyle name="强调文字颜色 6 3 2 2 2 4" xfId="44451" xr:uid="{00000000-0005-0000-0000-0000A3AD0000}"/>
    <cellStyle name="强调文字颜色 6 3 2 2 2 4 2" xfId="44452" xr:uid="{00000000-0005-0000-0000-0000A4AD0000}"/>
    <cellStyle name="强调文字颜色 6 3 2 2 3" xfId="44453" xr:uid="{00000000-0005-0000-0000-0000A5AD0000}"/>
    <cellStyle name="强调文字颜色 6 3 2 2 3 2" xfId="44454" xr:uid="{00000000-0005-0000-0000-0000A6AD0000}"/>
    <cellStyle name="强调文字颜色 6 3 2 2 3 2 2" xfId="44455" xr:uid="{00000000-0005-0000-0000-0000A7AD0000}"/>
    <cellStyle name="强调文字颜色 6 3 2 2 3 2 2 2" xfId="44456" xr:uid="{00000000-0005-0000-0000-0000A8AD0000}"/>
    <cellStyle name="强调文字颜色 6 3 2 2 3 3" xfId="44457" xr:uid="{00000000-0005-0000-0000-0000A9AD0000}"/>
    <cellStyle name="强调文字颜色 6 3 2 2 3 3 2" xfId="44458" xr:uid="{00000000-0005-0000-0000-0000AAAD0000}"/>
    <cellStyle name="强调文字颜色 6 3 2 2 4" xfId="44459" xr:uid="{00000000-0005-0000-0000-0000ABAD0000}"/>
    <cellStyle name="强调文字颜色 6 3 2 2 5" xfId="44460" xr:uid="{00000000-0005-0000-0000-0000ACAD0000}"/>
    <cellStyle name="强调文字颜色 6 3 2 2 6" xfId="44461" xr:uid="{00000000-0005-0000-0000-0000ADAD0000}"/>
    <cellStyle name="强调文字颜色 6 3 2 3" xfId="44462" xr:uid="{00000000-0005-0000-0000-0000AEAD0000}"/>
    <cellStyle name="强调文字颜色 6 3 2 3 2" xfId="44463" xr:uid="{00000000-0005-0000-0000-0000AFAD0000}"/>
    <cellStyle name="强调文字颜色 6 3 2 3 3" xfId="44464" xr:uid="{00000000-0005-0000-0000-0000B0AD0000}"/>
    <cellStyle name="强调文字颜色 6 3 2 3 3 2" xfId="44465" xr:uid="{00000000-0005-0000-0000-0000B1AD0000}"/>
    <cellStyle name="强调文字颜色 6 3 2 3 3 2 2" xfId="44466" xr:uid="{00000000-0005-0000-0000-0000B2AD0000}"/>
    <cellStyle name="强调文字颜色 6 3 2 3 4" xfId="44467" xr:uid="{00000000-0005-0000-0000-0000B3AD0000}"/>
    <cellStyle name="强调文字颜色 6 3 2 3 4 2" xfId="44468" xr:uid="{00000000-0005-0000-0000-0000B4AD0000}"/>
    <cellStyle name="强调文字颜色 6 3 2 4" xfId="44469" xr:uid="{00000000-0005-0000-0000-0000B5AD0000}"/>
    <cellStyle name="强调文字颜色 6 3 2 4 2" xfId="44470" xr:uid="{00000000-0005-0000-0000-0000B6AD0000}"/>
    <cellStyle name="强调文字颜色 6 3 2 4 2 2" xfId="44471" xr:uid="{00000000-0005-0000-0000-0000B7AD0000}"/>
    <cellStyle name="强调文字颜色 6 3 2 4 2 2 2" xfId="44472" xr:uid="{00000000-0005-0000-0000-0000B8AD0000}"/>
    <cellStyle name="强调文字颜色 6 3 2 4 3" xfId="44473" xr:uid="{00000000-0005-0000-0000-0000B9AD0000}"/>
    <cellStyle name="强调文字颜色 6 3 2 4 3 2" xfId="44474" xr:uid="{00000000-0005-0000-0000-0000BAAD0000}"/>
    <cellStyle name="强调文字颜色 6 3 2 5" xfId="44475" xr:uid="{00000000-0005-0000-0000-0000BBAD0000}"/>
    <cellStyle name="强调文字颜色 6 3 2 6" xfId="44476" xr:uid="{00000000-0005-0000-0000-0000BCAD0000}"/>
    <cellStyle name="强调文字颜色 6 3 2 7" xfId="44477" xr:uid="{00000000-0005-0000-0000-0000BDAD0000}"/>
    <cellStyle name="强调文字颜色 6 3 3" xfId="44478" xr:uid="{00000000-0005-0000-0000-0000BEAD0000}"/>
    <cellStyle name="强调文字颜色 6 3 3 2" xfId="44479" xr:uid="{00000000-0005-0000-0000-0000BFAD0000}"/>
    <cellStyle name="强调文字颜色 6 3 3 2 2" xfId="44480" xr:uid="{00000000-0005-0000-0000-0000C0AD0000}"/>
    <cellStyle name="强调文字颜色 6 3 3 2 3" xfId="44481" xr:uid="{00000000-0005-0000-0000-0000C1AD0000}"/>
    <cellStyle name="强调文字颜色 6 3 3 2 3 2" xfId="44482" xr:uid="{00000000-0005-0000-0000-0000C2AD0000}"/>
    <cellStyle name="强调文字颜色 6 3 3 2 3 2 2" xfId="44483" xr:uid="{00000000-0005-0000-0000-0000C3AD0000}"/>
    <cellStyle name="强调文字颜色 6 3 3 2 4" xfId="44484" xr:uid="{00000000-0005-0000-0000-0000C4AD0000}"/>
    <cellStyle name="强调文字颜色 6 3 3 2 4 2" xfId="44485" xr:uid="{00000000-0005-0000-0000-0000C5AD0000}"/>
    <cellStyle name="强调文字颜色 6 3 3 3" xfId="44486" xr:uid="{00000000-0005-0000-0000-0000C6AD0000}"/>
    <cellStyle name="强调文字颜色 6 3 3 3 2" xfId="44487" xr:uid="{00000000-0005-0000-0000-0000C7AD0000}"/>
    <cellStyle name="强调文字颜色 6 3 3 3 2 2" xfId="44488" xr:uid="{00000000-0005-0000-0000-0000C8AD0000}"/>
    <cellStyle name="强调文字颜色 6 3 3 3 2 2 2" xfId="44489" xr:uid="{00000000-0005-0000-0000-0000C9AD0000}"/>
    <cellStyle name="强调文字颜色 6 3 3 3 3" xfId="44490" xr:uid="{00000000-0005-0000-0000-0000CAAD0000}"/>
    <cellStyle name="强调文字颜色 6 3 3 3 3 2" xfId="44491" xr:uid="{00000000-0005-0000-0000-0000CBAD0000}"/>
    <cellStyle name="强调文字颜色 6 3 3 4" xfId="44492" xr:uid="{00000000-0005-0000-0000-0000CCAD0000}"/>
    <cellStyle name="强调文字颜色 6 3 3 5" xfId="44493" xr:uid="{00000000-0005-0000-0000-0000CDAD0000}"/>
    <cellStyle name="强调文字颜色 6 3 3 6" xfId="44494" xr:uid="{00000000-0005-0000-0000-0000CEAD0000}"/>
    <cellStyle name="强调文字颜色 6 3 4" xfId="44495" xr:uid="{00000000-0005-0000-0000-0000CFAD0000}"/>
    <cellStyle name="强调文字颜色 6 3 4 2" xfId="44496" xr:uid="{00000000-0005-0000-0000-0000D0AD0000}"/>
    <cellStyle name="强调文字颜色 6 3 4 2 2" xfId="44497" xr:uid="{00000000-0005-0000-0000-0000D1AD0000}"/>
    <cellStyle name="强调文字颜色 6 3 4 2 3" xfId="44498" xr:uid="{00000000-0005-0000-0000-0000D2AD0000}"/>
    <cellStyle name="强调文字颜色 6 3 4 2 3 2" xfId="44499" xr:uid="{00000000-0005-0000-0000-0000D3AD0000}"/>
    <cellStyle name="强调文字颜色 6 3 4 2 3 2 2" xfId="44500" xr:uid="{00000000-0005-0000-0000-0000D4AD0000}"/>
    <cellStyle name="强调文字颜色 6 3 4 2 4" xfId="44501" xr:uid="{00000000-0005-0000-0000-0000D5AD0000}"/>
    <cellStyle name="强调文字颜色 6 3 4 2 4 2" xfId="44502" xr:uid="{00000000-0005-0000-0000-0000D6AD0000}"/>
    <cellStyle name="强调文字颜色 6 3 4 3" xfId="44503" xr:uid="{00000000-0005-0000-0000-0000D7AD0000}"/>
    <cellStyle name="强调文字颜色 6 3 4 4" xfId="44504" xr:uid="{00000000-0005-0000-0000-0000D8AD0000}"/>
    <cellStyle name="强调文字颜色 6 3 4 5" xfId="44505" xr:uid="{00000000-0005-0000-0000-0000D9AD0000}"/>
    <cellStyle name="强调文字颜色 6 3 4 6" xfId="44506" xr:uid="{00000000-0005-0000-0000-0000DAAD0000}"/>
    <cellStyle name="强调文字颜色 6 3 5" xfId="44507" xr:uid="{00000000-0005-0000-0000-0000DBAD0000}"/>
    <cellStyle name="强调文字颜色 6 3 5 2" xfId="44508" xr:uid="{00000000-0005-0000-0000-0000DCAD0000}"/>
    <cellStyle name="强调文字颜色 6 3 5 2 2" xfId="44509" xr:uid="{00000000-0005-0000-0000-0000DDAD0000}"/>
    <cellStyle name="强调文字颜色 6 3 5 2 2 2" xfId="44510" xr:uid="{00000000-0005-0000-0000-0000DEAD0000}"/>
    <cellStyle name="强调文字颜色 6 3 5 2 2 2 2" xfId="44511" xr:uid="{00000000-0005-0000-0000-0000DFAD0000}"/>
    <cellStyle name="强调文字颜色 6 3 5 2 3" xfId="44512" xr:uid="{00000000-0005-0000-0000-0000E0AD0000}"/>
    <cellStyle name="强调文字颜色 6 3 5 2 3 2" xfId="44513" xr:uid="{00000000-0005-0000-0000-0000E1AD0000}"/>
    <cellStyle name="强调文字颜色 6 3 5 3" xfId="44514" xr:uid="{00000000-0005-0000-0000-0000E2AD0000}"/>
    <cellStyle name="强调文字颜色 6 3 5 3 2" xfId="44515" xr:uid="{00000000-0005-0000-0000-0000E3AD0000}"/>
    <cellStyle name="强调文字颜色 6 3 5 3 2 2" xfId="44516" xr:uid="{00000000-0005-0000-0000-0000E4AD0000}"/>
    <cellStyle name="强调文字颜色 6 3 5 4" xfId="44517" xr:uid="{00000000-0005-0000-0000-0000E5AD0000}"/>
    <cellStyle name="强调文字颜色 6 3 5 4 2" xfId="44518" xr:uid="{00000000-0005-0000-0000-0000E6AD0000}"/>
    <cellStyle name="强调文字颜色 6 3 6" xfId="44519" xr:uid="{00000000-0005-0000-0000-0000E7AD0000}"/>
    <cellStyle name="强调文字颜色 6 3 6 2" xfId="44520" xr:uid="{00000000-0005-0000-0000-0000E8AD0000}"/>
    <cellStyle name="强调文字颜色 6 3 6 2 2" xfId="44521" xr:uid="{00000000-0005-0000-0000-0000E9AD0000}"/>
    <cellStyle name="强调文字颜色 6 3 6 2 2 2" xfId="44522" xr:uid="{00000000-0005-0000-0000-0000EAAD0000}"/>
    <cellStyle name="强调文字颜色 6 3 6 3" xfId="44523" xr:uid="{00000000-0005-0000-0000-0000EBAD0000}"/>
    <cellStyle name="强调文字颜色 6 3 6 3 2" xfId="44524" xr:uid="{00000000-0005-0000-0000-0000ECAD0000}"/>
    <cellStyle name="强调文字颜色 6 3 7" xfId="44525" xr:uid="{00000000-0005-0000-0000-0000EDAD0000}"/>
    <cellStyle name="强调文字颜色 6 3 8" xfId="44526" xr:uid="{00000000-0005-0000-0000-0000EEAD0000}"/>
    <cellStyle name="數字一" xfId="44527" xr:uid="{00000000-0005-0000-0000-0000EFAD0000}"/>
    <cellStyle name="未定义" xfId="44528" xr:uid="{00000000-0005-0000-0000-0000F0AD0000}"/>
    <cellStyle name="标题 1 2" xfId="44529" xr:uid="{00000000-0005-0000-0000-0000F1AD0000}"/>
    <cellStyle name="标题 1 2 10" xfId="44530" xr:uid="{00000000-0005-0000-0000-0000F2AD0000}"/>
    <cellStyle name="标题 1 2 11" xfId="44531" xr:uid="{00000000-0005-0000-0000-0000F3AD0000}"/>
    <cellStyle name="标题 1 2 2" xfId="44532" xr:uid="{00000000-0005-0000-0000-0000F4AD0000}"/>
    <cellStyle name="标题 1 2 2 10" xfId="44533" xr:uid="{00000000-0005-0000-0000-0000F5AD0000}"/>
    <cellStyle name="标题 1 2 2 11" xfId="44534" xr:uid="{00000000-0005-0000-0000-0000F6AD0000}"/>
    <cellStyle name="标题 1 2 2 2" xfId="44535" xr:uid="{00000000-0005-0000-0000-0000F7AD0000}"/>
    <cellStyle name="标题 1 2 2 2 2" xfId="44536" xr:uid="{00000000-0005-0000-0000-0000F8AD0000}"/>
    <cellStyle name="标题 1 2 2 2 2 2" xfId="44537" xr:uid="{00000000-0005-0000-0000-0000F9AD0000}"/>
    <cellStyle name="标题 1 2 2 2 2 2 2" xfId="44538" xr:uid="{00000000-0005-0000-0000-0000FAAD0000}"/>
    <cellStyle name="标题 1 2 2 2 2 2 3" xfId="44539" xr:uid="{00000000-0005-0000-0000-0000FBAD0000}"/>
    <cellStyle name="标题 1 2 2 2 2 2 3 2" xfId="44540" xr:uid="{00000000-0005-0000-0000-0000FCAD0000}"/>
    <cellStyle name="标题 1 2 2 2 2 2 3 2 2" xfId="44541" xr:uid="{00000000-0005-0000-0000-0000FDAD0000}"/>
    <cellStyle name="标题 1 2 2 2 2 2 4" xfId="44542" xr:uid="{00000000-0005-0000-0000-0000FEAD0000}"/>
    <cellStyle name="标题 1 2 2 2 2 2 4 2" xfId="44543" xr:uid="{00000000-0005-0000-0000-0000FFAD0000}"/>
    <cellStyle name="标题 1 2 2 2 2 3" xfId="44544" xr:uid="{00000000-0005-0000-0000-000000AE0000}"/>
    <cellStyle name="标题 1 2 2 2 2 3 2" xfId="44545" xr:uid="{00000000-0005-0000-0000-000001AE0000}"/>
    <cellStyle name="标题 1 2 2 2 2 3 2 2" xfId="44546" xr:uid="{00000000-0005-0000-0000-000002AE0000}"/>
    <cellStyle name="标题 1 2 2 2 2 3 2 2 2" xfId="44547" xr:uid="{00000000-0005-0000-0000-000003AE0000}"/>
    <cellStyle name="标题 1 2 2 2 2 3 3" xfId="44548" xr:uid="{00000000-0005-0000-0000-000004AE0000}"/>
    <cellStyle name="标题 1 2 2 2 2 3 3 2" xfId="44549" xr:uid="{00000000-0005-0000-0000-000005AE0000}"/>
    <cellStyle name="标题 1 2 2 2 2 4" xfId="44550" xr:uid="{00000000-0005-0000-0000-000006AE0000}"/>
    <cellStyle name="标题 1 2 2 2 2 5" xfId="44551" xr:uid="{00000000-0005-0000-0000-000007AE0000}"/>
    <cellStyle name="标题 1 2 2 2 2 6" xfId="44552" xr:uid="{00000000-0005-0000-0000-000008AE0000}"/>
    <cellStyle name="标题 1 2 2 2 3" xfId="44553" xr:uid="{00000000-0005-0000-0000-000009AE0000}"/>
    <cellStyle name="标题 1 2 2 2 3 2" xfId="44554" xr:uid="{00000000-0005-0000-0000-00000AAE0000}"/>
    <cellStyle name="标题 1 2 2 2 3 3" xfId="44555" xr:uid="{00000000-0005-0000-0000-00000BAE0000}"/>
    <cellStyle name="标题 1 2 2 2 3 3 2" xfId="44556" xr:uid="{00000000-0005-0000-0000-00000CAE0000}"/>
    <cellStyle name="标题 1 2 2 2 3 3 2 2" xfId="44557" xr:uid="{00000000-0005-0000-0000-00000DAE0000}"/>
    <cellStyle name="标题 1 2 2 2 3 4" xfId="44558" xr:uid="{00000000-0005-0000-0000-00000EAE0000}"/>
    <cellStyle name="标题 1 2 2 2 3 4 2" xfId="44559" xr:uid="{00000000-0005-0000-0000-00000FAE0000}"/>
    <cellStyle name="标题 1 2 2 2 4" xfId="44560" xr:uid="{00000000-0005-0000-0000-000010AE0000}"/>
    <cellStyle name="标题 1 2 2 2 4 2" xfId="44561" xr:uid="{00000000-0005-0000-0000-000011AE0000}"/>
    <cellStyle name="标题 1 2 2 2 4 2 2" xfId="44562" xr:uid="{00000000-0005-0000-0000-000012AE0000}"/>
    <cellStyle name="标题 1 2 2 2 4 2 2 2" xfId="44563" xr:uid="{00000000-0005-0000-0000-000013AE0000}"/>
    <cellStyle name="标题 1 2 2 2 4 3" xfId="44564" xr:uid="{00000000-0005-0000-0000-000014AE0000}"/>
    <cellStyle name="标题 1 2 2 2 4 3 2" xfId="44565" xr:uid="{00000000-0005-0000-0000-000015AE0000}"/>
    <cellStyle name="标题 1 2 2 2 5" xfId="44566" xr:uid="{00000000-0005-0000-0000-000016AE0000}"/>
    <cellStyle name="标题 1 2 2 2 6" xfId="44567" xr:uid="{00000000-0005-0000-0000-000017AE0000}"/>
    <cellStyle name="标题 1 2 2 2 7" xfId="44568" xr:uid="{00000000-0005-0000-0000-000018AE0000}"/>
    <cellStyle name="标题 1 2 2 3" xfId="44569" xr:uid="{00000000-0005-0000-0000-000019AE0000}"/>
    <cellStyle name="标题 1 2 2 3 2" xfId="44570" xr:uid="{00000000-0005-0000-0000-00001AAE0000}"/>
    <cellStyle name="标题 1 2 2 3 2 2" xfId="44571" xr:uid="{00000000-0005-0000-0000-00001BAE0000}"/>
    <cellStyle name="标题 1 2 2 3 2 3" xfId="44572" xr:uid="{00000000-0005-0000-0000-00001CAE0000}"/>
    <cellStyle name="标题 1 2 2 3 2 3 2" xfId="44573" xr:uid="{00000000-0005-0000-0000-00001DAE0000}"/>
    <cellStyle name="标题 1 2 2 3 2 3 2 2" xfId="44574" xr:uid="{00000000-0005-0000-0000-00001EAE0000}"/>
    <cellStyle name="标题 1 2 2 3 2 4" xfId="44575" xr:uid="{00000000-0005-0000-0000-00001FAE0000}"/>
    <cellStyle name="标题 1 2 2 3 2 4 2" xfId="44576" xr:uid="{00000000-0005-0000-0000-000020AE0000}"/>
    <cellStyle name="标题 1 2 2 3 3" xfId="44577" xr:uid="{00000000-0005-0000-0000-000021AE0000}"/>
    <cellStyle name="标题 1 2 2 3 3 2" xfId="44578" xr:uid="{00000000-0005-0000-0000-000022AE0000}"/>
    <cellStyle name="标题 1 2 2 3 3 2 2" xfId="44579" xr:uid="{00000000-0005-0000-0000-000023AE0000}"/>
    <cellStyle name="标题 1 2 2 3 3 2 2 2" xfId="44580" xr:uid="{00000000-0005-0000-0000-000024AE0000}"/>
    <cellStyle name="标题 1 2 2 3 3 3" xfId="44581" xr:uid="{00000000-0005-0000-0000-000025AE0000}"/>
    <cellStyle name="标题 1 2 2 3 3 3 2" xfId="44582" xr:uid="{00000000-0005-0000-0000-000026AE0000}"/>
    <cellStyle name="标题 1 2 2 3 4" xfId="44583" xr:uid="{00000000-0005-0000-0000-000027AE0000}"/>
    <cellStyle name="标题 1 2 2 3 5" xfId="44584" xr:uid="{00000000-0005-0000-0000-000028AE0000}"/>
    <cellStyle name="标题 1 2 2 3 6" xfId="44585" xr:uid="{00000000-0005-0000-0000-000029AE0000}"/>
    <cellStyle name="标题 1 2 2 4" xfId="44586" xr:uid="{00000000-0005-0000-0000-00002AAE0000}"/>
    <cellStyle name="标题 1 2 2 4 2" xfId="44587" xr:uid="{00000000-0005-0000-0000-00002BAE0000}"/>
    <cellStyle name="标题 1 2 2 4 2 2" xfId="44588" xr:uid="{00000000-0005-0000-0000-00002CAE0000}"/>
    <cellStyle name="标题 1 2 2 4 2 3" xfId="44589" xr:uid="{00000000-0005-0000-0000-00002DAE0000}"/>
    <cellStyle name="标题 1 2 2 4 2 3 2" xfId="44590" xr:uid="{00000000-0005-0000-0000-00002EAE0000}"/>
    <cellStyle name="标题 1 2 2 4 2 3 2 2" xfId="44591" xr:uid="{00000000-0005-0000-0000-00002FAE0000}"/>
    <cellStyle name="标题 1 2 2 4 2 4" xfId="44592" xr:uid="{00000000-0005-0000-0000-000030AE0000}"/>
    <cellStyle name="标题 1 2 2 4 2 4 2" xfId="44593" xr:uid="{00000000-0005-0000-0000-000031AE0000}"/>
    <cellStyle name="标题 1 2 2 4 3" xfId="44594" xr:uid="{00000000-0005-0000-0000-000032AE0000}"/>
    <cellStyle name="标题 1 2 2 4 4" xfId="44595" xr:uid="{00000000-0005-0000-0000-000033AE0000}"/>
    <cellStyle name="标题 1 2 2 4 5" xfId="44596" xr:uid="{00000000-0005-0000-0000-000034AE0000}"/>
    <cellStyle name="标题 1 2 2 4 6" xfId="44597" xr:uid="{00000000-0005-0000-0000-000035AE0000}"/>
    <cellStyle name="标题 1 2 2 5" xfId="44598" xr:uid="{00000000-0005-0000-0000-000036AE0000}"/>
    <cellStyle name="标题 1 2 2 5 2" xfId="44599" xr:uid="{00000000-0005-0000-0000-000037AE0000}"/>
    <cellStyle name="标题 1 2 2 5 2 2" xfId="44600" xr:uid="{00000000-0005-0000-0000-000038AE0000}"/>
    <cellStyle name="标题 1 2 2 5 2 2 2" xfId="44601" xr:uid="{00000000-0005-0000-0000-000039AE0000}"/>
    <cellStyle name="标题 1 2 2 5 2 2 2 2" xfId="44602" xr:uid="{00000000-0005-0000-0000-00003AAE0000}"/>
    <cellStyle name="标题 1 2 2 5 2 3" xfId="44603" xr:uid="{00000000-0005-0000-0000-00003BAE0000}"/>
    <cellStyle name="标题 1 2 2 5 2 3 2" xfId="44604" xr:uid="{00000000-0005-0000-0000-00003CAE0000}"/>
    <cellStyle name="标题 1 2 2 5 3" xfId="44605" xr:uid="{00000000-0005-0000-0000-00003DAE0000}"/>
    <cellStyle name="标题 1 2 2 5 3 2" xfId="44606" xr:uid="{00000000-0005-0000-0000-00003EAE0000}"/>
    <cellStyle name="标题 1 2 2 5 3 2 2" xfId="44607" xr:uid="{00000000-0005-0000-0000-00003FAE0000}"/>
    <cellStyle name="标题 1 2 2 5 4" xfId="44608" xr:uid="{00000000-0005-0000-0000-000040AE0000}"/>
    <cellStyle name="标题 1 2 2 5 4 2" xfId="44609" xr:uid="{00000000-0005-0000-0000-000041AE0000}"/>
    <cellStyle name="标题 1 2 2 6" xfId="44610" xr:uid="{00000000-0005-0000-0000-000042AE0000}"/>
    <cellStyle name="标题 1 2 2 6 2" xfId="44611" xr:uid="{00000000-0005-0000-0000-000043AE0000}"/>
    <cellStyle name="标题 1 2 2 6 2 2" xfId="44612" xr:uid="{00000000-0005-0000-0000-000044AE0000}"/>
    <cellStyle name="标题 1 2 2 6 2 2 2" xfId="44613" xr:uid="{00000000-0005-0000-0000-000045AE0000}"/>
    <cellStyle name="标题 1 2 2 6 2 2 2 2" xfId="44614" xr:uid="{00000000-0005-0000-0000-000046AE0000}"/>
    <cellStyle name="标题 1 2 2 6 2 3" xfId="44615" xr:uid="{00000000-0005-0000-0000-000047AE0000}"/>
    <cellStyle name="标题 1 2 2 6 2 3 2" xfId="44616" xr:uid="{00000000-0005-0000-0000-000048AE0000}"/>
    <cellStyle name="标题 1 2 2 6 3" xfId="44617" xr:uid="{00000000-0005-0000-0000-000049AE0000}"/>
    <cellStyle name="标题 1 2 2 6 3 2" xfId="44618" xr:uid="{00000000-0005-0000-0000-00004AAE0000}"/>
    <cellStyle name="标题 1 2 2 6 3 2 2" xfId="44619" xr:uid="{00000000-0005-0000-0000-00004BAE0000}"/>
    <cellStyle name="标题 1 2 2 6 4" xfId="44620" xr:uid="{00000000-0005-0000-0000-00004CAE0000}"/>
    <cellStyle name="标题 1 2 2 6 4 2" xfId="44621" xr:uid="{00000000-0005-0000-0000-00004DAE0000}"/>
    <cellStyle name="标题 1 2 2 7" xfId="44622" xr:uid="{00000000-0005-0000-0000-00004EAE0000}"/>
    <cellStyle name="标题 1 2 2 7 2" xfId="44623" xr:uid="{00000000-0005-0000-0000-00004FAE0000}"/>
    <cellStyle name="标题 1 2 2 7 2 2" xfId="44624" xr:uid="{00000000-0005-0000-0000-000050AE0000}"/>
    <cellStyle name="标题 1 2 2 7 2 2 2" xfId="44625" xr:uid="{00000000-0005-0000-0000-000051AE0000}"/>
    <cellStyle name="标题 1 2 2 7 2 2 2 2" xfId="44626" xr:uid="{00000000-0005-0000-0000-000052AE0000}"/>
    <cellStyle name="标题 1 2 2 7 2 3" xfId="44627" xr:uid="{00000000-0005-0000-0000-000053AE0000}"/>
    <cellStyle name="标题 1 2 2 7 2 3 2" xfId="44628" xr:uid="{00000000-0005-0000-0000-000054AE0000}"/>
    <cellStyle name="标题 1 2 2 7 3" xfId="44629" xr:uid="{00000000-0005-0000-0000-000055AE0000}"/>
    <cellStyle name="标题 1 2 2 7 3 2" xfId="44630" xr:uid="{00000000-0005-0000-0000-000056AE0000}"/>
    <cellStyle name="标题 1 2 2 7 3 2 2" xfId="44631" xr:uid="{00000000-0005-0000-0000-000057AE0000}"/>
    <cellStyle name="标题 1 2 2 7 4" xfId="44632" xr:uid="{00000000-0005-0000-0000-000058AE0000}"/>
    <cellStyle name="标题 1 2 2 7 4 2" xfId="44633" xr:uid="{00000000-0005-0000-0000-000059AE0000}"/>
    <cellStyle name="标题 1 2 2 8" xfId="44634" xr:uid="{00000000-0005-0000-0000-00005AAE0000}"/>
    <cellStyle name="标题 1 2 2 8 2" xfId="44635" xr:uid="{00000000-0005-0000-0000-00005BAE0000}"/>
    <cellStyle name="标题 1 2 2 8 2 2" xfId="44636" xr:uid="{00000000-0005-0000-0000-00005CAE0000}"/>
    <cellStyle name="标题 1 2 2 8 2 2 2" xfId="44637" xr:uid="{00000000-0005-0000-0000-00005DAE0000}"/>
    <cellStyle name="标题 1 2 2 8 3" xfId="44638" xr:uid="{00000000-0005-0000-0000-00005EAE0000}"/>
    <cellStyle name="标题 1 2 2 8 3 2" xfId="44639" xr:uid="{00000000-0005-0000-0000-00005FAE0000}"/>
    <cellStyle name="标题 1 2 2 9" xfId="44640" xr:uid="{00000000-0005-0000-0000-000060AE0000}"/>
    <cellStyle name="标题 1 2 2 9 2" xfId="44641" xr:uid="{00000000-0005-0000-0000-000061AE0000}"/>
    <cellStyle name="标题 1 2 2 9 2 2" xfId="44642" xr:uid="{00000000-0005-0000-0000-000062AE0000}"/>
    <cellStyle name="标题 1 2 2 9 2 2 2" xfId="44643" xr:uid="{00000000-0005-0000-0000-000063AE0000}"/>
    <cellStyle name="标题 1 2 2 9 3" xfId="44644" xr:uid="{00000000-0005-0000-0000-000064AE0000}"/>
    <cellStyle name="标题 1 2 2 9 3 2" xfId="44645" xr:uid="{00000000-0005-0000-0000-000065AE0000}"/>
    <cellStyle name="标题 1 2 3" xfId="44646" xr:uid="{00000000-0005-0000-0000-000066AE0000}"/>
    <cellStyle name="标题 1 2 3 2" xfId="44647" xr:uid="{00000000-0005-0000-0000-000067AE0000}"/>
    <cellStyle name="标题 1 2 3 2 2" xfId="44648" xr:uid="{00000000-0005-0000-0000-000068AE0000}"/>
    <cellStyle name="标题 1 2 3 2 2 2" xfId="44649" xr:uid="{00000000-0005-0000-0000-000069AE0000}"/>
    <cellStyle name="标题 1 2 3 2 2 2 2" xfId="44650" xr:uid="{00000000-0005-0000-0000-00006AAE0000}"/>
    <cellStyle name="标题 1 2 3 2 2 2 3" xfId="44651" xr:uid="{00000000-0005-0000-0000-00006BAE0000}"/>
    <cellStyle name="标题 1 2 3 2 2 2 3 2" xfId="44652" xr:uid="{00000000-0005-0000-0000-00006CAE0000}"/>
    <cellStyle name="标题 1 2 3 2 2 2 3 2 2" xfId="44653" xr:uid="{00000000-0005-0000-0000-00006DAE0000}"/>
    <cellStyle name="标题 1 2 3 2 2 2 4" xfId="44654" xr:uid="{00000000-0005-0000-0000-00006EAE0000}"/>
    <cellStyle name="标题 1 2 3 2 2 2 4 2" xfId="44655" xr:uid="{00000000-0005-0000-0000-00006FAE0000}"/>
    <cellStyle name="标题 1 2 3 2 2 3" xfId="44656" xr:uid="{00000000-0005-0000-0000-000070AE0000}"/>
    <cellStyle name="标题 1 2 3 2 2 3 2" xfId="44657" xr:uid="{00000000-0005-0000-0000-000071AE0000}"/>
    <cellStyle name="标题 1 2 3 2 2 3 2 2" xfId="44658" xr:uid="{00000000-0005-0000-0000-000072AE0000}"/>
    <cellStyle name="标题 1 2 3 2 2 3 2 2 2" xfId="44659" xr:uid="{00000000-0005-0000-0000-000073AE0000}"/>
    <cellStyle name="标题 1 2 3 2 2 3 3" xfId="44660" xr:uid="{00000000-0005-0000-0000-000074AE0000}"/>
    <cellStyle name="标题 1 2 3 2 2 3 3 2" xfId="44661" xr:uid="{00000000-0005-0000-0000-000075AE0000}"/>
    <cellStyle name="标题 1 2 3 2 2 4" xfId="44662" xr:uid="{00000000-0005-0000-0000-000076AE0000}"/>
    <cellStyle name="标题 1 2 3 2 2 5" xfId="44663" xr:uid="{00000000-0005-0000-0000-000077AE0000}"/>
    <cellStyle name="标题 1 2 3 2 2 6" xfId="44664" xr:uid="{00000000-0005-0000-0000-000078AE0000}"/>
    <cellStyle name="标题 1 2 3 2 3" xfId="44665" xr:uid="{00000000-0005-0000-0000-000079AE0000}"/>
    <cellStyle name="标题 1 2 3 2 3 2" xfId="44666" xr:uid="{00000000-0005-0000-0000-00007AAE0000}"/>
    <cellStyle name="标题 1 2 3 2 3 3" xfId="44667" xr:uid="{00000000-0005-0000-0000-00007BAE0000}"/>
    <cellStyle name="标题 1 2 3 2 3 3 2" xfId="44668" xr:uid="{00000000-0005-0000-0000-00007CAE0000}"/>
    <cellStyle name="标题 1 2 3 2 3 3 2 2" xfId="44669" xr:uid="{00000000-0005-0000-0000-00007DAE0000}"/>
    <cellStyle name="标题 1 2 3 2 3 4" xfId="44670" xr:uid="{00000000-0005-0000-0000-00007EAE0000}"/>
    <cellStyle name="标题 1 2 3 2 3 4 2" xfId="44671" xr:uid="{00000000-0005-0000-0000-00007FAE0000}"/>
    <cellStyle name="标题 1 2 3 2 4" xfId="44672" xr:uid="{00000000-0005-0000-0000-000080AE0000}"/>
    <cellStyle name="标题 1 2 3 2 4 2" xfId="44673" xr:uid="{00000000-0005-0000-0000-000081AE0000}"/>
    <cellStyle name="标题 1 2 3 2 4 2 2" xfId="44674" xr:uid="{00000000-0005-0000-0000-000082AE0000}"/>
    <cellStyle name="标题 1 2 3 2 4 2 2 2" xfId="44675" xr:uid="{00000000-0005-0000-0000-000083AE0000}"/>
    <cellStyle name="标题 1 2 3 2 4 3" xfId="44676" xr:uid="{00000000-0005-0000-0000-000084AE0000}"/>
    <cellStyle name="标题 1 2 3 2 4 3 2" xfId="44677" xr:uid="{00000000-0005-0000-0000-000085AE0000}"/>
    <cellStyle name="标题 1 2 3 2 5" xfId="44678" xr:uid="{00000000-0005-0000-0000-000086AE0000}"/>
    <cellStyle name="标题 1 2 3 2 6" xfId="44679" xr:uid="{00000000-0005-0000-0000-000087AE0000}"/>
    <cellStyle name="标题 1 2 3 2 7" xfId="44680" xr:uid="{00000000-0005-0000-0000-000088AE0000}"/>
    <cellStyle name="标题 1 2 3 3" xfId="44681" xr:uid="{00000000-0005-0000-0000-000089AE0000}"/>
    <cellStyle name="标题 1 2 3 3 2" xfId="44682" xr:uid="{00000000-0005-0000-0000-00008AAE0000}"/>
    <cellStyle name="标题 1 2 3 3 2 2" xfId="44683" xr:uid="{00000000-0005-0000-0000-00008BAE0000}"/>
    <cellStyle name="标题 1 2 3 3 2 3" xfId="44684" xr:uid="{00000000-0005-0000-0000-00008CAE0000}"/>
    <cellStyle name="标题 1 2 3 3 2 3 2" xfId="44685" xr:uid="{00000000-0005-0000-0000-00008DAE0000}"/>
    <cellStyle name="标题 1 2 3 3 2 3 2 2" xfId="44686" xr:uid="{00000000-0005-0000-0000-00008EAE0000}"/>
    <cellStyle name="标题 1 2 3 3 2 4" xfId="44687" xr:uid="{00000000-0005-0000-0000-00008FAE0000}"/>
    <cellStyle name="标题 1 2 3 3 2 4 2" xfId="44688" xr:uid="{00000000-0005-0000-0000-000090AE0000}"/>
    <cellStyle name="标题 1 2 3 3 3" xfId="44689" xr:uid="{00000000-0005-0000-0000-000091AE0000}"/>
    <cellStyle name="标题 1 2 3 3 3 2" xfId="44690" xr:uid="{00000000-0005-0000-0000-000092AE0000}"/>
    <cellStyle name="标题 1 2 3 3 3 2 2" xfId="44691" xr:uid="{00000000-0005-0000-0000-000093AE0000}"/>
    <cellStyle name="标题 1 2 3 3 3 2 2 2" xfId="44692" xr:uid="{00000000-0005-0000-0000-000094AE0000}"/>
    <cellStyle name="标题 1 2 3 3 3 3" xfId="44693" xr:uid="{00000000-0005-0000-0000-000095AE0000}"/>
    <cellStyle name="标题 1 2 3 3 3 3 2" xfId="44694" xr:uid="{00000000-0005-0000-0000-000096AE0000}"/>
    <cellStyle name="标题 1 2 3 3 4" xfId="44695" xr:uid="{00000000-0005-0000-0000-000097AE0000}"/>
    <cellStyle name="标题 1 2 3 3 5" xfId="44696" xr:uid="{00000000-0005-0000-0000-000098AE0000}"/>
    <cellStyle name="标题 1 2 3 3 6" xfId="44697" xr:uid="{00000000-0005-0000-0000-000099AE0000}"/>
    <cellStyle name="标题 1 2 3 4" xfId="44698" xr:uid="{00000000-0005-0000-0000-00009AAE0000}"/>
    <cellStyle name="标题 1 2 3 4 2" xfId="44699" xr:uid="{00000000-0005-0000-0000-00009BAE0000}"/>
    <cellStyle name="标题 1 2 3 4 2 2" xfId="44700" xr:uid="{00000000-0005-0000-0000-00009CAE0000}"/>
    <cellStyle name="标题 1 2 3 4 2 3" xfId="44701" xr:uid="{00000000-0005-0000-0000-00009DAE0000}"/>
    <cellStyle name="标题 1 2 3 4 2 3 2" xfId="44702" xr:uid="{00000000-0005-0000-0000-00009EAE0000}"/>
    <cellStyle name="标题 1 2 3 4 2 3 2 2" xfId="44703" xr:uid="{00000000-0005-0000-0000-00009FAE0000}"/>
    <cellStyle name="标题 1 2 3 4 2 4" xfId="44704" xr:uid="{00000000-0005-0000-0000-0000A0AE0000}"/>
    <cellStyle name="标题 1 2 3 4 2 4 2" xfId="44705" xr:uid="{00000000-0005-0000-0000-0000A1AE0000}"/>
    <cellStyle name="标题 1 2 3 4 3" xfId="44706" xr:uid="{00000000-0005-0000-0000-0000A2AE0000}"/>
    <cellStyle name="标题 1 2 3 4 4" xfId="44707" xr:uid="{00000000-0005-0000-0000-0000A3AE0000}"/>
    <cellStyle name="标题 1 2 3 4 5" xfId="44708" xr:uid="{00000000-0005-0000-0000-0000A4AE0000}"/>
    <cellStyle name="标题 1 2 3 4 6" xfId="44709" xr:uid="{00000000-0005-0000-0000-0000A5AE0000}"/>
    <cellStyle name="标题 1 2 3 5" xfId="44710" xr:uid="{00000000-0005-0000-0000-0000A6AE0000}"/>
    <cellStyle name="标题 1 2 3 5 2" xfId="44711" xr:uid="{00000000-0005-0000-0000-0000A7AE0000}"/>
    <cellStyle name="标题 1 2 3 5 2 2" xfId="44712" xr:uid="{00000000-0005-0000-0000-0000A8AE0000}"/>
    <cellStyle name="标题 1 2 3 5 2 2 2" xfId="44713" xr:uid="{00000000-0005-0000-0000-0000A9AE0000}"/>
    <cellStyle name="标题 1 2 3 5 2 2 2 2" xfId="44714" xr:uid="{00000000-0005-0000-0000-0000AAAE0000}"/>
    <cellStyle name="标题 1 2 3 5 2 3" xfId="44715" xr:uid="{00000000-0005-0000-0000-0000ABAE0000}"/>
    <cellStyle name="标题 1 2 3 5 2 3 2" xfId="44716" xr:uid="{00000000-0005-0000-0000-0000ACAE0000}"/>
    <cellStyle name="标题 1 2 3 5 3" xfId="44717" xr:uid="{00000000-0005-0000-0000-0000ADAE0000}"/>
    <cellStyle name="标题 1 2 3 5 3 2" xfId="44718" xr:uid="{00000000-0005-0000-0000-0000AEAE0000}"/>
    <cellStyle name="标题 1 2 3 5 3 2 2" xfId="44719" xr:uid="{00000000-0005-0000-0000-0000AFAE0000}"/>
    <cellStyle name="标题 1 2 3 5 4" xfId="44720" xr:uid="{00000000-0005-0000-0000-0000B0AE0000}"/>
    <cellStyle name="标题 1 2 3 5 4 2" xfId="44721" xr:uid="{00000000-0005-0000-0000-0000B1AE0000}"/>
    <cellStyle name="标题 1 2 3 6" xfId="44722" xr:uid="{00000000-0005-0000-0000-0000B2AE0000}"/>
    <cellStyle name="标题 1 2 3 6 2" xfId="44723" xr:uid="{00000000-0005-0000-0000-0000B3AE0000}"/>
    <cellStyle name="标题 1 2 3 6 2 2" xfId="44724" xr:uid="{00000000-0005-0000-0000-0000B4AE0000}"/>
    <cellStyle name="标题 1 2 3 6 2 2 2" xfId="44725" xr:uid="{00000000-0005-0000-0000-0000B5AE0000}"/>
    <cellStyle name="标题 1 2 3 6 3" xfId="44726" xr:uid="{00000000-0005-0000-0000-0000B6AE0000}"/>
    <cellStyle name="标题 1 2 3 6 3 2" xfId="44727" xr:uid="{00000000-0005-0000-0000-0000B7AE0000}"/>
    <cellStyle name="标题 1 2 3 7" xfId="44728" xr:uid="{00000000-0005-0000-0000-0000B8AE0000}"/>
    <cellStyle name="标题 1 2 3 7 2" xfId="44729" xr:uid="{00000000-0005-0000-0000-0000B9AE0000}"/>
    <cellStyle name="标题 1 2 3 7 2 2" xfId="44730" xr:uid="{00000000-0005-0000-0000-0000BAAE0000}"/>
    <cellStyle name="标题 1 2 3 7 2 2 2" xfId="44731" xr:uid="{00000000-0005-0000-0000-0000BBAE0000}"/>
    <cellStyle name="标题 1 2 3 7 3" xfId="44732" xr:uid="{00000000-0005-0000-0000-0000BCAE0000}"/>
    <cellStyle name="标题 1 2 3 7 3 2" xfId="44733" xr:uid="{00000000-0005-0000-0000-0000BDAE0000}"/>
    <cellStyle name="标题 1 2 3 8" xfId="44734" xr:uid="{00000000-0005-0000-0000-0000BEAE0000}"/>
    <cellStyle name="标题 1 2 3 9" xfId="44735" xr:uid="{00000000-0005-0000-0000-0000BFAE0000}"/>
    <cellStyle name="标题 1 2 4" xfId="44736" xr:uid="{00000000-0005-0000-0000-0000C0AE0000}"/>
    <cellStyle name="标题 1 2 4 2" xfId="44737" xr:uid="{00000000-0005-0000-0000-0000C1AE0000}"/>
    <cellStyle name="标题 1 2 4 2 2" xfId="44738" xr:uid="{00000000-0005-0000-0000-0000C2AE0000}"/>
    <cellStyle name="标题 1 2 4 2 3" xfId="44739" xr:uid="{00000000-0005-0000-0000-0000C3AE0000}"/>
    <cellStyle name="标题 1 2 4 2 3 2" xfId="44740" xr:uid="{00000000-0005-0000-0000-0000C4AE0000}"/>
    <cellStyle name="标题 1 2 4 2 3 2 2" xfId="44741" xr:uid="{00000000-0005-0000-0000-0000C5AE0000}"/>
    <cellStyle name="标题 1 2 4 2 4" xfId="44742" xr:uid="{00000000-0005-0000-0000-0000C6AE0000}"/>
    <cellStyle name="标题 1 2 4 2 4 2" xfId="44743" xr:uid="{00000000-0005-0000-0000-0000C7AE0000}"/>
    <cellStyle name="标题 1 2 4 3" xfId="44744" xr:uid="{00000000-0005-0000-0000-0000C8AE0000}"/>
    <cellStyle name="标题 1 2 4 3 2" xfId="44745" xr:uid="{00000000-0005-0000-0000-0000C9AE0000}"/>
    <cellStyle name="标题 1 2 4 3 2 2" xfId="44746" xr:uid="{00000000-0005-0000-0000-0000CAAE0000}"/>
    <cellStyle name="标题 1 2 4 3 2 2 2" xfId="44747" xr:uid="{00000000-0005-0000-0000-0000CBAE0000}"/>
    <cellStyle name="标题 1 2 4 3 3" xfId="44748" xr:uid="{00000000-0005-0000-0000-0000CCAE0000}"/>
    <cellStyle name="标题 1 2 4 3 3 2" xfId="44749" xr:uid="{00000000-0005-0000-0000-0000CDAE0000}"/>
    <cellStyle name="标题 1 2 4 4" xfId="44750" xr:uid="{00000000-0005-0000-0000-0000CEAE0000}"/>
    <cellStyle name="标题 1 2 4 5" xfId="44751" xr:uid="{00000000-0005-0000-0000-0000CFAE0000}"/>
    <cellStyle name="标题 1 2 4 6" xfId="44752" xr:uid="{00000000-0005-0000-0000-0000D0AE0000}"/>
    <cellStyle name="标题 1 2 5" xfId="44753" xr:uid="{00000000-0005-0000-0000-0000D1AE0000}"/>
    <cellStyle name="标题 1 2 5 2" xfId="44754" xr:uid="{00000000-0005-0000-0000-0000D2AE0000}"/>
    <cellStyle name="标题 1 2 5 2 2" xfId="44755" xr:uid="{00000000-0005-0000-0000-0000D3AE0000}"/>
    <cellStyle name="标题 1 2 5 2 3" xfId="44756" xr:uid="{00000000-0005-0000-0000-0000D4AE0000}"/>
    <cellStyle name="标题 1 2 5 2 3 2" xfId="44757" xr:uid="{00000000-0005-0000-0000-0000D5AE0000}"/>
    <cellStyle name="标题 1 2 5 2 3 2 2" xfId="44758" xr:uid="{00000000-0005-0000-0000-0000D6AE0000}"/>
    <cellStyle name="标题 1 2 5 2 4" xfId="44759" xr:uid="{00000000-0005-0000-0000-0000D7AE0000}"/>
    <cellStyle name="标题 1 2 5 2 4 2" xfId="44760" xr:uid="{00000000-0005-0000-0000-0000D8AE0000}"/>
    <cellStyle name="标题 1 2 5 3" xfId="44761" xr:uid="{00000000-0005-0000-0000-0000D9AE0000}"/>
    <cellStyle name="标题 1 2 5 4" xfId="44762" xr:uid="{00000000-0005-0000-0000-0000DAAE0000}"/>
    <cellStyle name="标题 1 2 5 5" xfId="44763" xr:uid="{00000000-0005-0000-0000-0000DBAE0000}"/>
    <cellStyle name="标题 1 2 5 6" xfId="44764" xr:uid="{00000000-0005-0000-0000-0000DCAE0000}"/>
    <cellStyle name="标题 1 2 6" xfId="44765" xr:uid="{00000000-0005-0000-0000-0000DDAE0000}"/>
    <cellStyle name="标题 1 2 6 2" xfId="44766" xr:uid="{00000000-0005-0000-0000-0000DEAE0000}"/>
    <cellStyle name="标题 1 2 6 2 2" xfId="44767" xr:uid="{00000000-0005-0000-0000-0000DFAE0000}"/>
    <cellStyle name="标题 1 2 6 2 2 2" xfId="44768" xr:uid="{00000000-0005-0000-0000-0000E0AE0000}"/>
    <cellStyle name="标题 1 2 6 2 2 2 2" xfId="44769" xr:uid="{00000000-0005-0000-0000-0000E1AE0000}"/>
    <cellStyle name="标题 1 2 6 2 3" xfId="44770" xr:uid="{00000000-0005-0000-0000-0000E2AE0000}"/>
    <cellStyle name="标题 1 2 6 2 3 2" xfId="44771" xr:uid="{00000000-0005-0000-0000-0000E3AE0000}"/>
    <cellStyle name="标题 1 2 6 3" xfId="44772" xr:uid="{00000000-0005-0000-0000-0000E4AE0000}"/>
    <cellStyle name="标题 1 2 6 3 2" xfId="44773" xr:uid="{00000000-0005-0000-0000-0000E5AE0000}"/>
    <cellStyle name="标题 1 2 6 3 2 2" xfId="44774" xr:uid="{00000000-0005-0000-0000-0000E6AE0000}"/>
    <cellStyle name="标题 1 2 6 4" xfId="44775" xr:uid="{00000000-0005-0000-0000-0000E7AE0000}"/>
    <cellStyle name="标题 1 2 6 4 2" xfId="44776" xr:uid="{00000000-0005-0000-0000-0000E8AE0000}"/>
    <cellStyle name="标题 1 2 7" xfId="44777" xr:uid="{00000000-0005-0000-0000-0000E9AE0000}"/>
    <cellStyle name="标题 1 2 7 2" xfId="44778" xr:uid="{00000000-0005-0000-0000-0000EAAE0000}"/>
    <cellStyle name="标题 1 2 7 2 2" xfId="44779" xr:uid="{00000000-0005-0000-0000-0000EBAE0000}"/>
    <cellStyle name="标题 1 2 7 2 2 2" xfId="44780" xr:uid="{00000000-0005-0000-0000-0000ECAE0000}"/>
    <cellStyle name="标题 1 2 7 2 2 2 2" xfId="44781" xr:uid="{00000000-0005-0000-0000-0000EDAE0000}"/>
    <cellStyle name="标题 1 2 7 2 3" xfId="44782" xr:uid="{00000000-0005-0000-0000-0000EEAE0000}"/>
    <cellStyle name="标题 1 2 7 2 3 2" xfId="44783" xr:uid="{00000000-0005-0000-0000-0000EFAE0000}"/>
    <cellStyle name="标题 1 2 7 3" xfId="44784" xr:uid="{00000000-0005-0000-0000-0000F0AE0000}"/>
    <cellStyle name="标题 1 2 7 3 2" xfId="44785" xr:uid="{00000000-0005-0000-0000-0000F1AE0000}"/>
    <cellStyle name="标题 1 2 7 3 2 2" xfId="44786" xr:uid="{00000000-0005-0000-0000-0000F2AE0000}"/>
    <cellStyle name="标题 1 2 7 4" xfId="44787" xr:uid="{00000000-0005-0000-0000-0000F3AE0000}"/>
    <cellStyle name="标题 1 2 7 4 2" xfId="44788" xr:uid="{00000000-0005-0000-0000-0000F4AE0000}"/>
    <cellStyle name="标题 1 2 8" xfId="44789" xr:uid="{00000000-0005-0000-0000-0000F5AE0000}"/>
    <cellStyle name="标题 1 2 8 2" xfId="44790" xr:uid="{00000000-0005-0000-0000-0000F6AE0000}"/>
    <cellStyle name="标题 1 2 8 2 2" xfId="44791" xr:uid="{00000000-0005-0000-0000-0000F7AE0000}"/>
    <cellStyle name="标题 1 2 8 2 2 2" xfId="44792" xr:uid="{00000000-0005-0000-0000-0000F8AE0000}"/>
    <cellStyle name="标题 1 2 8 2 2 2 2" xfId="44793" xr:uid="{00000000-0005-0000-0000-0000F9AE0000}"/>
    <cellStyle name="标题 1 2 8 2 3" xfId="44794" xr:uid="{00000000-0005-0000-0000-0000FAAE0000}"/>
    <cellStyle name="标题 1 2 8 2 3 2" xfId="44795" xr:uid="{00000000-0005-0000-0000-0000FBAE0000}"/>
    <cellStyle name="标题 1 2 8 3" xfId="44796" xr:uid="{00000000-0005-0000-0000-0000FCAE0000}"/>
    <cellStyle name="标题 1 2 8 3 2" xfId="44797" xr:uid="{00000000-0005-0000-0000-0000FDAE0000}"/>
    <cellStyle name="标题 1 2 8 3 2 2" xfId="44798" xr:uid="{00000000-0005-0000-0000-0000FEAE0000}"/>
    <cellStyle name="标题 1 2 8 4" xfId="44799" xr:uid="{00000000-0005-0000-0000-0000FFAE0000}"/>
    <cellStyle name="标题 1 2 8 4 2" xfId="44800" xr:uid="{00000000-0005-0000-0000-000000AF0000}"/>
    <cellStyle name="标题 1 2 9" xfId="44801" xr:uid="{00000000-0005-0000-0000-000001AF0000}"/>
    <cellStyle name="标题 1 2 9 2" xfId="44802" xr:uid="{00000000-0005-0000-0000-000002AF0000}"/>
    <cellStyle name="标题 1 2 9 2 2" xfId="44803" xr:uid="{00000000-0005-0000-0000-000003AF0000}"/>
    <cellStyle name="标题 1 2 9 2 2 2" xfId="44804" xr:uid="{00000000-0005-0000-0000-000004AF0000}"/>
    <cellStyle name="标题 1 2 9 3" xfId="44805" xr:uid="{00000000-0005-0000-0000-000005AF0000}"/>
    <cellStyle name="标题 1 2 9 3 2" xfId="44806" xr:uid="{00000000-0005-0000-0000-000006AF0000}"/>
    <cellStyle name="标题 1 3" xfId="44807" xr:uid="{00000000-0005-0000-0000-000007AF0000}"/>
    <cellStyle name="标题 1 3 2" xfId="44808" xr:uid="{00000000-0005-0000-0000-000008AF0000}"/>
    <cellStyle name="标题 1 3 2 2" xfId="44809" xr:uid="{00000000-0005-0000-0000-000009AF0000}"/>
    <cellStyle name="标题 1 3 2 2 2" xfId="44810" xr:uid="{00000000-0005-0000-0000-00000AAF0000}"/>
    <cellStyle name="标题 1 3 2 2 2 2" xfId="44811" xr:uid="{00000000-0005-0000-0000-00000BAF0000}"/>
    <cellStyle name="标题 1 3 2 2 2 3" xfId="44812" xr:uid="{00000000-0005-0000-0000-00000CAF0000}"/>
    <cellStyle name="标题 1 3 2 2 2 3 2" xfId="44813" xr:uid="{00000000-0005-0000-0000-00000DAF0000}"/>
    <cellStyle name="标题 1 3 2 2 2 3 2 2" xfId="44814" xr:uid="{00000000-0005-0000-0000-00000EAF0000}"/>
    <cellStyle name="标题 1 3 2 2 2 4" xfId="44815" xr:uid="{00000000-0005-0000-0000-00000FAF0000}"/>
    <cellStyle name="标题 1 3 2 2 2 4 2" xfId="44816" xr:uid="{00000000-0005-0000-0000-000010AF0000}"/>
    <cellStyle name="标题 1 3 2 2 3" xfId="44817" xr:uid="{00000000-0005-0000-0000-000011AF0000}"/>
    <cellStyle name="标题 1 3 2 2 3 2" xfId="44818" xr:uid="{00000000-0005-0000-0000-000012AF0000}"/>
    <cellStyle name="标题 1 3 2 2 3 2 2" xfId="44819" xr:uid="{00000000-0005-0000-0000-000013AF0000}"/>
    <cellStyle name="标题 1 3 2 2 3 2 2 2" xfId="44820" xr:uid="{00000000-0005-0000-0000-000014AF0000}"/>
    <cellStyle name="标题 1 3 2 2 3 3" xfId="44821" xr:uid="{00000000-0005-0000-0000-000015AF0000}"/>
    <cellStyle name="标题 1 3 2 2 3 3 2" xfId="44822" xr:uid="{00000000-0005-0000-0000-000016AF0000}"/>
    <cellStyle name="标题 1 3 2 2 4" xfId="44823" xr:uid="{00000000-0005-0000-0000-000017AF0000}"/>
    <cellStyle name="标题 1 3 2 2 5" xfId="44824" xr:uid="{00000000-0005-0000-0000-000018AF0000}"/>
    <cellStyle name="标题 1 3 2 2 6" xfId="44825" xr:uid="{00000000-0005-0000-0000-000019AF0000}"/>
    <cellStyle name="标题 1 3 2 3" xfId="44826" xr:uid="{00000000-0005-0000-0000-00001AAF0000}"/>
    <cellStyle name="标题 1 3 2 3 2" xfId="44827" xr:uid="{00000000-0005-0000-0000-00001BAF0000}"/>
    <cellStyle name="标题 1 3 2 3 3" xfId="44828" xr:uid="{00000000-0005-0000-0000-00001CAF0000}"/>
    <cellStyle name="标题 1 3 2 3 3 2" xfId="44829" xr:uid="{00000000-0005-0000-0000-00001DAF0000}"/>
    <cellStyle name="标题 1 3 2 3 3 2 2" xfId="44830" xr:uid="{00000000-0005-0000-0000-00001EAF0000}"/>
    <cellStyle name="标题 1 3 2 3 4" xfId="44831" xr:uid="{00000000-0005-0000-0000-00001FAF0000}"/>
    <cellStyle name="标题 1 3 2 3 4 2" xfId="44832" xr:uid="{00000000-0005-0000-0000-000020AF0000}"/>
    <cellStyle name="标题 1 3 2 4" xfId="44833" xr:uid="{00000000-0005-0000-0000-000021AF0000}"/>
    <cellStyle name="标题 1 3 2 4 2" xfId="44834" xr:uid="{00000000-0005-0000-0000-000022AF0000}"/>
    <cellStyle name="标题 1 3 2 4 2 2" xfId="44835" xr:uid="{00000000-0005-0000-0000-000023AF0000}"/>
    <cellStyle name="标题 1 3 2 4 2 2 2" xfId="44836" xr:uid="{00000000-0005-0000-0000-000024AF0000}"/>
    <cellStyle name="标题 1 3 2 4 3" xfId="44837" xr:uid="{00000000-0005-0000-0000-000025AF0000}"/>
    <cellStyle name="标题 1 3 2 4 3 2" xfId="44838" xr:uid="{00000000-0005-0000-0000-000026AF0000}"/>
    <cellStyle name="标题 1 3 2 5" xfId="44839" xr:uid="{00000000-0005-0000-0000-000027AF0000}"/>
    <cellStyle name="标题 1 3 2 6" xfId="44840" xr:uid="{00000000-0005-0000-0000-000028AF0000}"/>
    <cellStyle name="标题 1 3 2 7" xfId="44841" xr:uid="{00000000-0005-0000-0000-000029AF0000}"/>
    <cellStyle name="标题 1 3 3" xfId="44842" xr:uid="{00000000-0005-0000-0000-00002AAF0000}"/>
    <cellStyle name="标题 1 3 3 2" xfId="44843" xr:uid="{00000000-0005-0000-0000-00002BAF0000}"/>
    <cellStyle name="标题 1 3 3 2 2" xfId="44844" xr:uid="{00000000-0005-0000-0000-00002CAF0000}"/>
    <cellStyle name="标题 1 3 3 2 3" xfId="44845" xr:uid="{00000000-0005-0000-0000-00002DAF0000}"/>
    <cellStyle name="标题 1 3 3 2 3 2" xfId="44846" xr:uid="{00000000-0005-0000-0000-00002EAF0000}"/>
    <cellStyle name="标题 1 3 3 2 3 2 2" xfId="44847" xr:uid="{00000000-0005-0000-0000-00002FAF0000}"/>
    <cellStyle name="标题 1 3 3 2 4" xfId="44848" xr:uid="{00000000-0005-0000-0000-000030AF0000}"/>
    <cellStyle name="标题 1 3 3 2 4 2" xfId="44849" xr:uid="{00000000-0005-0000-0000-000031AF0000}"/>
    <cellStyle name="标题 1 3 3 3" xfId="44850" xr:uid="{00000000-0005-0000-0000-000032AF0000}"/>
    <cellStyle name="标题 1 3 3 3 2" xfId="44851" xr:uid="{00000000-0005-0000-0000-000033AF0000}"/>
    <cellStyle name="标题 1 3 3 3 2 2" xfId="44852" xr:uid="{00000000-0005-0000-0000-000034AF0000}"/>
    <cellStyle name="标题 1 3 3 3 2 2 2" xfId="44853" xr:uid="{00000000-0005-0000-0000-000035AF0000}"/>
    <cellStyle name="标题 1 3 3 3 3" xfId="44854" xr:uid="{00000000-0005-0000-0000-000036AF0000}"/>
    <cellStyle name="标题 1 3 3 3 3 2" xfId="44855" xr:uid="{00000000-0005-0000-0000-000037AF0000}"/>
    <cellStyle name="标题 1 3 3 4" xfId="44856" xr:uid="{00000000-0005-0000-0000-000038AF0000}"/>
    <cellStyle name="标题 1 3 3 5" xfId="44857" xr:uid="{00000000-0005-0000-0000-000039AF0000}"/>
    <cellStyle name="标题 1 3 3 6" xfId="44858" xr:uid="{00000000-0005-0000-0000-00003AAF0000}"/>
    <cellStyle name="标题 1 3 4" xfId="44859" xr:uid="{00000000-0005-0000-0000-00003BAF0000}"/>
    <cellStyle name="标题 1 3 4 2" xfId="44860" xr:uid="{00000000-0005-0000-0000-00003CAF0000}"/>
    <cellStyle name="标题 1 3 4 2 2" xfId="44861" xr:uid="{00000000-0005-0000-0000-00003DAF0000}"/>
    <cellStyle name="标题 1 3 4 2 3" xfId="44862" xr:uid="{00000000-0005-0000-0000-00003EAF0000}"/>
    <cellStyle name="标题 1 3 4 2 3 2" xfId="44863" xr:uid="{00000000-0005-0000-0000-00003FAF0000}"/>
    <cellStyle name="标题 1 3 4 2 3 2 2" xfId="44864" xr:uid="{00000000-0005-0000-0000-000040AF0000}"/>
    <cellStyle name="标题 1 3 4 2 4" xfId="44865" xr:uid="{00000000-0005-0000-0000-000041AF0000}"/>
    <cellStyle name="标题 1 3 4 2 4 2" xfId="44866" xr:uid="{00000000-0005-0000-0000-000042AF0000}"/>
    <cellStyle name="标题 1 3 4 3" xfId="44867" xr:uid="{00000000-0005-0000-0000-000043AF0000}"/>
    <cellStyle name="标题 1 3 4 4" xfId="44868" xr:uid="{00000000-0005-0000-0000-000044AF0000}"/>
    <cellStyle name="标题 1 3 4 5" xfId="44869" xr:uid="{00000000-0005-0000-0000-000045AF0000}"/>
    <cellStyle name="标题 1 3 4 6" xfId="44870" xr:uid="{00000000-0005-0000-0000-000046AF0000}"/>
    <cellStyle name="标题 1 3 5" xfId="44871" xr:uid="{00000000-0005-0000-0000-000047AF0000}"/>
    <cellStyle name="标题 1 3 5 2" xfId="44872" xr:uid="{00000000-0005-0000-0000-000048AF0000}"/>
    <cellStyle name="标题 1 3 5 2 2" xfId="44873" xr:uid="{00000000-0005-0000-0000-000049AF0000}"/>
    <cellStyle name="标题 1 3 5 2 2 2" xfId="44874" xr:uid="{00000000-0005-0000-0000-00004AAF0000}"/>
    <cellStyle name="标题 1 3 5 2 2 2 2" xfId="44875" xr:uid="{00000000-0005-0000-0000-00004BAF0000}"/>
    <cellStyle name="标题 1 3 5 2 3" xfId="44876" xr:uid="{00000000-0005-0000-0000-00004CAF0000}"/>
    <cellStyle name="标题 1 3 5 2 3 2" xfId="44877" xr:uid="{00000000-0005-0000-0000-00004DAF0000}"/>
    <cellStyle name="标题 1 3 5 3" xfId="44878" xr:uid="{00000000-0005-0000-0000-00004EAF0000}"/>
    <cellStyle name="标题 1 3 5 3 2" xfId="44879" xr:uid="{00000000-0005-0000-0000-00004FAF0000}"/>
    <cellStyle name="标题 1 3 5 3 2 2" xfId="44880" xr:uid="{00000000-0005-0000-0000-000050AF0000}"/>
    <cellStyle name="标题 1 3 5 4" xfId="44881" xr:uid="{00000000-0005-0000-0000-000051AF0000}"/>
    <cellStyle name="标题 1 3 5 4 2" xfId="44882" xr:uid="{00000000-0005-0000-0000-000052AF0000}"/>
    <cellStyle name="标题 1 3 6" xfId="44883" xr:uid="{00000000-0005-0000-0000-000053AF0000}"/>
    <cellStyle name="标题 1 3 6 2" xfId="44884" xr:uid="{00000000-0005-0000-0000-000054AF0000}"/>
    <cellStyle name="标题 1 3 6 2 2" xfId="44885" xr:uid="{00000000-0005-0000-0000-000055AF0000}"/>
    <cellStyle name="标题 1 3 6 2 2 2" xfId="44886" xr:uid="{00000000-0005-0000-0000-000056AF0000}"/>
    <cellStyle name="标题 1 3 6 3" xfId="44887" xr:uid="{00000000-0005-0000-0000-000057AF0000}"/>
    <cellStyle name="标题 1 3 6 3 2" xfId="44888" xr:uid="{00000000-0005-0000-0000-000058AF0000}"/>
    <cellStyle name="标题 1 3 7" xfId="44889" xr:uid="{00000000-0005-0000-0000-000059AF0000}"/>
    <cellStyle name="标题 1 3 8" xfId="44890" xr:uid="{00000000-0005-0000-0000-00005AAF0000}"/>
    <cellStyle name="标题 2 2" xfId="44891" xr:uid="{00000000-0005-0000-0000-00005BAF0000}"/>
    <cellStyle name="标题 2 2 10" xfId="44892" xr:uid="{00000000-0005-0000-0000-00005CAF0000}"/>
    <cellStyle name="标题 2 2 11" xfId="44893" xr:uid="{00000000-0005-0000-0000-00005DAF0000}"/>
    <cellStyle name="标题 2 2 2" xfId="44894" xr:uid="{00000000-0005-0000-0000-00005EAF0000}"/>
    <cellStyle name="标题 2 2 2 10" xfId="44895" xr:uid="{00000000-0005-0000-0000-00005FAF0000}"/>
    <cellStyle name="标题 2 2 2 11" xfId="44896" xr:uid="{00000000-0005-0000-0000-000060AF0000}"/>
    <cellStyle name="标题 2 2 2 2" xfId="44897" xr:uid="{00000000-0005-0000-0000-000061AF0000}"/>
    <cellStyle name="标题 2 2 2 2 2" xfId="44898" xr:uid="{00000000-0005-0000-0000-000062AF0000}"/>
    <cellStyle name="标题 2 2 2 2 2 2" xfId="44899" xr:uid="{00000000-0005-0000-0000-000063AF0000}"/>
    <cellStyle name="标题 2 2 2 2 2 2 2" xfId="44900" xr:uid="{00000000-0005-0000-0000-000064AF0000}"/>
    <cellStyle name="标题 2 2 2 2 2 2 3" xfId="44901" xr:uid="{00000000-0005-0000-0000-000065AF0000}"/>
    <cellStyle name="标题 2 2 2 2 2 2 3 2" xfId="44902" xr:uid="{00000000-0005-0000-0000-000066AF0000}"/>
    <cellStyle name="标题 2 2 2 2 2 2 3 2 2" xfId="44903" xr:uid="{00000000-0005-0000-0000-000067AF0000}"/>
    <cellStyle name="标题 2 2 2 2 2 2 4" xfId="44904" xr:uid="{00000000-0005-0000-0000-000068AF0000}"/>
    <cellStyle name="标题 2 2 2 2 2 2 4 2" xfId="44905" xr:uid="{00000000-0005-0000-0000-000069AF0000}"/>
    <cellStyle name="标题 2 2 2 2 2 3" xfId="44906" xr:uid="{00000000-0005-0000-0000-00006AAF0000}"/>
    <cellStyle name="标题 2 2 2 2 2 3 2" xfId="44907" xr:uid="{00000000-0005-0000-0000-00006BAF0000}"/>
    <cellStyle name="标题 2 2 2 2 2 3 2 2" xfId="44908" xr:uid="{00000000-0005-0000-0000-00006CAF0000}"/>
    <cellStyle name="标题 2 2 2 2 2 3 2 2 2" xfId="44909" xr:uid="{00000000-0005-0000-0000-00006DAF0000}"/>
    <cellStyle name="标题 2 2 2 2 2 3 3" xfId="44910" xr:uid="{00000000-0005-0000-0000-00006EAF0000}"/>
    <cellStyle name="标题 2 2 2 2 2 3 3 2" xfId="44911" xr:uid="{00000000-0005-0000-0000-00006FAF0000}"/>
    <cellStyle name="标题 2 2 2 2 2 4" xfId="44912" xr:uid="{00000000-0005-0000-0000-000070AF0000}"/>
    <cellStyle name="标题 2 2 2 2 2 5" xfId="44913" xr:uid="{00000000-0005-0000-0000-000071AF0000}"/>
    <cellStyle name="标题 2 2 2 2 2 6" xfId="44914" xr:uid="{00000000-0005-0000-0000-000072AF0000}"/>
    <cellStyle name="标题 2 2 2 2 3" xfId="44915" xr:uid="{00000000-0005-0000-0000-000073AF0000}"/>
    <cellStyle name="标题 2 2 2 2 3 2" xfId="44916" xr:uid="{00000000-0005-0000-0000-000074AF0000}"/>
    <cellStyle name="标题 2 2 2 2 3 3" xfId="44917" xr:uid="{00000000-0005-0000-0000-000075AF0000}"/>
    <cellStyle name="标题 2 2 2 2 3 3 2" xfId="44918" xr:uid="{00000000-0005-0000-0000-000076AF0000}"/>
    <cellStyle name="标题 2 2 2 2 3 3 2 2" xfId="44919" xr:uid="{00000000-0005-0000-0000-000077AF0000}"/>
    <cellStyle name="标题 2 2 2 2 3 4" xfId="44920" xr:uid="{00000000-0005-0000-0000-000078AF0000}"/>
    <cellStyle name="标题 2 2 2 2 3 4 2" xfId="44921" xr:uid="{00000000-0005-0000-0000-000079AF0000}"/>
    <cellStyle name="标题 2 2 2 2 4" xfId="44922" xr:uid="{00000000-0005-0000-0000-00007AAF0000}"/>
    <cellStyle name="标题 2 2 2 2 4 2" xfId="44923" xr:uid="{00000000-0005-0000-0000-00007BAF0000}"/>
    <cellStyle name="标题 2 2 2 2 4 2 2" xfId="44924" xr:uid="{00000000-0005-0000-0000-00007CAF0000}"/>
    <cellStyle name="标题 2 2 2 2 4 2 2 2" xfId="44925" xr:uid="{00000000-0005-0000-0000-00007DAF0000}"/>
    <cellStyle name="标题 2 2 2 2 4 3" xfId="44926" xr:uid="{00000000-0005-0000-0000-00007EAF0000}"/>
    <cellStyle name="标题 2 2 2 2 4 3 2" xfId="44927" xr:uid="{00000000-0005-0000-0000-00007FAF0000}"/>
    <cellStyle name="标题 2 2 2 2 5" xfId="44928" xr:uid="{00000000-0005-0000-0000-000080AF0000}"/>
    <cellStyle name="标题 2 2 2 2 6" xfId="44929" xr:uid="{00000000-0005-0000-0000-000081AF0000}"/>
    <cellStyle name="标题 2 2 2 2 7" xfId="44930" xr:uid="{00000000-0005-0000-0000-000082AF0000}"/>
    <cellStyle name="标题 2 2 2 3" xfId="44931" xr:uid="{00000000-0005-0000-0000-000083AF0000}"/>
    <cellStyle name="标题 2 2 2 3 2" xfId="44932" xr:uid="{00000000-0005-0000-0000-000084AF0000}"/>
    <cellStyle name="标题 2 2 2 3 2 2" xfId="44933" xr:uid="{00000000-0005-0000-0000-000085AF0000}"/>
    <cellStyle name="标题 2 2 2 3 2 3" xfId="44934" xr:uid="{00000000-0005-0000-0000-000086AF0000}"/>
    <cellStyle name="标题 2 2 2 3 2 3 2" xfId="44935" xr:uid="{00000000-0005-0000-0000-000087AF0000}"/>
    <cellStyle name="标题 2 2 2 3 2 3 2 2" xfId="44936" xr:uid="{00000000-0005-0000-0000-000088AF0000}"/>
    <cellStyle name="标题 2 2 2 3 2 4" xfId="44937" xr:uid="{00000000-0005-0000-0000-000089AF0000}"/>
    <cellStyle name="标题 2 2 2 3 2 4 2" xfId="44938" xr:uid="{00000000-0005-0000-0000-00008AAF0000}"/>
    <cellStyle name="标题 2 2 2 3 3" xfId="44939" xr:uid="{00000000-0005-0000-0000-00008BAF0000}"/>
    <cellStyle name="标题 2 2 2 3 3 2" xfId="44940" xr:uid="{00000000-0005-0000-0000-00008CAF0000}"/>
    <cellStyle name="标题 2 2 2 3 3 2 2" xfId="44941" xr:uid="{00000000-0005-0000-0000-00008DAF0000}"/>
    <cellStyle name="标题 2 2 2 3 3 2 2 2" xfId="44942" xr:uid="{00000000-0005-0000-0000-00008EAF0000}"/>
    <cellStyle name="标题 2 2 2 3 3 3" xfId="44943" xr:uid="{00000000-0005-0000-0000-00008FAF0000}"/>
    <cellStyle name="标题 2 2 2 3 3 3 2" xfId="44944" xr:uid="{00000000-0005-0000-0000-000090AF0000}"/>
    <cellStyle name="标题 2 2 2 3 4" xfId="44945" xr:uid="{00000000-0005-0000-0000-000091AF0000}"/>
    <cellStyle name="标题 2 2 2 3 5" xfId="44946" xr:uid="{00000000-0005-0000-0000-000092AF0000}"/>
    <cellStyle name="标题 2 2 2 3 6" xfId="44947" xr:uid="{00000000-0005-0000-0000-000093AF0000}"/>
    <cellStyle name="标题 2 2 2 4" xfId="44948" xr:uid="{00000000-0005-0000-0000-000094AF0000}"/>
    <cellStyle name="标题 2 2 2 4 2" xfId="44949" xr:uid="{00000000-0005-0000-0000-000095AF0000}"/>
    <cellStyle name="标题 2 2 2 4 2 2" xfId="44950" xr:uid="{00000000-0005-0000-0000-000096AF0000}"/>
    <cellStyle name="标题 2 2 2 4 2 3" xfId="44951" xr:uid="{00000000-0005-0000-0000-000097AF0000}"/>
    <cellStyle name="标题 2 2 2 4 2 3 2" xfId="44952" xr:uid="{00000000-0005-0000-0000-000098AF0000}"/>
    <cellStyle name="标题 2 2 2 4 2 3 2 2" xfId="44953" xr:uid="{00000000-0005-0000-0000-000099AF0000}"/>
    <cellStyle name="标题 2 2 2 4 2 4" xfId="44954" xr:uid="{00000000-0005-0000-0000-00009AAF0000}"/>
    <cellStyle name="标题 2 2 2 4 2 4 2" xfId="44955" xr:uid="{00000000-0005-0000-0000-00009BAF0000}"/>
    <cellStyle name="标题 2 2 2 4 3" xfId="44956" xr:uid="{00000000-0005-0000-0000-00009CAF0000}"/>
    <cellStyle name="标题 2 2 2 4 4" xfId="44957" xr:uid="{00000000-0005-0000-0000-00009DAF0000}"/>
    <cellStyle name="标题 2 2 2 4 5" xfId="44958" xr:uid="{00000000-0005-0000-0000-00009EAF0000}"/>
    <cellStyle name="标题 2 2 2 4 6" xfId="44959" xr:uid="{00000000-0005-0000-0000-00009FAF0000}"/>
    <cellStyle name="标题 2 2 2 5" xfId="44960" xr:uid="{00000000-0005-0000-0000-0000A0AF0000}"/>
    <cellStyle name="标题 2 2 2 5 2" xfId="44961" xr:uid="{00000000-0005-0000-0000-0000A1AF0000}"/>
    <cellStyle name="标题 2 2 2 5 2 2" xfId="44962" xr:uid="{00000000-0005-0000-0000-0000A2AF0000}"/>
    <cellStyle name="标题 2 2 2 5 2 2 2" xfId="44963" xr:uid="{00000000-0005-0000-0000-0000A3AF0000}"/>
    <cellStyle name="标题 2 2 2 5 2 2 2 2" xfId="44964" xr:uid="{00000000-0005-0000-0000-0000A4AF0000}"/>
    <cellStyle name="标题 2 2 2 5 2 3" xfId="44965" xr:uid="{00000000-0005-0000-0000-0000A5AF0000}"/>
    <cellStyle name="标题 2 2 2 5 2 3 2" xfId="44966" xr:uid="{00000000-0005-0000-0000-0000A6AF0000}"/>
    <cellStyle name="标题 2 2 2 5 3" xfId="44967" xr:uid="{00000000-0005-0000-0000-0000A7AF0000}"/>
    <cellStyle name="标题 2 2 2 5 3 2" xfId="44968" xr:uid="{00000000-0005-0000-0000-0000A8AF0000}"/>
    <cellStyle name="标题 2 2 2 5 3 2 2" xfId="44969" xr:uid="{00000000-0005-0000-0000-0000A9AF0000}"/>
    <cellStyle name="标题 2 2 2 5 4" xfId="44970" xr:uid="{00000000-0005-0000-0000-0000AAAF0000}"/>
    <cellStyle name="标题 2 2 2 5 4 2" xfId="44971" xr:uid="{00000000-0005-0000-0000-0000ABAF0000}"/>
    <cellStyle name="标题 2 2 2 6" xfId="44972" xr:uid="{00000000-0005-0000-0000-0000ACAF0000}"/>
    <cellStyle name="标题 2 2 2 6 2" xfId="44973" xr:uid="{00000000-0005-0000-0000-0000ADAF0000}"/>
    <cellStyle name="标题 2 2 2 6 2 2" xfId="44974" xr:uid="{00000000-0005-0000-0000-0000AEAF0000}"/>
    <cellStyle name="标题 2 2 2 6 2 2 2" xfId="44975" xr:uid="{00000000-0005-0000-0000-0000AFAF0000}"/>
    <cellStyle name="标题 2 2 2 6 2 2 2 2" xfId="44976" xr:uid="{00000000-0005-0000-0000-0000B0AF0000}"/>
    <cellStyle name="标题 2 2 2 6 2 3" xfId="44977" xr:uid="{00000000-0005-0000-0000-0000B1AF0000}"/>
    <cellStyle name="标题 2 2 2 6 2 3 2" xfId="44978" xr:uid="{00000000-0005-0000-0000-0000B2AF0000}"/>
    <cellStyle name="标题 2 2 2 6 3" xfId="44979" xr:uid="{00000000-0005-0000-0000-0000B3AF0000}"/>
    <cellStyle name="标题 2 2 2 6 3 2" xfId="44980" xr:uid="{00000000-0005-0000-0000-0000B4AF0000}"/>
    <cellStyle name="标题 2 2 2 6 3 2 2" xfId="44981" xr:uid="{00000000-0005-0000-0000-0000B5AF0000}"/>
    <cellStyle name="标题 2 2 2 6 4" xfId="44982" xr:uid="{00000000-0005-0000-0000-0000B6AF0000}"/>
    <cellStyle name="标题 2 2 2 6 4 2" xfId="44983" xr:uid="{00000000-0005-0000-0000-0000B7AF0000}"/>
    <cellStyle name="标题 2 2 2 7" xfId="44984" xr:uid="{00000000-0005-0000-0000-0000B8AF0000}"/>
    <cellStyle name="标题 2 2 2 7 2" xfId="44985" xr:uid="{00000000-0005-0000-0000-0000B9AF0000}"/>
    <cellStyle name="标题 2 2 2 7 2 2" xfId="44986" xr:uid="{00000000-0005-0000-0000-0000BAAF0000}"/>
    <cellStyle name="标题 2 2 2 7 2 2 2" xfId="44987" xr:uid="{00000000-0005-0000-0000-0000BBAF0000}"/>
    <cellStyle name="标题 2 2 2 7 2 2 2 2" xfId="44988" xr:uid="{00000000-0005-0000-0000-0000BCAF0000}"/>
    <cellStyle name="标题 2 2 2 7 2 3" xfId="44989" xr:uid="{00000000-0005-0000-0000-0000BDAF0000}"/>
    <cellStyle name="标题 2 2 2 7 2 3 2" xfId="44990" xr:uid="{00000000-0005-0000-0000-0000BEAF0000}"/>
    <cellStyle name="标题 2 2 2 7 3" xfId="44991" xr:uid="{00000000-0005-0000-0000-0000BFAF0000}"/>
    <cellStyle name="标题 2 2 2 7 3 2" xfId="44992" xr:uid="{00000000-0005-0000-0000-0000C0AF0000}"/>
    <cellStyle name="标题 2 2 2 7 3 2 2" xfId="44993" xr:uid="{00000000-0005-0000-0000-0000C1AF0000}"/>
    <cellStyle name="标题 2 2 2 7 4" xfId="44994" xr:uid="{00000000-0005-0000-0000-0000C2AF0000}"/>
    <cellStyle name="标题 2 2 2 7 4 2" xfId="44995" xr:uid="{00000000-0005-0000-0000-0000C3AF0000}"/>
    <cellStyle name="标题 2 2 2 8" xfId="44996" xr:uid="{00000000-0005-0000-0000-0000C4AF0000}"/>
    <cellStyle name="标题 2 2 2 8 2" xfId="44997" xr:uid="{00000000-0005-0000-0000-0000C5AF0000}"/>
    <cellStyle name="标题 2 2 2 8 2 2" xfId="44998" xr:uid="{00000000-0005-0000-0000-0000C6AF0000}"/>
    <cellStyle name="标题 2 2 2 8 2 2 2" xfId="44999" xr:uid="{00000000-0005-0000-0000-0000C7AF0000}"/>
    <cellStyle name="标题 2 2 2 8 3" xfId="45000" xr:uid="{00000000-0005-0000-0000-0000C8AF0000}"/>
    <cellStyle name="标题 2 2 2 8 3 2" xfId="45001" xr:uid="{00000000-0005-0000-0000-0000C9AF0000}"/>
    <cellStyle name="标题 2 2 2 9" xfId="45002" xr:uid="{00000000-0005-0000-0000-0000CAAF0000}"/>
    <cellStyle name="标题 2 2 2 9 2" xfId="45003" xr:uid="{00000000-0005-0000-0000-0000CBAF0000}"/>
    <cellStyle name="标题 2 2 2 9 2 2" xfId="45004" xr:uid="{00000000-0005-0000-0000-0000CCAF0000}"/>
    <cellStyle name="标题 2 2 2 9 2 2 2" xfId="45005" xr:uid="{00000000-0005-0000-0000-0000CDAF0000}"/>
    <cellStyle name="标题 2 2 2 9 3" xfId="45006" xr:uid="{00000000-0005-0000-0000-0000CEAF0000}"/>
    <cellStyle name="标题 2 2 2 9 3 2" xfId="45007" xr:uid="{00000000-0005-0000-0000-0000CFAF0000}"/>
    <cellStyle name="标题 2 2 3" xfId="45008" xr:uid="{00000000-0005-0000-0000-0000D0AF0000}"/>
    <cellStyle name="标题 2 2 3 2" xfId="45009" xr:uid="{00000000-0005-0000-0000-0000D1AF0000}"/>
    <cellStyle name="标题 2 2 3 2 2" xfId="45010" xr:uid="{00000000-0005-0000-0000-0000D2AF0000}"/>
    <cellStyle name="标题 2 2 3 2 2 2" xfId="45011" xr:uid="{00000000-0005-0000-0000-0000D3AF0000}"/>
    <cellStyle name="标题 2 2 3 2 2 2 2" xfId="45012" xr:uid="{00000000-0005-0000-0000-0000D4AF0000}"/>
    <cellStyle name="标题 2 2 3 2 2 2 3" xfId="45013" xr:uid="{00000000-0005-0000-0000-0000D5AF0000}"/>
    <cellStyle name="标题 2 2 3 2 2 2 3 2" xfId="45014" xr:uid="{00000000-0005-0000-0000-0000D6AF0000}"/>
    <cellStyle name="标题 2 2 3 2 2 2 3 2 2" xfId="45015" xr:uid="{00000000-0005-0000-0000-0000D7AF0000}"/>
    <cellStyle name="标题 2 2 3 2 2 2 4" xfId="45016" xr:uid="{00000000-0005-0000-0000-0000D8AF0000}"/>
    <cellStyle name="标题 2 2 3 2 2 2 4 2" xfId="45017" xr:uid="{00000000-0005-0000-0000-0000D9AF0000}"/>
    <cellStyle name="标题 2 2 3 2 2 3" xfId="45018" xr:uid="{00000000-0005-0000-0000-0000DAAF0000}"/>
    <cellStyle name="标题 2 2 3 2 2 3 2" xfId="45019" xr:uid="{00000000-0005-0000-0000-0000DBAF0000}"/>
    <cellStyle name="标题 2 2 3 2 2 3 2 2" xfId="45020" xr:uid="{00000000-0005-0000-0000-0000DCAF0000}"/>
    <cellStyle name="标题 2 2 3 2 2 3 2 2 2" xfId="45021" xr:uid="{00000000-0005-0000-0000-0000DDAF0000}"/>
    <cellStyle name="标题 2 2 3 2 2 3 3" xfId="45022" xr:uid="{00000000-0005-0000-0000-0000DEAF0000}"/>
    <cellStyle name="标题 2 2 3 2 2 3 3 2" xfId="45023" xr:uid="{00000000-0005-0000-0000-0000DFAF0000}"/>
    <cellStyle name="标题 2 2 3 2 2 4" xfId="45024" xr:uid="{00000000-0005-0000-0000-0000E0AF0000}"/>
    <cellStyle name="标题 2 2 3 2 2 5" xfId="45025" xr:uid="{00000000-0005-0000-0000-0000E1AF0000}"/>
    <cellStyle name="标题 2 2 3 2 2 6" xfId="45026" xr:uid="{00000000-0005-0000-0000-0000E2AF0000}"/>
    <cellStyle name="标题 2 2 3 2 3" xfId="45027" xr:uid="{00000000-0005-0000-0000-0000E3AF0000}"/>
    <cellStyle name="标题 2 2 3 2 3 2" xfId="45028" xr:uid="{00000000-0005-0000-0000-0000E4AF0000}"/>
    <cellStyle name="标题 2 2 3 2 3 3" xfId="45029" xr:uid="{00000000-0005-0000-0000-0000E5AF0000}"/>
    <cellStyle name="标题 2 2 3 2 3 3 2" xfId="45030" xr:uid="{00000000-0005-0000-0000-0000E6AF0000}"/>
    <cellStyle name="标题 2 2 3 2 3 3 2 2" xfId="45031" xr:uid="{00000000-0005-0000-0000-0000E7AF0000}"/>
    <cellStyle name="标题 2 2 3 2 3 4" xfId="45032" xr:uid="{00000000-0005-0000-0000-0000E8AF0000}"/>
    <cellStyle name="标题 2 2 3 2 3 4 2" xfId="45033" xr:uid="{00000000-0005-0000-0000-0000E9AF0000}"/>
    <cellStyle name="标题 2 2 3 2 4" xfId="45034" xr:uid="{00000000-0005-0000-0000-0000EAAF0000}"/>
    <cellStyle name="标题 2 2 3 2 4 2" xfId="45035" xr:uid="{00000000-0005-0000-0000-0000EBAF0000}"/>
    <cellStyle name="标题 2 2 3 2 4 2 2" xfId="45036" xr:uid="{00000000-0005-0000-0000-0000ECAF0000}"/>
    <cellStyle name="标题 2 2 3 2 4 2 2 2" xfId="45037" xr:uid="{00000000-0005-0000-0000-0000EDAF0000}"/>
    <cellStyle name="标题 2 2 3 2 4 3" xfId="45038" xr:uid="{00000000-0005-0000-0000-0000EEAF0000}"/>
    <cellStyle name="标题 2 2 3 2 4 3 2" xfId="45039" xr:uid="{00000000-0005-0000-0000-0000EFAF0000}"/>
    <cellStyle name="标题 2 2 3 2 5" xfId="45040" xr:uid="{00000000-0005-0000-0000-0000F0AF0000}"/>
    <cellStyle name="标题 2 2 3 2 6" xfId="45041" xr:uid="{00000000-0005-0000-0000-0000F1AF0000}"/>
    <cellStyle name="标题 2 2 3 2 7" xfId="45042" xr:uid="{00000000-0005-0000-0000-0000F2AF0000}"/>
    <cellStyle name="标题 2 2 3 3" xfId="45043" xr:uid="{00000000-0005-0000-0000-0000F3AF0000}"/>
    <cellStyle name="标题 2 2 3 3 2" xfId="45044" xr:uid="{00000000-0005-0000-0000-0000F4AF0000}"/>
    <cellStyle name="标题 2 2 3 3 2 2" xfId="45045" xr:uid="{00000000-0005-0000-0000-0000F5AF0000}"/>
    <cellStyle name="标题 2 2 3 3 2 3" xfId="45046" xr:uid="{00000000-0005-0000-0000-0000F6AF0000}"/>
    <cellStyle name="标题 2 2 3 3 2 3 2" xfId="45047" xr:uid="{00000000-0005-0000-0000-0000F7AF0000}"/>
    <cellStyle name="标题 2 2 3 3 2 3 2 2" xfId="45048" xr:uid="{00000000-0005-0000-0000-0000F8AF0000}"/>
    <cellStyle name="标题 2 2 3 3 2 4" xfId="45049" xr:uid="{00000000-0005-0000-0000-0000F9AF0000}"/>
    <cellStyle name="标题 2 2 3 3 2 4 2" xfId="45050" xr:uid="{00000000-0005-0000-0000-0000FAAF0000}"/>
    <cellStyle name="标题 2 2 3 3 3" xfId="45051" xr:uid="{00000000-0005-0000-0000-0000FBAF0000}"/>
    <cellStyle name="标题 2 2 3 3 3 2" xfId="45052" xr:uid="{00000000-0005-0000-0000-0000FCAF0000}"/>
    <cellStyle name="标题 2 2 3 3 3 2 2" xfId="45053" xr:uid="{00000000-0005-0000-0000-0000FDAF0000}"/>
    <cellStyle name="标题 2 2 3 3 3 2 2 2" xfId="45054" xr:uid="{00000000-0005-0000-0000-0000FEAF0000}"/>
    <cellStyle name="标题 2 2 3 3 3 3" xfId="45055" xr:uid="{00000000-0005-0000-0000-0000FFAF0000}"/>
    <cellStyle name="标题 2 2 3 3 3 3 2" xfId="45056" xr:uid="{00000000-0005-0000-0000-000000B00000}"/>
    <cellStyle name="标题 2 2 3 3 4" xfId="45057" xr:uid="{00000000-0005-0000-0000-000001B00000}"/>
    <cellStyle name="标题 2 2 3 3 5" xfId="45058" xr:uid="{00000000-0005-0000-0000-000002B00000}"/>
    <cellStyle name="标题 2 2 3 3 6" xfId="45059" xr:uid="{00000000-0005-0000-0000-000003B00000}"/>
    <cellStyle name="标题 2 2 3 4" xfId="45060" xr:uid="{00000000-0005-0000-0000-000004B00000}"/>
    <cellStyle name="标题 2 2 3 4 2" xfId="45061" xr:uid="{00000000-0005-0000-0000-000005B00000}"/>
    <cellStyle name="标题 2 2 3 4 2 2" xfId="45062" xr:uid="{00000000-0005-0000-0000-000006B00000}"/>
    <cellStyle name="标题 2 2 3 4 2 3" xfId="45063" xr:uid="{00000000-0005-0000-0000-000007B00000}"/>
    <cellStyle name="标题 2 2 3 4 2 3 2" xfId="45064" xr:uid="{00000000-0005-0000-0000-000008B00000}"/>
    <cellStyle name="标题 2 2 3 4 2 3 2 2" xfId="45065" xr:uid="{00000000-0005-0000-0000-000009B00000}"/>
    <cellStyle name="标题 2 2 3 4 2 4" xfId="45066" xr:uid="{00000000-0005-0000-0000-00000AB00000}"/>
    <cellStyle name="标题 2 2 3 4 2 4 2" xfId="45067" xr:uid="{00000000-0005-0000-0000-00000BB00000}"/>
    <cellStyle name="标题 2 2 3 4 3" xfId="45068" xr:uid="{00000000-0005-0000-0000-00000CB00000}"/>
    <cellStyle name="标题 2 2 3 4 4" xfId="45069" xr:uid="{00000000-0005-0000-0000-00000DB00000}"/>
    <cellStyle name="标题 2 2 3 4 5" xfId="45070" xr:uid="{00000000-0005-0000-0000-00000EB00000}"/>
    <cellStyle name="标题 2 2 3 4 6" xfId="45071" xr:uid="{00000000-0005-0000-0000-00000FB00000}"/>
    <cellStyle name="标题 2 2 3 5" xfId="45072" xr:uid="{00000000-0005-0000-0000-000010B00000}"/>
    <cellStyle name="标题 2 2 3 5 2" xfId="45073" xr:uid="{00000000-0005-0000-0000-000011B00000}"/>
    <cellStyle name="标题 2 2 3 5 2 2" xfId="45074" xr:uid="{00000000-0005-0000-0000-000012B00000}"/>
    <cellStyle name="标题 2 2 3 5 2 2 2" xfId="45075" xr:uid="{00000000-0005-0000-0000-000013B00000}"/>
    <cellStyle name="标题 2 2 3 5 2 2 2 2" xfId="45076" xr:uid="{00000000-0005-0000-0000-000014B00000}"/>
    <cellStyle name="标题 2 2 3 5 2 3" xfId="45077" xr:uid="{00000000-0005-0000-0000-000015B00000}"/>
    <cellStyle name="标题 2 2 3 5 2 3 2" xfId="45078" xr:uid="{00000000-0005-0000-0000-000016B00000}"/>
    <cellStyle name="标题 2 2 3 5 3" xfId="45079" xr:uid="{00000000-0005-0000-0000-000017B00000}"/>
    <cellStyle name="标题 2 2 3 5 3 2" xfId="45080" xr:uid="{00000000-0005-0000-0000-000018B00000}"/>
    <cellStyle name="标题 2 2 3 5 3 2 2" xfId="45081" xr:uid="{00000000-0005-0000-0000-000019B00000}"/>
    <cellStyle name="标题 2 2 3 5 4" xfId="45082" xr:uid="{00000000-0005-0000-0000-00001AB00000}"/>
    <cellStyle name="标题 2 2 3 5 4 2" xfId="45083" xr:uid="{00000000-0005-0000-0000-00001BB00000}"/>
    <cellStyle name="标题 2 2 3 6" xfId="45084" xr:uid="{00000000-0005-0000-0000-00001CB00000}"/>
    <cellStyle name="标题 2 2 3 6 2" xfId="45085" xr:uid="{00000000-0005-0000-0000-00001DB00000}"/>
    <cellStyle name="标题 2 2 3 6 2 2" xfId="45086" xr:uid="{00000000-0005-0000-0000-00001EB00000}"/>
    <cellStyle name="标题 2 2 3 6 2 2 2" xfId="45087" xr:uid="{00000000-0005-0000-0000-00001FB00000}"/>
    <cellStyle name="标题 2 2 3 6 3" xfId="45088" xr:uid="{00000000-0005-0000-0000-000020B00000}"/>
    <cellStyle name="标题 2 2 3 6 3 2" xfId="45089" xr:uid="{00000000-0005-0000-0000-000021B00000}"/>
    <cellStyle name="标题 2 2 3 7" xfId="45090" xr:uid="{00000000-0005-0000-0000-000022B00000}"/>
    <cellStyle name="标题 2 2 3 7 2" xfId="45091" xr:uid="{00000000-0005-0000-0000-000023B00000}"/>
    <cellStyle name="标题 2 2 3 7 2 2" xfId="45092" xr:uid="{00000000-0005-0000-0000-000024B00000}"/>
    <cellStyle name="标题 2 2 3 7 2 2 2" xfId="45093" xr:uid="{00000000-0005-0000-0000-000025B00000}"/>
    <cellStyle name="标题 2 2 3 7 3" xfId="45094" xr:uid="{00000000-0005-0000-0000-000026B00000}"/>
    <cellStyle name="标题 2 2 3 7 3 2" xfId="45095" xr:uid="{00000000-0005-0000-0000-000027B00000}"/>
    <cellStyle name="标题 2 2 3 8" xfId="45096" xr:uid="{00000000-0005-0000-0000-000028B00000}"/>
    <cellStyle name="标题 2 2 3 9" xfId="45097" xr:uid="{00000000-0005-0000-0000-000029B00000}"/>
    <cellStyle name="标题 2 2 4" xfId="45098" xr:uid="{00000000-0005-0000-0000-00002AB00000}"/>
    <cellStyle name="标题 2 2 4 2" xfId="45099" xr:uid="{00000000-0005-0000-0000-00002BB00000}"/>
    <cellStyle name="标题 2 2 4 2 2" xfId="45100" xr:uid="{00000000-0005-0000-0000-00002CB00000}"/>
    <cellStyle name="标题 2 2 4 2 3" xfId="45101" xr:uid="{00000000-0005-0000-0000-00002DB00000}"/>
    <cellStyle name="标题 2 2 4 2 3 2" xfId="45102" xr:uid="{00000000-0005-0000-0000-00002EB00000}"/>
    <cellStyle name="标题 2 2 4 2 3 2 2" xfId="45103" xr:uid="{00000000-0005-0000-0000-00002FB00000}"/>
    <cellStyle name="标题 2 2 4 2 4" xfId="45104" xr:uid="{00000000-0005-0000-0000-000030B00000}"/>
    <cellStyle name="标题 2 2 4 2 4 2" xfId="45105" xr:uid="{00000000-0005-0000-0000-000031B00000}"/>
    <cellStyle name="标题 2 2 4 3" xfId="45106" xr:uid="{00000000-0005-0000-0000-000032B00000}"/>
    <cellStyle name="标题 2 2 4 3 2" xfId="45107" xr:uid="{00000000-0005-0000-0000-000033B00000}"/>
    <cellStyle name="标题 2 2 4 3 2 2" xfId="45108" xr:uid="{00000000-0005-0000-0000-000034B00000}"/>
    <cellStyle name="标题 2 2 4 3 2 2 2" xfId="45109" xr:uid="{00000000-0005-0000-0000-000035B00000}"/>
    <cellStyle name="标题 2 2 4 3 3" xfId="45110" xr:uid="{00000000-0005-0000-0000-000036B00000}"/>
    <cellStyle name="标题 2 2 4 3 3 2" xfId="45111" xr:uid="{00000000-0005-0000-0000-000037B00000}"/>
    <cellStyle name="标题 2 2 4 4" xfId="45112" xr:uid="{00000000-0005-0000-0000-000038B00000}"/>
    <cellStyle name="标题 2 2 4 5" xfId="45113" xr:uid="{00000000-0005-0000-0000-000039B00000}"/>
    <cellStyle name="标题 2 2 4 6" xfId="45114" xr:uid="{00000000-0005-0000-0000-00003AB00000}"/>
    <cellStyle name="标题 2 2 5" xfId="45115" xr:uid="{00000000-0005-0000-0000-00003BB00000}"/>
    <cellStyle name="标题 2 2 5 2" xfId="45116" xr:uid="{00000000-0005-0000-0000-00003CB00000}"/>
    <cellStyle name="标题 2 2 5 2 2" xfId="45117" xr:uid="{00000000-0005-0000-0000-00003DB00000}"/>
    <cellStyle name="标题 2 2 5 2 3" xfId="45118" xr:uid="{00000000-0005-0000-0000-00003EB00000}"/>
    <cellStyle name="标题 2 2 5 2 3 2" xfId="45119" xr:uid="{00000000-0005-0000-0000-00003FB00000}"/>
    <cellStyle name="标题 2 2 5 2 3 2 2" xfId="45120" xr:uid="{00000000-0005-0000-0000-000040B00000}"/>
    <cellStyle name="标题 2 2 5 2 4" xfId="45121" xr:uid="{00000000-0005-0000-0000-000041B00000}"/>
    <cellStyle name="标题 2 2 5 2 4 2" xfId="45122" xr:uid="{00000000-0005-0000-0000-000042B00000}"/>
    <cellStyle name="标题 2 2 5 3" xfId="45123" xr:uid="{00000000-0005-0000-0000-000043B00000}"/>
    <cellStyle name="标题 2 2 5 4" xfId="45124" xr:uid="{00000000-0005-0000-0000-000044B00000}"/>
    <cellStyle name="标题 2 2 5 5" xfId="45125" xr:uid="{00000000-0005-0000-0000-000045B00000}"/>
    <cellStyle name="标题 2 2 5 6" xfId="45126" xr:uid="{00000000-0005-0000-0000-000046B00000}"/>
    <cellStyle name="标题 2 2 6" xfId="45127" xr:uid="{00000000-0005-0000-0000-000047B00000}"/>
    <cellStyle name="标题 2 2 6 2" xfId="45128" xr:uid="{00000000-0005-0000-0000-000048B00000}"/>
    <cellStyle name="标题 2 2 6 2 2" xfId="45129" xr:uid="{00000000-0005-0000-0000-000049B00000}"/>
    <cellStyle name="标题 2 2 6 2 2 2" xfId="45130" xr:uid="{00000000-0005-0000-0000-00004AB00000}"/>
    <cellStyle name="标题 2 2 6 2 2 2 2" xfId="45131" xr:uid="{00000000-0005-0000-0000-00004BB00000}"/>
    <cellStyle name="标题 2 2 6 2 3" xfId="45132" xr:uid="{00000000-0005-0000-0000-00004CB00000}"/>
    <cellStyle name="标题 2 2 6 2 3 2" xfId="45133" xr:uid="{00000000-0005-0000-0000-00004DB00000}"/>
    <cellStyle name="标题 2 2 6 3" xfId="45134" xr:uid="{00000000-0005-0000-0000-00004EB00000}"/>
    <cellStyle name="标题 2 2 6 3 2" xfId="45135" xr:uid="{00000000-0005-0000-0000-00004FB00000}"/>
    <cellStyle name="标题 2 2 6 3 2 2" xfId="45136" xr:uid="{00000000-0005-0000-0000-000050B00000}"/>
    <cellStyle name="标题 2 2 6 4" xfId="45137" xr:uid="{00000000-0005-0000-0000-000051B00000}"/>
    <cellStyle name="标题 2 2 6 4 2" xfId="45138" xr:uid="{00000000-0005-0000-0000-000052B00000}"/>
    <cellStyle name="标题 2 2 7" xfId="45139" xr:uid="{00000000-0005-0000-0000-000053B00000}"/>
    <cellStyle name="标题 2 2 7 2" xfId="45140" xr:uid="{00000000-0005-0000-0000-000054B00000}"/>
    <cellStyle name="标题 2 2 7 2 2" xfId="45141" xr:uid="{00000000-0005-0000-0000-000055B00000}"/>
    <cellStyle name="标题 2 2 7 2 2 2" xfId="45142" xr:uid="{00000000-0005-0000-0000-000056B00000}"/>
    <cellStyle name="标题 2 2 7 2 2 2 2" xfId="45143" xr:uid="{00000000-0005-0000-0000-000057B00000}"/>
    <cellStyle name="标题 2 2 7 2 3" xfId="45144" xr:uid="{00000000-0005-0000-0000-000058B00000}"/>
    <cellStyle name="标题 2 2 7 2 3 2" xfId="45145" xr:uid="{00000000-0005-0000-0000-000059B00000}"/>
    <cellStyle name="标题 2 2 7 3" xfId="45146" xr:uid="{00000000-0005-0000-0000-00005AB00000}"/>
    <cellStyle name="标题 2 2 7 3 2" xfId="45147" xr:uid="{00000000-0005-0000-0000-00005BB00000}"/>
    <cellStyle name="标题 2 2 7 3 2 2" xfId="45148" xr:uid="{00000000-0005-0000-0000-00005CB00000}"/>
    <cellStyle name="标题 2 2 7 4" xfId="45149" xr:uid="{00000000-0005-0000-0000-00005DB00000}"/>
    <cellStyle name="标题 2 2 7 4 2" xfId="45150" xr:uid="{00000000-0005-0000-0000-00005EB00000}"/>
    <cellStyle name="标题 2 2 8" xfId="45151" xr:uid="{00000000-0005-0000-0000-00005FB00000}"/>
    <cellStyle name="标题 2 2 8 2" xfId="45152" xr:uid="{00000000-0005-0000-0000-000060B00000}"/>
    <cellStyle name="标题 2 2 8 2 2" xfId="45153" xr:uid="{00000000-0005-0000-0000-000061B00000}"/>
    <cellStyle name="标题 2 2 8 2 2 2" xfId="45154" xr:uid="{00000000-0005-0000-0000-000062B00000}"/>
    <cellStyle name="标题 2 2 8 2 2 2 2" xfId="45155" xr:uid="{00000000-0005-0000-0000-000063B00000}"/>
    <cellStyle name="标题 2 2 8 2 3" xfId="45156" xr:uid="{00000000-0005-0000-0000-000064B00000}"/>
    <cellStyle name="标题 2 2 8 2 3 2" xfId="45157" xr:uid="{00000000-0005-0000-0000-000065B00000}"/>
    <cellStyle name="标题 2 2 8 3" xfId="45158" xr:uid="{00000000-0005-0000-0000-000066B00000}"/>
    <cellStyle name="标题 2 2 8 3 2" xfId="45159" xr:uid="{00000000-0005-0000-0000-000067B00000}"/>
    <cellStyle name="标题 2 2 8 3 2 2" xfId="45160" xr:uid="{00000000-0005-0000-0000-000068B00000}"/>
    <cellStyle name="标题 2 2 8 4" xfId="45161" xr:uid="{00000000-0005-0000-0000-000069B00000}"/>
    <cellStyle name="标题 2 2 8 4 2" xfId="45162" xr:uid="{00000000-0005-0000-0000-00006AB00000}"/>
    <cellStyle name="标题 2 2 9" xfId="45163" xr:uid="{00000000-0005-0000-0000-00006BB00000}"/>
    <cellStyle name="标题 2 2 9 2" xfId="45164" xr:uid="{00000000-0005-0000-0000-00006CB00000}"/>
    <cellStyle name="标题 2 2 9 2 2" xfId="45165" xr:uid="{00000000-0005-0000-0000-00006DB00000}"/>
    <cellStyle name="标题 2 2 9 2 2 2" xfId="45166" xr:uid="{00000000-0005-0000-0000-00006EB00000}"/>
    <cellStyle name="标题 2 2 9 3" xfId="45167" xr:uid="{00000000-0005-0000-0000-00006FB00000}"/>
    <cellStyle name="标题 2 2 9 3 2" xfId="45168" xr:uid="{00000000-0005-0000-0000-000070B00000}"/>
    <cellStyle name="标题 2 3" xfId="45169" xr:uid="{00000000-0005-0000-0000-000071B00000}"/>
    <cellStyle name="标题 2 3 2" xfId="45170" xr:uid="{00000000-0005-0000-0000-000072B00000}"/>
    <cellStyle name="标题 2 3 2 2" xfId="45171" xr:uid="{00000000-0005-0000-0000-000073B00000}"/>
    <cellStyle name="标题 2 3 2 2 2" xfId="45172" xr:uid="{00000000-0005-0000-0000-000074B00000}"/>
    <cellStyle name="标题 2 3 2 2 2 2" xfId="45173" xr:uid="{00000000-0005-0000-0000-000075B00000}"/>
    <cellStyle name="标题 2 3 2 2 2 3" xfId="45174" xr:uid="{00000000-0005-0000-0000-000076B00000}"/>
    <cellStyle name="标题 2 3 2 2 2 3 2" xfId="45175" xr:uid="{00000000-0005-0000-0000-000077B00000}"/>
    <cellStyle name="标题 2 3 2 2 2 3 2 2" xfId="45176" xr:uid="{00000000-0005-0000-0000-000078B00000}"/>
    <cellStyle name="标题 2 3 2 2 2 4" xfId="45177" xr:uid="{00000000-0005-0000-0000-000079B00000}"/>
    <cellStyle name="标题 2 3 2 2 2 4 2" xfId="45178" xr:uid="{00000000-0005-0000-0000-00007AB00000}"/>
    <cellStyle name="标题 2 3 2 2 3" xfId="45179" xr:uid="{00000000-0005-0000-0000-00007BB00000}"/>
    <cellStyle name="标题 2 3 2 2 3 2" xfId="45180" xr:uid="{00000000-0005-0000-0000-00007CB00000}"/>
    <cellStyle name="标题 2 3 2 2 3 2 2" xfId="45181" xr:uid="{00000000-0005-0000-0000-00007DB00000}"/>
    <cellStyle name="标题 2 3 2 2 3 2 2 2" xfId="45182" xr:uid="{00000000-0005-0000-0000-00007EB00000}"/>
    <cellStyle name="标题 2 3 2 2 3 3" xfId="45183" xr:uid="{00000000-0005-0000-0000-00007FB00000}"/>
    <cellStyle name="标题 2 3 2 2 3 3 2" xfId="45184" xr:uid="{00000000-0005-0000-0000-000080B00000}"/>
    <cellStyle name="标题 2 3 2 2 4" xfId="45185" xr:uid="{00000000-0005-0000-0000-000081B00000}"/>
    <cellStyle name="标题 2 3 2 2 5" xfId="45186" xr:uid="{00000000-0005-0000-0000-000082B00000}"/>
    <cellStyle name="标题 2 3 2 2 6" xfId="45187" xr:uid="{00000000-0005-0000-0000-000083B00000}"/>
    <cellStyle name="标题 2 3 2 3" xfId="45188" xr:uid="{00000000-0005-0000-0000-000084B00000}"/>
    <cellStyle name="标题 2 3 2 3 2" xfId="45189" xr:uid="{00000000-0005-0000-0000-000085B00000}"/>
    <cellStyle name="标题 2 3 2 3 3" xfId="45190" xr:uid="{00000000-0005-0000-0000-000086B00000}"/>
    <cellStyle name="标题 2 3 2 3 3 2" xfId="45191" xr:uid="{00000000-0005-0000-0000-000087B00000}"/>
    <cellStyle name="标题 2 3 2 3 3 2 2" xfId="45192" xr:uid="{00000000-0005-0000-0000-000088B00000}"/>
    <cellStyle name="标题 2 3 2 3 4" xfId="45193" xr:uid="{00000000-0005-0000-0000-000089B00000}"/>
    <cellStyle name="标题 2 3 2 3 4 2" xfId="45194" xr:uid="{00000000-0005-0000-0000-00008AB00000}"/>
    <cellStyle name="标题 2 3 2 4" xfId="45195" xr:uid="{00000000-0005-0000-0000-00008BB00000}"/>
    <cellStyle name="标题 2 3 2 4 2" xfId="45196" xr:uid="{00000000-0005-0000-0000-00008CB00000}"/>
    <cellStyle name="标题 2 3 2 4 2 2" xfId="45197" xr:uid="{00000000-0005-0000-0000-00008DB00000}"/>
    <cellStyle name="标题 2 3 2 4 2 2 2" xfId="45198" xr:uid="{00000000-0005-0000-0000-00008EB00000}"/>
    <cellStyle name="标题 2 3 2 4 3" xfId="45199" xr:uid="{00000000-0005-0000-0000-00008FB00000}"/>
    <cellStyle name="标题 2 3 2 4 3 2" xfId="45200" xr:uid="{00000000-0005-0000-0000-000090B00000}"/>
    <cellStyle name="标题 2 3 2 5" xfId="45201" xr:uid="{00000000-0005-0000-0000-000091B00000}"/>
    <cellStyle name="标题 2 3 2 6" xfId="45202" xr:uid="{00000000-0005-0000-0000-000092B00000}"/>
    <cellStyle name="标题 2 3 2 7" xfId="45203" xr:uid="{00000000-0005-0000-0000-000093B00000}"/>
    <cellStyle name="标题 2 3 3" xfId="45204" xr:uid="{00000000-0005-0000-0000-000094B00000}"/>
    <cellStyle name="标题 2 3 3 2" xfId="45205" xr:uid="{00000000-0005-0000-0000-000095B00000}"/>
    <cellStyle name="标题 2 3 3 2 2" xfId="45206" xr:uid="{00000000-0005-0000-0000-000096B00000}"/>
    <cellStyle name="标题 2 3 3 2 3" xfId="45207" xr:uid="{00000000-0005-0000-0000-000097B00000}"/>
    <cellStyle name="标题 2 3 3 2 3 2" xfId="45208" xr:uid="{00000000-0005-0000-0000-000098B00000}"/>
    <cellStyle name="标题 2 3 3 2 3 2 2" xfId="45209" xr:uid="{00000000-0005-0000-0000-000099B00000}"/>
    <cellStyle name="标题 2 3 3 2 4" xfId="45210" xr:uid="{00000000-0005-0000-0000-00009AB00000}"/>
    <cellStyle name="标题 2 3 3 2 4 2" xfId="45211" xr:uid="{00000000-0005-0000-0000-00009BB00000}"/>
    <cellStyle name="标题 2 3 3 3" xfId="45212" xr:uid="{00000000-0005-0000-0000-00009CB00000}"/>
    <cellStyle name="标题 2 3 3 3 2" xfId="45213" xr:uid="{00000000-0005-0000-0000-00009DB00000}"/>
    <cellStyle name="标题 2 3 3 3 2 2" xfId="45214" xr:uid="{00000000-0005-0000-0000-00009EB00000}"/>
    <cellStyle name="标题 2 3 3 3 2 2 2" xfId="45215" xr:uid="{00000000-0005-0000-0000-00009FB00000}"/>
    <cellStyle name="标题 2 3 3 3 3" xfId="45216" xr:uid="{00000000-0005-0000-0000-0000A0B00000}"/>
    <cellStyle name="标题 2 3 3 3 3 2" xfId="45217" xr:uid="{00000000-0005-0000-0000-0000A1B00000}"/>
    <cellStyle name="标题 2 3 3 4" xfId="45218" xr:uid="{00000000-0005-0000-0000-0000A2B00000}"/>
    <cellStyle name="标题 2 3 3 5" xfId="45219" xr:uid="{00000000-0005-0000-0000-0000A3B00000}"/>
    <cellStyle name="标题 2 3 3 6" xfId="45220" xr:uid="{00000000-0005-0000-0000-0000A4B00000}"/>
    <cellStyle name="标题 2 3 4" xfId="45221" xr:uid="{00000000-0005-0000-0000-0000A5B00000}"/>
    <cellStyle name="标题 2 3 4 2" xfId="45222" xr:uid="{00000000-0005-0000-0000-0000A6B00000}"/>
    <cellStyle name="标题 2 3 4 2 2" xfId="45223" xr:uid="{00000000-0005-0000-0000-0000A7B00000}"/>
    <cellStyle name="标题 2 3 4 2 3" xfId="45224" xr:uid="{00000000-0005-0000-0000-0000A8B00000}"/>
    <cellStyle name="标题 2 3 4 2 3 2" xfId="45225" xr:uid="{00000000-0005-0000-0000-0000A9B00000}"/>
    <cellStyle name="标题 2 3 4 2 3 2 2" xfId="45226" xr:uid="{00000000-0005-0000-0000-0000AAB00000}"/>
    <cellStyle name="标题 2 3 4 2 4" xfId="45227" xr:uid="{00000000-0005-0000-0000-0000ABB00000}"/>
    <cellStyle name="标题 2 3 4 2 4 2" xfId="45228" xr:uid="{00000000-0005-0000-0000-0000ACB00000}"/>
    <cellStyle name="标题 2 3 4 3" xfId="45229" xr:uid="{00000000-0005-0000-0000-0000ADB00000}"/>
    <cellStyle name="标题 2 3 4 4" xfId="45230" xr:uid="{00000000-0005-0000-0000-0000AEB00000}"/>
    <cellStyle name="标题 2 3 4 5" xfId="45231" xr:uid="{00000000-0005-0000-0000-0000AFB00000}"/>
    <cellStyle name="标题 2 3 4 6" xfId="45232" xr:uid="{00000000-0005-0000-0000-0000B0B00000}"/>
    <cellStyle name="标题 2 3 5" xfId="45233" xr:uid="{00000000-0005-0000-0000-0000B1B00000}"/>
    <cellStyle name="标题 2 3 5 2" xfId="45234" xr:uid="{00000000-0005-0000-0000-0000B2B00000}"/>
    <cellStyle name="标题 2 3 5 2 2" xfId="45235" xr:uid="{00000000-0005-0000-0000-0000B3B00000}"/>
    <cellStyle name="标题 2 3 5 2 2 2" xfId="45236" xr:uid="{00000000-0005-0000-0000-0000B4B00000}"/>
    <cellStyle name="标题 2 3 5 2 2 2 2" xfId="45237" xr:uid="{00000000-0005-0000-0000-0000B5B00000}"/>
    <cellStyle name="标题 2 3 5 2 3" xfId="45238" xr:uid="{00000000-0005-0000-0000-0000B6B00000}"/>
    <cellStyle name="标题 2 3 5 2 3 2" xfId="45239" xr:uid="{00000000-0005-0000-0000-0000B7B00000}"/>
    <cellStyle name="标题 2 3 5 3" xfId="45240" xr:uid="{00000000-0005-0000-0000-0000B8B00000}"/>
    <cellStyle name="标题 2 3 5 3 2" xfId="45241" xr:uid="{00000000-0005-0000-0000-0000B9B00000}"/>
    <cellStyle name="标题 2 3 5 3 2 2" xfId="45242" xr:uid="{00000000-0005-0000-0000-0000BAB00000}"/>
    <cellStyle name="标题 2 3 5 4" xfId="45243" xr:uid="{00000000-0005-0000-0000-0000BBB00000}"/>
    <cellStyle name="标题 2 3 5 4 2" xfId="45244" xr:uid="{00000000-0005-0000-0000-0000BCB00000}"/>
    <cellStyle name="标题 2 3 6" xfId="45245" xr:uid="{00000000-0005-0000-0000-0000BDB00000}"/>
    <cellStyle name="标题 2 3 6 2" xfId="45246" xr:uid="{00000000-0005-0000-0000-0000BEB00000}"/>
    <cellStyle name="标题 2 3 6 2 2" xfId="45247" xr:uid="{00000000-0005-0000-0000-0000BFB00000}"/>
    <cellStyle name="标题 2 3 6 2 2 2" xfId="45248" xr:uid="{00000000-0005-0000-0000-0000C0B00000}"/>
    <cellStyle name="标题 2 3 6 3" xfId="45249" xr:uid="{00000000-0005-0000-0000-0000C1B00000}"/>
    <cellStyle name="标题 2 3 6 3 2" xfId="45250" xr:uid="{00000000-0005-0000-0000-0000C2B00000}"/>
    <cellStyle name="标题 2 3 7" xfId="45251" xr:uid="{00000000-0005-0000-0000-0000C3B00000}"/>
    <cellStyle name="标题 2 3 8" xfId="45252" xr:uid="{00000000-0005-0000-0000-0000C4B00000}"/>
    <cellStyle name="标题 3 2" xfId="45253" xr:uid="{00000000-0005-0000-0000-0000C5B00000}"/>
    <cellStyle name="标题 3 2 10" xfId="45254" xr:uid="{00000000-0005-0000-0000-0000C6B00000}"/>
    <cellStyle name="标题 3 2 11" xfId="45255" xr:uid="{00000000-0005-0000-0000-0000C7B00000}"/>
    <cellStyle name="标题 3 2 2" xfId="45256" xr:uid="{00000000-0005-0000-0000-0000C8B00000}"/>
    <cellStyle name="标题 3 2 2 10" xfId="45257" xr:uid="{00000000-0005-0000-0000-0000C9B00000}"/>
    <cellStyle name="标题 3 2 2 11" xfId="45258" xr:uid="{00000000-0005-0000-0000-0000CAB00000}"/>
    <cellStyle name="标题 3 2 2 2" xfId="45259" xr:uid="{00000000-0005-0000-0000-0000CBB00000}"/>
    <cellStyle name="标题 3 2 2 2 2" xfId="45260" xr:uid="{00000000-0005-0000-0000-0000CCB00000}"/>
    <cellStyle name="标题 3 2 2 2 2 2" xfId="45261" xr:uid="{00000000-0005-0000-0000-0000CDB00000}"/>
    <cellStyle name="标题 3 2 2 2 2 2 2" xfId="45262" xr:uid="{00000000-0005-0000-0000-0000CEB00000}"/>
    <cellStyle name="标题 3 2 2 2 2 2 3" xfId="45263" xr:uid="{00000000-0005-0000-0000-0000CFB00000}"/>
    <cellStyle name="标题 3 2 2 2 2 2 3 2" xfId="45264" xr:uid="{00000000-0005-0000-0000-0000D0B00000}"/>
    <cellStyle name="标题 3 2 2 2 2 2 3 2 2" xfId="45265" xr:uid="{00000000-0005-0000-0000-0000D1B00000}"/>
    <cellStyle name="标题 3 2 2 2 2 2 4" xfId="45266" xr:uid="{00000000-0005-0000-0000-0000D2B00000}"/>
    <cellStyle name="标题 3 2 2 2 2 2 4 2" xfId="45267" xr:uid="{00000000-0005-0000-0000-0000D3B00000}"/>
    <cellStyle name="标题 3 2 2 2 2 3" xfId="45268" xr:uid="{00000000-0005-0000-0000-0000D4B00000}"/>
    <cellStyle name="标题 3 2 2 2 2 3 2" xfId="45269" xr:uid="{00000000-0005-0000-0000-0000D5B00000}"/>
    <cellStyle name="标题 3 2 2 2 2 3 2 2" xfId="45270" xr:uid="{00000000-0005-0000-0000-0000D6B00000}"/>
    <cellStyle name="标题 3 2 2 2 2 3 2 2 2" xfId="45271" xr:uid="{00000000-0005-0000-0000-0000D7B00000}"/>
    <cellStyle name="标题 3 2 2 2 2 3 3" xfId="45272" xr:uid="{00000000-0005-0000-0000-0000D8B00000}"/>
    <cellStyle name="标题 3 2 2 2 2 3 3 2" xfId="45273" xr:uid="{00000000-0005-0000-0000-0000D9B00000}"/>
    <cellStyle name="标题 3 2 2 2 2 4" xfId="45274" xr:uid="{00000000-0005-0000-0000-0000DAB00000}"/>
    <cellStyle name="标题 3 2 2 2 2 5" xfId="45275" xr:uid="{00000000-0005-0000-0000-0000DBB00000}"/>
    <cellStyle name="标题 3 2 2 2 2 6" xfId="45276" xr:uid="{00000000-0005-0000-0000-0000DCB00000}"/>
    <cellStyle name="标题 3 2 2 2 3" xfId="45277" xr:uid="{00000000-0005-0000-0000-0000DDB00000}"/>
    <cellStyle name="标题 3 2 2 2 3 2" xfId="45278" xr:uid="{00000000-0005-0000-0000-0000DEB00000}"/>
    <cellStyle name="标题 3 2 2 2 3 3" xfId="45279" xr:uid="{00000000-0005-0000-0000-0000DFB00000}"/>
    <cellStyle name="标题 3 2 2 2 3 3 2" xfId="45280" xr:uid="{00000000-0005-0000-0000-0000E0B00000}"/>
    <cellStyle name="标题 3 2 2 2 3 3 2 2" xfId="45281" xr:uid="{00000000-0005-0000-0000-0000E1B00000}"/>
    <cellStyle name="标题 3 2 2 2 3 4" xfId="45282" xr:uid="{00000000-0005-0000-0000-0000E2B00000}"/>
    <cellStyle name="标题 3 2 2 2 3 4 2" xfId="45283" xr:uid="{00000000-0005-0000-0000-0000E3B00000}"/>
    <cellStyle name="标题 3 2 2 2 4" xfId="45284" xr:uid="{00000000-0005-0000-0000-0000E4B00000}"/>
    <cellStyle name="标题 3 2 2 2 4 2" xfId="45285" xr:uid="{00000000-0005-0000-0000-0000E5B00000}"/>
    <cellStyle name="标题 3 2 2 2 4 2 2" xfId="45286" xr:uid="{00000000-0005-0000-0000-0000E6B00000}"/>
    <cellStyle name="标题 3 2 2 2 4 2 2 2" xfId="45287" xr:uid="{00000000-0005-0000-0000-0000E7B00000}"/>
    <cellStyle name="标题 3 2 2 2 4 3" xfId="45288" xr:uid="{00000000-0005-0000-0000-0000E8B00000}"/>
    <cellStyle name="标题 3 2 2 2 4 3 2" xfId="45289" xr:uid="{00000000-0005-0000-0000-0000E9B00000}"/>
    <cellStyle name="标题 3 2 2 2 5" xfId="45290" xr:uid="{00000000-0005-0000-0000-0000EAB00000}"/>
    <cellStyle name="标题 3 2 2 2 6" xfId="45291" xr:uid="{00000000-0005-0000-0000-0000EBB00000}"/>
    <cellStyle name="标题 3 2 2 2 7" xfId="45292" xr:uid="{00000000-0005-0000-0000-0000ECB00000}"/>
    <cellStyle name="标题 3 2 2 3" xfId="45293" xr:uid="{00000000-0005-0000-0000-0000EDB00000}"/>
    <cellStyle name="标题 3 2 2 3 2" xfId="45294" xr:uid="{00000000-0005-0000-0000-0000EEB00000}"/>
    <cellStyle name="标题 3 2 2 3 2 2" xfId="45295" xr:uid="{00000000-0005-0000-0000-0000EFB00000}"/>
    <cellStyle name="标题 3 2 2 3 2 3" xfId="45296" xr:uid="{00000000-0005-0000-0000-0000F0B00000}"/>
    <cellStyle name="标题 3 2 2 3 2 3 2" xfId="45297" xr:uid="{00000000-0005-0000-0000-0000F1B00000}"/>
    <cellStyle name="标题 3 2 2 3 2 3 2 2" xfId="45298" xr:uid="{00000000-0005-0000-0000-0000F2B00000}"/>
    <cellStyle name="标题 3 2 2 3 2 4" xfId="45299" xr:uid="{00000000-0005-0000-0000-0000F3B00000}"/>
    <cellStyle name="标题 3 2 2 3 2 4 2" xfId="45300" xr:uid="{00000000-0005-0000-0000-0000F4B00000}"/>
    <cellStyle name="标题 3 2 2 3 3" xfId="45301" xr:uid="{00000000-0005-0000-0000-0000F5B00000}"/>
    <cellStyle name="标题 3 2 2 3 3 2" xfId="45302" xr:uid="{00000000-0005-0000-0000-0000F6B00000}"/>
    <cellStyle name="标题 3 2 2 3 3 2 2" xfId="45303" xr:uid="{00000000-0005-0000-0000-0000F7B00000}"/>
    <cellStyle name="标题 3 2 2 3 3 2 2 2" xfId="45304" xr:uid="{00000000-0005-0000-0000-0000F8B00000}"/>
    <cellStyle name="标题 3 2 2 3 3 3" xfId="45305" xr:uid="{00000000-0005-0000-0000-0000F9B00000}"/>
    <cellStyle name="标题 3 2 2 3 3 3 2" xfId="45306" xr:uid="{00000000-0005-0000-0000-0000FAB00000}"/>
    <cellStyle name="标题 3 2 2 3 4" xfId="45307" xr:uid="{00000000-0005-0000-0000-0000FBB00000}"/>
    <cellStyle name="标题 3 2 2 3 5" xfId="45308" xr:uid="{00000000-0005-0000-0000-0000FCB00000}"/>
    <cellStyle name="标题 3 2 2 3 6" xfId="45309" xr:uid="{00000000-0005-0000-0000-0000FDB00000}"/>
    <cellStyle name="标题 3 2 2 4" xfId="45310" xr:uid="{00000000-0005-0000-0000-0000FEB00000}"/>
    <cellStyle name="标题 3 2 2 4 2" xfId="45311" xr:uid="{00000000-0005-0000-0000-0000FFB00000}"/>
    <cellStyle name="标题 3 2 2 4 2 2" xfId="45312" xr:uid="{00000000-0005-0000-0000-000000B10000}"/>
    <cellStyle name="标题 3 2 2 4 2 3" xfId="45313" xr:uid="{00000000-0005-0000-0000-000001B10000}"/>
    <cellStyle name="标题 3 2 2 4 2 3 2" xfId="45314" xr:uid="{00000000-0005-0000-0000-000002B10000}"/>
    <cellStyle name="标题 3 2 2 4 2 3 2 2" xfId="45315" xr:uid="{00000000-0005-0000-0000-000003B10000}"/>
    <cellStyle name="标题 3 2 2 4 2 4" xfId="45316" xr:uid="{00000000-0005-0000-0000-000004B10000}"/>
    <cellStyle name="标题 3 2 2 4 2 4 2" xfId="45317" xr:uid="{00000000-0005-0000-0000-000005B10000}"/>
    <cellStyle name="标题 3 2 2 4 3" xfId="45318" xr:uid="{00000000-0005-0000-0000-000006B10000}"/>
    <cellStyle name="标题 3 2 2 4 4" xfId="45319" xr:uid="{00000000-0005-0000-0000-000007B10000}"/>
    <cellStyle name="标题 3 2 2 4 5" xfId="45320" xr:uid="{00000000-0005-0000-0000-000008B10000}"/>
    <cellStyle name="标题 3 2 2 4 6" xfId="45321" xr:uid="{00000000-0005-0000-0000-000009B10000}"/>
    <cellStyle name="标题 3 2 2 5" xfId="45322" xr:uid="{00000000-0005-0000-0000-00000AB10000}"/>
    <cellStyle name="标题 3 2 2 5 2" xfId="45323" xr:uid="{00000000-0005-0000-0000-00000BB10000}"/>
    <cellStyle name="标题 3 2 2 5 2 2" xfId="45324" xr:uid="{00000000-0005-0000-0000-00000CB10000}"/>
    <cellStyle name="标题 3 2 2 5 2 2 2" xfId="45325" xr:uid="{00000000-0005-0000-0000-00000DB10000}"/>
    <cellStyle name="标题 3 2 2 5 2 2 2 2" xfId="45326" xr:uid="{00000000-0005-0000-0000-00000EB10000}"/>
    <cellStyle name="标题 3 2 2 5 2 3" xfId="45327" xr:uid="{00000000-0005-0000-0000-00000FB10000}"/>
    <cellStyle name="标题 3 2 2 5 2 3 2" xfId="45328" xr:uid="{00000000-0005-0000-0000-000010B10000}"/>
    <cellStyle name="标题 3 2 2 5 3" xfId="45329" xr:uid="{00000000-0005-0000-0000-000011B10000}"/>
    <cellStyle name="标题 3 2 2 5 3 2" xfId="45330" xr:uid="{00000000-0005-0000-0000-000012B10000}"/>
    <cellStyle name="标题 3 2 2 5 3 2 2" xfId="45331" xr:uid="{00000000-0005-0000-0000-000013B10000}"/>
    <cellStyle name="标题 3 2 2 5 4" xfId="45332" xr:uid="{00000000-0005-0000-0000-000014B10000}"/>
    <cellStyle name="标题 3 2 2 5 4 2" xfId="45333" xr:uid="{00000000-0005-0000-0000-000015B10000}"/>
    <cellStyle name="标题 3 2 2 6" xfId="45334" xr:uid="{00000000-0005-0000-0000-000016B10000}"/>
    <cellStyle name="标题 3 2 2 6 2" xfId="45335" xr:uid="{00000000-0005-0000-0000-000017B10000}"/>
    <cellStyle name="标题 3 2 2 6 2 2" xfId="45336" xr:uid="{00000000-0005-0000-0000-000018B10000}"/>
    <cellStyle name="标题 3 2 2 6 2 2 2" xfId="45337" xr:uid="{00000000-0005-0000-0000-000019B10000}"/>
    <cellStyle name="标题 3 2 2 6 2 2 2 2" xfId="45338" xr:uid="{00000000-0005-0000-0000-00001AB10000}"/>
    <cellStyle name="标题 3 2 2 6 2 3" xfId="45339" xr:uid="{00000000-0005-0000-0000-00001BB10000}"/>
    <cellStyle name="标题 3 2 2 6 2 3 2" xfId="45340" xr:uid="{00000000-0005-0000-0000-00001CB10000}"/>
    <cellStyle name="标题 3 2 2 6 3" xfId="45341" xr:uid="{00000000-0005-0000-0000-00001DB10000}"/>
    <cellStyle name="标题 3 2 2 6 3 2" xfId="45342" xr:uid="{00000000-0005-0000-0000-00001EB10000}"/>
    <cellStyle name="标题 3 2 2 6 3 2 2" xfId="45343" xr:uid="{00000000-0005-0000-0000-00001FB10000}"/>
    <cellStyle name="标题 3 2 2 6 4" xfId="45344" xr:uid="{00000000-0005-0000-0000-000020B10000}"/>
    <cellStyle name="标题 3 2 2 6 4 2" xfId="45345" xr:uid="{00000000-0005-0000-0000-000021B10000}"/>
    <cellStyle name="标题 3 2 2 7" xfId="45346" xr:uid="{00000000-0005-0000-0000-000022B10000}"/>
    <cellStyle name="标题 3 2 2 7 2" xfId="45347" xr:uid="{00000000-0005-0000-0000-000023B10000}"/>
    <cellStyle name="标题 3 2 2 7 2 2" xfId="45348" xr:uid="{00000000-0005-0000-0000-000024B10000}"/>
    <cellStyle name="标题 3 2 2 7 2 2 2" xfId="45349" xr:uid="{00000000-0005-0000-0000-000025B10000}"/>
    <cellStyle name="标题 3 2 2 7 2 2 2 2" xfId="45350" xr:uid="{00000000-0005-0000-0000-000026B10000}"/>
    <cellStyle name="标题 3 2 2 7 2 3" xfId="45351" xr:uid="{00000000-0005-0000-0000-000027B10000}"/>
    <cellStyle name="标题 3 2 2 7 2 3 2" xfId="45352" xr:uid="{00000000-0005-0000-0000-000028B10000}"/>
    <cellStyle name="标题 3 2 2 7 3" xfId="45353" xr:uid="{00000000-0005-0000-0000-000029B10000}"/>
    <cellStyle name="标题 3 2 2 7 3 2" xfId="45354" xr:uid="{00000000-0005-0000-0000-00002AB10000}"/>
    <cellStyle name="标题 3 2 2 7 3 2 2" xfId="45355" xr:uid="{00000000-0005-0000-0000-00002BB10000}"/>
    <cellStyle name="标题 3 2 2 7 4" xfId="45356" xr:uid="{00000000-0005-0000-0000-00002CB10000}"/>
    <cellStyle name="标题 3 2 2 7 4 2" xfId="45357" xr:uid="{00000000-0005-0000-0000-00002DB10000}"/>
    <cellStyle name="标题 3 2 2 8" xfId="45358" xr:uid="{00000000-0005-0000-0000-00002EB10000}"/>
    <cellStyle name="标题 3 2 2 8 2" xfId="45359" xr:uid="{00000000-0005-0000-0000-00002FB10000}"/>
    <cellStyle name="标题 3 2 2 8 2 2" xfId="45360" xr:uid="{00000000-0005-0000-0000-000030B10000}"/>
    <cellStyle name="标题 3 2 2 8 2 2 2" xfId="45361" xr:uid="{00000000-0005-0000-0000-000031B10000}"/>
    <cellStyle name="标题 3 2 2 8 3" xfId="45362" xr:uid="{00000000-0005-0000-0000-000032B10000}"/>
    <cellStyle name="标题 3 2 2 8 3 2" xfId="45363" xr:uid="{00000000-0005-0000-0000-000033B10000}"/>
    <cellStyle name="标题 3 2 2 9" xfId="45364" xr:uid="{00000000-0005-0000-0000-000034B10000}"/>
    <cellStyle name="标题 3 2 2 9 2" xfId="45365" xr:uid="{00000000-0005-0000-0000-000035B10000}"/>
    <cellStyle name="标题 3 2 2 9 2 2" xfId="45366" xr:uid="{00000000-0005-0000-0000-000036B10000}"/>
    <cellStyle name="标题 3 2 2 9 2 2 2" xfId="45367" xr:uid="{00000000-0005-0000-0000-000037B10000}"/>
    <cellStyle name="标题 3 2 2 9 3" xfId="45368" xr:uid="{00000000-0005-0000-0000-000038B10000}"/>
    <cellStyle name="标题 3 2 2 9 3 2" xfId="45369" xr:uid="{00000000-0005-0000-0000-000039B10000}"/>
    <cellStyle name="标题 3 2 3" xfId="45370" xr:uid="{00000000-0005-0000-0000-00003AB10000}"/>
    <cellStyle name="标题 3 2 3 2" xfId="45371" xr:uid="{00000000-0005-0000-0000-00003BB10000}"/>
    <cellStyle name="标题 3 2 3 2 2" xfId="45372" xr:uid="{00000000-0005-0000-0000-00003CB10000}"/>
    <cellStyle name="标题 3 2 3 2 2 2" xfId="45373" xr:uid="{00000000-0005-0000-0000-00003DB10000}"/>
    <cellStyle name="标题 3 2 3 2 2 2 2" xfId="45374" xr:uid="{00000000-0005-0000-0000-00003EB10000}"/>
    <cellStyle name="标题 3 2 3 2 2 2 3" xfId="45375" xr:uid="{00000000-0005-0000-0000-00003FB10000}"/>
    <cellStyle name="标题 3 2 3 2 2 2 3 2" xfId="45376" xr:uid="{00000000-0005-0000-0000-000040B10000}"/>
    <cellStyle name="标题 3 2 3 2 2 2 3 2 2" xfId="45377" xr:uid="{00000000-0005-0000-0000-000041B10000}"/>
    <cellStyle name="标题 3 2 3 2 2 2 4" xfId="45378" xr:uid="{00000000-0005-0000-0000-000042B10000}"/>
    <cellStyle name="标题 3 2 3 2 2 2 4 2" xfId="45379" xr:uid="{00000000-0005-0000-0000-000043B10000}"/>
    <cellStyle name="标题 3 2 3 2 2 3" xfId="45380" xr:uid="{00000000-0005-0000-0000-000044B10000}"/>
    <cellStyle name="标题 3 2 3 2 2 3 2" xfId="45381" xr:uid="{00000000-0005-0000-0000-000045B10000}"/>
    <cellStyle name="标题 3 2 3 2 2 3 2 2" xfId="45382" xr:uid="{00000000-0005-0000-0000-000046B10000}"/>
    <cellStyle name="标题 3 2 3 2 2 3 2 2 2" xfId="45383" xr:uid="{00000000-0005-0000-0000-000047B10000}"/>
    <cellStyle name="标题 3 2 3 2 2 3 3" xfId="45384" xr:uid="{00000000-0005-0000-0000-000048B10000}"/>
    <cellStyle name="标题 3 2 3 2 2 3 3 2" xfId="45385" xr:uid="{00000000-0005-0000-0000-000049B10000}"/>
    <cellStyle name="标题 3 2 3 2 2 4" xfId="45386" xr:uid="{00000000-0005-0000-0000-00004AB10000}"/>
    <cellStyle name="标题 3 2 3 2 2 5" xfId="45387" xr:uid="{00000000-0005-0000-0000-00004BB10000}"/>
    <cellStyle name="标题 3 2 3 2 2 6" xfId="45388" xr:uid="{00000000-0005-0000-0000-00004CB10000}"/>
    <cellStyle name="标题 3 2 3 2 3" xfId="45389" xr:uid="{00000000-0005-0000-0000-00004DB10000}"/>
    <cellStyle name="标题 3 2 3 2 3 2" xfId="45390" xr:uid="{00000000-0005-0000-0000-00004EB10000}"/>
    <cellStyle name="标题 3 2 3 2 3 3" xfId="45391" xr:uid="{00000000-0005-0000-0000-00004FB10000}"/>
    <cellStyle name="标题 3 2 3 2 3 3 2" xfId="45392" xr:uid="{00000000-0005-0000-0000-000050B10000}"/>
    <cellStyle name="标题 3 2 3 2 3 3 2 2" xfId="45393" xr:uid="{00000000-0005-0000-0000-000051B10000}"/>
    <cellStyle name="标题 3 2 3 2 3 4" xfId="45394" xr:uid="{00000000-0005-0000-0000-000052B10000}"/>
    <cellStyle name="标题 3 2 3 2 3 4 2" xfId="45395" xr:uid="{00000000-0005-0000-0000-000053B10000}"/>
    <cellStyle name="标题 3 2 3 2 4" xfId="45396" xr:uid="{00000000-0005-0000-0000-000054B10000}"/>
    <cellStyle name="标题 3 2 3 2 4 2" xfId="45397" xr:uid="{00000000-0005-0000-0000-000055B10000}"/>
    <cellStyle name="标题 3 2 3 2 4 2 2" xfId="45398" xr:uid="{00000000-0005-0000-0000-000056B10000}"/>
    <cellStyle name="标题 3 2 3 2 4 2 2 2" xfId="45399" xr:uid="{00000000-0005-0000-0000-000057B10000}"/>
    <cellStyle name="标题 3 2 3 2 4 3" xfId="45400" xr:uid="{00000000-0005-0000-0000-000058B10000}"/>
    <cellStyle name="标题 3 2 3 2 4 3 2" xfId="45401" xr:uid="{00000000-0005-0000-0000-000059B10000}"/>
    <cellStyle name="标题 3 2 3 2 5" xfId="45402" xr:uid="{00000000-0005-0000-0000-00005AB10000}"/>
    <cellStyle name="标题 3 2 3 2 6" xfId="45403" xr:uid="{00000000-0005-0000-0000-00005BB10000}"/>
    <cellStyle name="标题 3 2 3 2 7" xfId="45404" xr:uid="{00000000-0005-0000-0000-00005CB10000}"/>
    <cellStyle name="标题 3 2 3 3" xfId="45405" xr:uid="{00000000-0005-0000-0000-00005DB10000}"/>
    <cellStyle name="标题 3 2 3 3 2" xfId="45406" xr:uid="{00000000-0005-0000-0000-00005EB10000}"/>
    <cellStyle name="标题 3 2 3 3 2 2" xfId="45407" xr:uid="{00000000-0005-0000-0000-00005FB10000}"/>
    <cellStyle name="标题 3 2 3 3 2 3" xfId="45408" xr:uid="{00000000-0005-0000-0000-000060B10000}"/>
    <cellStyle name="标题 3 2 3 3 2 3 2" xfId="45409" xr:uid="{00000000-0005-0000-0000-000061B10000}"/>
    <cellStyle name="标题 3 2 3 3 2 3 2 2" xfId="45410" xr:uid="{00000000-0005-0000-0000-000062B10000}"/>
    <cellStyle name="标题 3 2 3 3 2 4" xfId="45411" xr:uid="{00000000-0005-0000-0000-000063B10000}"/>
    <cellStyle name="标题 3 2 3 3 2 4 2" xfId="45412" xr:uid="{00000000-0005-0000-0000-000064B10000}"/>
    <cellStyle name="标题 3 2 3 3 3" xfId="45413" xr:uid="{00000000-0005-0000-0000-000065B10000}"/>
    <cellStyle name="标题 3 2 3 3 3 2" xfId="45414" xr:uid="{00000000-0005-0000-0000-000066B10000}"/>
    <cellStyle name="标题 3 2 3 3 3 2 2" xfId="45415" xr:uid="{00000000-0005-0000-0000-000067B10000}"/>
    <cellStyle name="标题 3 2 3 3 3 2 2 2" xfId="45416" xr:uid="{00000000-0005-0000-0000-000068B10000}"/>
    <cellStyle name="标题 3 2 3 3 3 3" xfId="45417" xr:uid="{00000000-0005-0000-0000-000069B10000}"/>
    <cellStyle name="标题 3 2 3 3 3 3 2" xfId="45418" xr:uid="{00000000-0005-0000-0000-00006AB10000}"/>
    <cellStyle name="标题 3 2 3 3 4" xfId="45419" xr:uid="{00000000-0005-0000-0000-00006BB10000}"/>
    <cellStyle name="标题 3 2 3 3 5" xfId="45420" xr:uid="{00000000-0005-0000-0000-00006CB10000}"/>
    <cellStyle name="标题 3 2 3 3 6" xfId="45421" xr:uid="{00000000-0005-0000-0000-00006DB10000}"/>
    <cellStyle name="标题 3 2 3 4" xfId="45422" xr:uid="{00000000-0005-0000-0000-00006EB10000}"/>
    <cellStyle name="标题 3 2 3 4 2" xfId="45423" xr:uid="{00000000-0005-0000-0000-00006FB10000}"/>
    <cellStyle name="标题 3 2 3 4 2 2" xfId="45424" xr:uid="{00000000-0005-0000-0000-000070B10000}"/>
    <cellStyle name="标题 3 2 3 4 2 3" xfId="45425" xr:uid="{00000000-0005-0000-0000-000071B10000}"/>
    <cellStyle name="标题 3 2 3 4 2 3 2" xfId="45426" xr:uid="{00000000-0005-0000-0000-000072B10000}"/>
    <cellStyle name="标题 3 2 3 4 2 3 2 2" xfId="45427" xr:uid="{00000000-0005-0000-0000-000073B10000}"/>
    <cellStyle name="标题 3 2 3 4 2 4" xfId="45428" xr:uid="{00000000-0005-0000-0000-000074B10000}"/>
    <cellStyle name="标题 3 2 3 4 2 4 2" xfId="45429" xr:uid="{00000000-0005-0000-0000-000075B10000}"/>
    <cellStyle name="标题 3 2 3 4 3" xfId="45430" xr:uid="{00000000-0005-0000-0000-000076B10000}"/>
    <cellStyle name="标题 3 2 3 4 4" xfId="45431" xr:uid="{00000000-0005-0000-0000-000077B10000}"/>
    <cellStyle name="标题 3 2 3 4 5" xfId="45432" xr:uid="{00000000-0005-0000-0000-000078B10000}"/>
    <cellStyle name="标题 3 2 3 4 6" xfId="45433" xr:uid="{00000000-0005-0000-0000-000079B10000}"/>
    <cellStyle name="标题 3 2 3 5" xfId="45434" xr:uid="{00000000-0005-0000-0000-00007AB10000}"/>
    <cellStyle name="标题 3 2 3 5 2" xfId="45435" xr:uid="{00000000-0005-0000-0000-00007BB10000}"/>
    <cellStyle name="标题 3 2 3 5 2 2" xfId="45436" xr:uid="{00000000-0005-0000-0000-00007CB10000}"/>
    <cellStyle name="标题 3 2 3 5 2 2 2" xfId="45437" xr:uid="{00000000-0005-0000-0000-00007DB10000}"/>
    <cellStyle name="标题 3 2 3 5 2 2 2 2" xfId="45438" xr:uid="{00000000-0005-0000-0000-00007EB10000}"/>
    <cellStyle name="标题 3 2 3 5 2 3" xfId="45439" xr:uid="{00000000-0005-0000-0000-00007FB10000}"/>
    <cellStyle name="标题 3 2 3 5 2 3 2" xfId="45440" xr:uid="{00000000-0005-0000-0000-000080B10000}"/>
    <cellStyle name="标题 3 2 3 5 3" xfId="45441" xr:uid="{00000000-0005-0000-0000-000081B10000}"/>
    <cellStyle name="标题 3 2 3 5 3 2" xfId="45442" xr:uid="{00000000-0005-0000-0000-000082B10000}"/>
    <cellStyle name="标题 3 2 3 5 3 2 2" xfId="45443" xr:uid="{00000000-0005-0000-0000-000083B10000}"/>
    <cellStyle name="标题 3 2 3 5 4" xfId="45444" xr:uid="{00000000-0005-0000-0000-000084B10000}"/>
    <cellStyle name="标题 3 2 3 5 4 2" xfId="45445" xr:uid="{00000000-0005-0000-0000-000085B10000}"/>
    <cellStyle name="标题 3 2 3 6" xfId="45446" xr:uid="{00000000-0005-0000-0000-000086B10000}"/>
    <cellStyle name="标题 3 2 3 6 2" xfId="45447" xr:uid="{00000000-0005-0000-0000-000087B10000}"/>
    <cellStyle name="标题 3 2 3 6 2 2" xfId="45448" xr:uid="{00000000-0005-0000-0000-000088B10000}"/>
    <cellStyle name="标题 3 2 3 6 2 2 2" xfId="45449" xr:uid="{00000000-0005-0000-0000-000089B10000}"/>
    <cellStyle name="标题 3 2 3 6 3" xfId="45450" xr:uid="{00000000-0005-0000-0000-00008AB10000}"/>
    <cellStyle name="标题 3 2 3 6 3 2" xfId="45451" xr:uid="{00000000-0005-0000-0000-00008BB10000}"/>
    <cellStyle name="标题 3 2 3 7" xfId="45452" xr:uid="{00000000-0005-0000-0000-00008CB10000}"/>
    <cellStyle name="标题 3 2 3 7 2" xfId="45453" xr:uid="{00000000-0005-0000-0000-00008DB10000}"/>
    <cellStyle name="标题 3 2 3 7 2 2" xfId="45454" xr:uid="{00000000-0005-0000-0000-00008EB10000}"/>
    <cellStyle name="标题 3 2 3 7 2 2 2" xfId="45455" xr:uid="{00000000-0005-0000-0000-00008FB10000}"/>
    <cellStyle name="标题 3 2 3 7 3" xfId="45456" xr:uid="{00000000-0005-0000-0000-000090B10000}"/>
    <cellStyle name="标题 3 2 3 7 3 2" xfId="45457" xr:uid="{00000000-0005-0000-0000-000091B10000}"/>
    <cellStyle name="标题 3 2 3 8" xfId="45458" xr:uid="{00000000-0005-0000-0000-000092B10000}"/>
    <cellStyle name="标题 3 2 3 9" xfId="45459" xr:uid="{00000000-0005-0000-0000-000093B10000}"/>
    <cellStyle name="标题 3 2 4" xfId="45460" xr:uid="{00000000-0005-0000-0000-000094B10000}"/>
    <cellStyle name="标题 3 2 4 2" xfId="45461" xr:uid="{00000000-0005-0000-0000-000095B10000}"/>
    <cellStyle name="标题 3 2 4 2 2" xfId="45462" xr:uid="{00000000-0005-0000-0000-000096B10000}"/>
    <cellStyle name="标题 3 2 4 2 3" xfId="45463" xr:uid="{00000000-0005-0000-0000-000097B10000}"/>
    <cellStyle name="标题 3 2 4 2 3 2" xfId="45464" xr:uid="{00000000-0005-0000-0000-000098B10000}"/>
    <cellStyle name="标题 3 2 4 2 3 2 2" xfId="45465" xr:uid="{00000000-0005-0000-0000-000099B10000}"/>
    <cellStyle name="标题 3 2 4 2 4" xfId="45466" xr:uid="{00000000-0005-0000-0000-00009AB10000}"/>
    <cellStyle name="标题 3 2 4 2 4 2" xfId="45467" xr:uid="{00000000-0005-0000-0000-00009BB10000}"/>
    <cellStyle name="标题 3 2 4 3" xfId="45468" xr:uid="{00000000-0005-0000-0000-00009CB10000}"/>
    <cellStyle name="标题 3 2 4 3 2" xfId="45469" xr:uid="{00000000-0005-0000-0000-00009DB10000}"/>
    <cellStyle name="标题 3 2 4 3 2 2" xfId="45470" xr:uid="{00000000-0005-0000-0000-00009EB10000}"/>
    <cellStyle name="标题 3 2 4 3 2 2 2" xfId="45471" xr:uid="{00000000-0005-0000-0000-00009FB10000}"/>
    <cellStyle name="标题 3 2 4 3 3" xfId="45472" xr:uid="{00000000-0005-0000-0000-0000A0B10000}"/>
    <cellStyle name="标题 3 2 4 3 3 2" xfId="45473" xr:uid="{00000000-0005-0000-0000-0000A1B10000}"/>
    <cellStyle name="标题 3 2 4 4" xfId="45474" xr:uid="{00000000-0005-0000-0000-0000A2B10000}"/>
    <cellStyle name="标题 3 2 4 5" xfId="45475" xr:uid="{00000000-0005-0000-0000-0000A3B10000}"/>
    <cellStyle name="标题 3 2 4 6" xfId="45476" xr:uid="{00000000-0005-0000-0000-0000A4B10000}"/>
    <cellStyle name="标题 3 2 5" xfId="45477" xr:uid="{00000000-0005-0000-0000-0000A5B10000}"/>
    <cellStyle name="标题 3 2 5 2" xfId="45478" xr:uid="{00000000-0005-0000-0000-0000A6B10000}"/>
    <cellStyle name="标题 3 2 5 2 2" xfId="45479" xr:uid="{00000000-0005-0000-0000-0000A7B10000}"/>
    <cellStyle name="标题 3 2 5 2 3" xfId="45480" xr:uid="{00000000-0005-0000-0000-0000A8B10000}"/>
    <cellStyle name="标题 3 2 5 2 3 2" xfId="45481" xr:uid="{00000000-0005-0000-0000-0000A9B10000}"/>
    <cellStyle name="标题 3 2 5 2 3 2 2" xfId="45482" xr:uid="{00000000-0005-0000-0000-0000AAB10000}"/>
    <cellStyle name="标题 3 2 5 2 4" xfId="45483" xr:uid="{00000000-0005-0000-0000-0000ABB10000}"/>
    <cellStyle name="标题 3 2 5 2 4 2" xfId="45484" xr:uid="{00000000-0005-0000-0000-0000ACB10000}"/>
    <cellStyle name="标题 3 2 5 3" xfId="45485" xr:uid="{00000000-0005-0000-0000-0000ADB10000}"/>
    <cellStyle name="标题 3 2 5 4" xfId="45486" xr:uid="{00000000-0005-0000-0000-0000AEB10000}"/>
    <cellStyle name="标题 3 2 5 5" xfId="45487" xr:uid="{00000000-0005-0000-0000-0000AFB10000}"/>
    <cellStyle name="标题 3 2 5 6" xfId="45488" xr:uid="{00000000-0005-0000-0000-0000B0B10000}"/>
    <cellStyle name="标题 3 2 6" xfId="45489" xr:uid="{00000000-0005-0000-0000-0000B1B10000}"/>
    <cellStyle name="标题 3 2 6 2" xfId="45490" xr:uid="{00000000-0005-0000-0000-0000B2B10000}"/>
    <cellStyle name="标题 3 2 6 2 2" xfId="45491" xr:uid="{00000000-0005-0000-0000-0000B3B10000}"/>
    <cellStyle name="标题 3 2 6 2 2 2" xfId="45492" xr:uid="{00000000-0005-0000-0000-0000B4B10000}"/>
    <cellStyle name="标题 3 2 6 2 2 2 2" xfId="45493" xr:uid="{00000000-0005-0000-0000-0000B5B10000}"/>
    <cellStyle name="标题 3 2 6 2 3" xfId="45494" xr:uid="{00000000-0005-0000-0000-0000B6B10000}"/>
    <cellStyle name="标题 3 2 6 2 3 2" xfId="45495" xr:uid="{00000000-0005-0000-0000-0000B7B10000}"/>
    <cellStyle name="标题 3 2 6 3" xfId="45496" xr:uid="{00000000-0005-0000-0000-0000B8B10000}"/>
    <cellStyle name="标题 3 2 6 3 2" xfId="45497" xr:uid="{00000000-0005-0000-0000-0000B9B10000}"/>
    <cellStyle name="标题 3 2 6 3 2 2" xfId="45498" xr:uid="{00000000-0005-0000-0000-0000BAB10000}"/>
    <cellStyle name="标题 3 2 6 4" xfId="45499" xr:uid="{00000000-0005-0000-0000-0000BBB10000}"/>
    <cellStyle name="标题 3 2 6 4 2" xfId="45500" xr:uid="{00000000-0005-0000-0000-0000BCB10000}"/>
    <cellStyle name="标题 3 2 7" xfId="45501" xr:uid="{00000000-0005-0000-0000-0000BDB10000}"/>
    <cellStyle name="标题 3 2 7 2" xfId="45502" xr:uid="{00000000-0005-0000-0000-0000BEB10000}"/>
    <cellStyle name="标题 3 2 7 2 2" xfId="45503" xr:uid="{00000000-0005-0000-0000-0000BFB10000}"/>
    <cellStyle name="标题 3 2 7 2 2 2" xfId="45504" xr:uid="{00000000-0005-0000-0000-0000C0B10000}"/>
    <cellStyle name="标题 3 2 7 2 2 2 2" xfId="45505" xr:uid="{00000000-0005-0000-0000-0000C1B10000}"/>
    <cellStyle name="标题 3 2 7 2 3" xfId="45506" xr:uid="{00000000-0005-0000-0000-0000C2B10000}"/>
    <cellStyle name="标题 3 2 7 2 3 2" xfId="45507" xr:uid="{00000000-0005-0000-0000-0000C3B10000}"/>
    <cellStyle name="标题 3 2 7 3" xfId="45508" xr:uid="{00000000-0005-0000-0000-0000C4B10000}"/>
    <cellStyle name="标题 3 2 7 3 2" xfId="45509" xr:uid="{00000000-0005-0000-0000-0000C5B10000}"/>
    <cellStyle name="标题 3 2 7 3 2 2" xfId="45510" xr:uid="{00000000-0005-0000-0000-0000C6B10000}"/>
    <cellStyle name="标题 3 2 7 4" xfId="45511" xr:uid="{00000000-0005-0000-0000-0000C7B10000}"/>
    <cellStyle name="标题 3 2 7 4 2" xfId="45512" xr:uid="{00000000-0005-0000-0000-0000C8B10000}"/>
    <cellStyle name="标题 3 2 8" xfId="45513" xr:uid="{00000000-0005-0000-0000-0000C9B10000}"/>
    <cellStyle name="标题 3 2 8 2" xfId="45514" xr:uid="{00000000-0005-0000-0000-0000CAB10000}"/>
    <cellStyle name="标题 3 2 8 2 2" xfId="45515" xr:uid="{00000000-0005-0000-0000-0000CBB10000}"/>
    <cellStyle name="标题 3 2 8 2 2 2" xfId="45516" xr:uid="{00000000-0005-0000-0000-0000CCB10000}"/>
    <cellStyle name="标题 3 2 8 2 2 2 2" xfId="45517" xr:uid="{00000000-0005-0000-0000-0000CDB10000}"/>
    <cellStyle name="标题 3 2 8 2 3" xfId="45518" xr:uid="{00000000-0005-0000-0000-0000CEB10000}"/>
    <cellStyle name="标题 3 2 8 2 3 2" xfId="45519" xr:uid="{00000000-0005-0000-0000-0000CFB10000}"/>
    <cellStyle name="标题 3 2 8 3" xfId="45520" xr:uid="{00000000-0005-0000-0000-0000D0B10000}"/>
    <cellStyle name="标题 3 2 8 3 2" xfId="45521" xr:uid="{00000000-0005-0000-0000-0000D1B10000}"/>
    <cellStyle name="标题 3 2 8 3 2 2" xfId="45522" xr:uid="{00000000-0005-0000-0000-0000D2B10000}"/>
    <cellStyle name="标题 3 2 8 4" xfId="45523" xr:uid="{00000000-0005-0000-0000-0000D3B10000}"/>
    <cellStyle name="标题 3 2 8 4 2" xfId="45524" xr:uid="{00000000-0005-0000-0000-0000D4B10000}"/>
    <cellStyle name="标题 3 2 9" xfId="45525" xr:uid="{00000000-0005-0000-0000-0000D5B10000}"/>
    <cellStyle name="标题 3 2 9 2" xfId="45526" xr:uid="{00000000-0005-0000-0000-0000D6B10000}"/>
    <cellStyle name="标题 3 2 9 2 2" xfId="45527" xr:uid="{00000000-0005-0000-0000-0000D7B10000}"/>
    <cellStyle name="标题 3 2 9 2 2 2" xfId="45528" xr:uid="{00000000-0005-0000-0000-0000D8B10000}"/>
    <cellStyle name="标题 3 2 9 3" xfId="45529" xr:uid="{00000000-0005-0000-0000-0000D9B10000}"/>
    <cellStyle name="标题 3 2 9 3 2" xfId="45530" xr:uid="{00000000-0005-0000-0000-0000DAB10000}"/>
    <cellStyle name="标题 3 3" xfId="45531" xr:uid="{00000000-0005-0000-0000-0000DBB10000}"/>
    <cellStyle name="标题 3 3 2" xfId="45532" xr:uid="{00000000-0005-0000-0000-0000DCB10000}"/>
    <cellStyle name="标题 3 3 2 2" xfId="45533" xr:uid="{00000000-0005-0000-0000-0000DDB10000}"/>
    <cellStyle name="标题 3 3 2 2 2" xfId="45534" xr:uid="{00000000-0005-0000-0000-0000DEB10000}"/>
    <cellStyle name="标题 3 3 2 2 2 2" xfId="45535" xr:uid="{00000000-0005-0000-0000-0000DFB10000}"/>
    <cellStyle name="标题 3 3 2 2 2 3" xfId="45536" xr:uid="{00000000-0005-0000-0000-0000E0B10000}"/>
    <cellStyle name="标题 3 3 2 2 2 3 2" xfId="45537" xr:uid="{00000000-0005-0000-0000-0000E1B10000}"/>
    <cellStyle name="标题 3 3 2 2 2 3 2 2" xfId="45538" xr:uid="{00000000-0005-0000-0000-0000E2B10000}"/>
    <cellStyle name="标题 3 3 2 2 2 4" xfId="45539" xr:uid="{00000000-0005-0000-0000-0000E3B10000}"/>
    <cellStyle name="标题 3 3 2 2 2 4 2" xfId="45540" xr:uid="{00000000-0005-0000-0000-0000E4B10000}"/>
    <cellStyle name="标题 3 3 2 2 3" xfId="45541" xr:uid="{00000000-0005-0000-0000-0000E5B10000}"/>
    <cellStyle name="标题 3 3 2 2 3 2" xfId="45542" xr:uid="{00000000-0005-0000-0000-0000E6B10000}"/>
    <cellStyle name="标题 3 3 2 2 3 2 2" xfId="45543" xr:uid="{00000000-0005-0000-0000-0000E7B10000}"/>
    <cellStyle name="标题 3 3 2 2 3 2 2 2" xfId="45544" xr:uid="{00000000-0005-0000-0000-0000E8B10000}"/>
    <cellStyle name="标题 3 3 2 2 3 3" xfId="45545" xr:uid="{00000000-0005-0000-0000-0000E9B10000}"/>
    <cellStyle name="标题 3 3 2 2 3 3 2" xfId="45546" xr:uid="{00000000-0005-0000-0000-0000EAB10000}"/>
    <cellStyle name="标题 3 3 2 2 4" xfId="45547" xr:uid="{00000000-0005-0000-0000-0000EBB10000}"/>
    <cellStyle name="标题 3 3 2 2 5" xfId="45548" xr:uid="{00000000-0005-0000-0000-0000ECB10000}"/>
    <cellStyle name="标题 3 3 2 2 6" xfId="45549" xr:uid="{00000000-0005-0000-0000-0000EDB10000}"/>
    <cellStyle name="标题 3 3 2 3" xfId="45550" xr:uid="{00000000-0005-0000-0000-0000EEB10000}"/>
    <cellStyle name="标题 3 3 2 3 2" xfId="45551" xr:uid="{00000000-0005-0000-0000-0000EFB10000}"/>
    <cellStyle name="标题 3 3 2 3 3" xfId="45552" xr:uid="{00000000-0005-0000-0000-0000F0B10000}"/>
    <cellStyle name="标题 3 3 2 3 3 2" xfId="45553" xr:uid="{00000000-0005-0000-0000-0000F1B10000}"/>
    <cellStyle name="标题 3 3 2 3 3 2 2" xfId="45554" xr:uid="{00000000-0005-0000-0000-0000F2B10000}"/>
    <cellStyle name="标题 3 3 2 3 4" xfId="45555" xr:uid="{00000000-0005-0000-0000-0000F3B10000}"/>
    <cellStyle name="标题 3 3 2 3 4 2" xfId="45556" xr:uid="{00000000-0005-0000-0000-0000F4B10000}"/>
    <cellStyle name="标题 3 3 2 4" xfId="45557" xr:uid="{00000000-0005-0000-0000-0000F5B10000}"/>
    <cellStyle name="标题 3 3 2 4 2" xfId="45558" xr:uid="{00000000-0005-0000-0000-0000F6B10000}"/>
    <cellStyle name="标题 3 3 2 4 2 2" xfId="45559" xr:uid="{00000000-0005-0000-0000-0000F7B10000}"/>
    <cellStyle name="标题 3 3 2 4 2 2 2" xfId="45560" xr:uid="{00000000-0005-0000-0000-0000F8B10000}"/>
    <cellStyle name="标题 3 3 2 4 3" xfId="45561" xr:uid="{00000000-0005-0000-0000-0000F9B10000}"/>
    <cellStyle name="标题 3 3 2 4 3 2" xfId="45562" xr:uid="{00000000-0005-0000-0000-0000FAB10000}"/>
    <cellStyle name="标题 3 3 2 5" xfId="45563" xr:uid="{00000000-0005-0000-0000-0000FBB10000}"/>
    <cellStyle name="标题 3 3 2 6" xfId="45564" xr:uid="{00000000-0005-0000-0000-0000FCB10000}"/>
    <cellStyle name="标题 3 3 2 7" xfId="45565" xr:uid="{00000000-0005-0000-0000-0000FDB10000}"/>
    <cellStyle name="标题 3 3 3" xfId="45566" xr:uid="{00000000-0005-0000-0000-0000FEB10000}"/>
    <cellStyle name="标题 3 3 3 2" xfId="45567" xr:uid="{00000000-0005-0000-0000-0000FFB10000}"/>
    <cellStyle name="标题 3 3 3 2 2" xfId="45568" xr:uid="{00000000-0005-0000-0000-000000B20000}"/>
    <cellStyle name="标题 3 3 3 2 3" xfId="45569" xr:uid="{00000000-0005-0000-0000-000001B20000}"/>
    <cellStyle name="标题 3 3 3 2 3 2" xfId="45570" xr:uid="{00000000-0005-0000-0000-000002B20000}"/>
    <cellStyle name="标题 3 3 3 2 3 2 2" xfId="45571" xr:uid="{00000000-0005-0000-0000-000003B20000}"/>
    <cellStyle name="标题 3 3 3 2 4" xfId="45572" xr:uid="{00000000-0005-0000-0000-000004B20000}"/>
    <cellStyle name="标题 3 3 3 2 4 2" xfId="45573" xr:uid="{00000000-0005-0000-0000-000005B20000}"/>
    <cellStyle name="标题 3 3 3 3" xfId="45574" xr:uid="{00000000-0005-0000-0000-000006B20000}"/>
    <cellStyle name="标题 3 3 3 3 2" xfId="45575" xr:uid="{00000000-0005-0000-0000-000007B20000}"/>
    <cellStyle name="标题 3 3 3 3 2 2" xfId="45576" xr:uid="{00000000-0005-0000-0000-000008B20000}"/>
    <cellStyle name="标题 3 3 3 3 2 2 2" xfId="45577" xr:uid="{00000000-0005-0000-0000-000009B20000}"/>
    <cellStyle name="标题 3 3 3 3 3" xfId="45578" xr:uid="{00000000-0005-0000-0000-00000AB20000}"/>
    <cellStyle name="标题 3 3 3 3 3 2" xfId="45579" xr:uid="{00000000-0005-0000-0000-00000BB20000}"/>
    <cellStyle name="标题 3 3 3 4" xfId="45580" xr:uid="{00000000-0005-0000-0000-00000CB20000}"/>
    <cellStyle name="标题 3 3 3 5" xfId="45581" xr:uid="{00000000-0005-0000-0000-00000DB20000}"/>
    <cellStyle name="标题 3 3 3 6" xfId="45582" xr:uid="{00000000-0005-0000-0000-00000EB20000}"/>
    <cellStyle name="标题 3 3 4" xfId="45583" xr:uid="{00000000-0005-0000-0000-00000FB20000}"/>
    <cellStyle name="标题 3 3 4 2" xfId="45584" xr:uid="{00000000-0005-0000-0000-000010B20000}"/>
    <cellStyle name="标题 3 3 4 2 2" xfId="45585" xr:uid="{00000000-0005-0000-0000-000011B20000}"/>
    <cellStyle name="标题 3 3 4 2 3" xfId="45586" xr:uid="{00000000-0005-0000-0000-000012B20000}"/>
    <cellStyle name="标题 3 3 4 2 3 2" xfId="45587" xr:uid="{00000000-0005-0000-0000-000013B20000}"/>
    <cellStyle name="标题 3 3 4 2 3 2 2" xfId="45588" xr:uid="{00000000-0005-0000-0000-000014B20000}"/>
    <cellStyle name="标题 3 3 4 2 4" xfId="45589" xr:uid="{00000000-0005-0000-0000-000015B20000}"/>
    <cellStyle name="标题 3 3 4 2 4 2" xfId="45590" xr:uid="{00000000-0005-0000-0000-000016B20000}"/>
    <cellStyle name="标题 3 3 4 3" xfId="45591" xr:uid="{00000000-0005-0000-0000-000017B20000}"/>
    <cellStyle name="标题 3 3 4 4" xfId="45592" xr:uid="{00000000-0005-0000-0000-000018B20000}"/>
    <cellStyle name="标题 3 3 4 5" xfId="45593" xr:uid="{00000000-0005-0000-0000-000019B20000}"/>
    <cellStyle name="标题 3 3 4 6" xfId="45594" xr:uid="{00000000-0005-0000-0000-00001AB20000}"/>
    <cellStyle name="标题 3 3 5" xfId="45595" xr:uid="{00000000-0005-0000-0000-00001BB20000}"/>
    <cellStyle name="标题 3 3 5 2" xfId="45596" xr:uid="{00000000-0005-0000-0000-00001CB20000}"/>
    <cellStyle name="标题 3 3 5 2 2" xfId="45597" xr:uid="{00000000-0005-0000-0000-00001DB20000}"/>
    <cellStyle name="标题 3 3 5 2 2 2" xfId="45598" xr:uid="{00000000-0005-0000-0000-00001EB20000}"/>
    <cellStyle name="标题 3 3 5 2 2 2 2" xfId="45599" xr:uid="{00000000-0005-0000-0000-00001FB20000}"/>
    <cellStyle name="标题 3 3 5 2 3" xfId="45600" xr:uid="{00000000-0005-0000-0000-000020B20000}"/>
    <cellStyle name="标题 3 3 5 2 3 2" xfId="45601" xr:uid="{00000000-0005-0000-0000-000021B20000}"/>
    <cellStyle name="标题 3 3 5 3" xfId="45602" xr:uid="{00000000-0005-0000-0000-000022B20000}"/>
    <cellStyle name="标题 3 3 5 3 2" xfId="45603" xr:uid="{00000000-0005-0000-0000-000023B20000}"/>
    <cellStyle name="标题 3 3 5 3 2 2" xfId="45604" xr:uid="{00000000-0005-0000-0000-000024B20000}"/>
    <cellStyle name="标题 3 3 5 4" xfId="45605" xr:uid="{00000000-0005-0000-0000-000025B20000}"/>
    <cellStyle name="标题 3 3 5 4 2" xfId="45606" xr:uid="{00000000-0005-0000-0000-000026B20000}"/>
    <cellStyle name="标题 3 3 6" xfId="45607" xr:uid="{00000000-0005-0000-0000-000027B20000}"/>
    <cellStyle name="标题 3 3 6 2" xfId="45608" xr:uid="{00000000-0005-0000-0000-000028B20000}"/>
    <cellStyle name="标题 3 3 6 2 2" xfId="45609" xr:uid="{00000000-0005-0000-0000-000029B20000}"/>
    <cellStyle name="标题 3 3 6 2 2 2" xfId="45610" xr:uid="{00000000-0005-0000-0000-00002AB20000}"/>
    <cellStyle name="标题 3 3 6 3" xfId="45611" xr:uid="{00000000-0005-0000-0000-00002BB20000}"/>
    <cellStyle name="标题 3 3 6 3 2" xfId="45612" xr:uid="{00000000-0005-0000-0000-00002CB20000}"/>
    <cellStyle name="标题 3 3 7" xfId="45613" xr:uid="{00000000-0005-0000-0000-00002DB20000}"/>
    <cellStyle name="标题 3 3 8" xfId="45614" xr:uid="{00000000-0005-0000-0000-00002EB20000}"/>
    <cellStyle name="标题 4 2" xfId="45615" xr:uid="{00000000-0005-0000-0000-00002FB20000}"/>
    <cellStyle name="标题 4 2 10" xfId="45616" xr:uid="{00000000-0005-0000-0000-000030B20000}"/>
    <cellStyle name="标题 4 2 11" xfId="45617" xr:uid="{00000000-0005-0000-0000-000031B20000}"/>
    <cellStyle name="标题 4 2 2" xfId="45618" xr:uid="{00000000-0005-0000-0000-000032B20000}"/>
    <cellStyle name="标题 4 2 2 10" xfId="45619" xr:uid="{00000000-0005-0000-0000-000033B20000}"/>
    <cellStyle name="标题 4 2 2 11" xfId="45620" xr:uid="{00000000-0005-0000-0000-000034B20000}"/>
    <cellStyle name="标题 4 2 2 2" xfId="45621" xr:uid="{00000000-0005-0000-0000-000035B20000}"/>
    <cellStyle name="标题 4 2 2 2 2" xfId="45622" xr:uid="{00000000-0005-0000-0000-000036B20000}"/>
    <cellStyle name="标题 4 2 2 2 2 2" xfId="45623" xr:uid="{00000000-0005-0000-0000-000037B20000}"/>
    <cellStyle name="标题 4 2 2 2 2 2 2" xfId="45624" xr:uid="{00000000-0005-0000-0000-000038B20000}"/>
    <cellStyle name="标题 4 2 2 2 2 2 3" xfId="45625" xr:uid="{00000000-0005-0000-0000-000039B20000}"/>
    <cellStyle name="标题 4 2 2 2 2 2 3 2" xfId="45626" xr:uid="{00000000-0005-0000-0000-00003AB20000}"/>
    <cellStyle name="标题 4 2 2 2 2 2 3 2 2" xfId="45627" xr:uid="{00000000-0005-0000-0000-00003BB20000}"/>
    <cellStyle name="标题 4 2 2 2 2 2 4" xfId="45628" xr:uid="{00000000-0005-0000-0000-00003CB20000}"/>
    <cellStyle name="标题 4 2 2 2 2 2 4 2" xfId="45629" xr:uid="{00000000-0005-0000-0000-00003DB20000}"/>
    <cellStyle name="标题 4 2 2 2 2 3" xfId="45630" xr:uid="{00000000-0005-0000-0000-00003EB20000}"/>
    <cellStyle name="标题 4 2 2 2 2 3 2" xfId="45631" xr:uid="{00000000-0005-0000-0000-00003FB20000}"/>
    <cellStyle name="标题 4 2 2 2 2 3 2 2" xfId="45632" xr:uid="{00000000-0005-0000-0000-000040B20000}"/>
    <cellStyle name="标题 4 2 2 2 2 3 2 2 2" xfId="45633" xr:uid="{00000000-0005-0000-0000-000041B20000}"/>
    <cellStyle name="标题 4 2 2 2 2 3 3" xfId="45634" xr:uid="{00000000-0005-0000-0000-000042B20000}"/>
    <cellStyle name="标题 4 2 2 2 2 3 3 2" xfId="45635" xr:uid="{00000000-0005-0000-0000-000043B20000}"/>
    <cellStyle name="标题 4 2 2 2 2 4" xfId="45636" xr:uid="{00000000-0005-0000-0000-000044B20000}"/>
    <cellStyle name="标题 4 2 2 2 2 5" xfId="45637" xr:uid="{00000000-0005-0000-0000-000045B20000}"/>
    <cellStyle name="标题 4 2 2 2 2 6" xfId="45638" xr:uid="{00000000-0005-0000-0000-000046B20000}"/>
    <cellStyle name="标题 4 2 2 2 3" xfId="45639" xr:uid="{00000000-0005-0000-0000-000047B20000}"/>
    <cellStyle name="标题 4 2 2 2 3 2" xfId="45640" xr:uid="{00000000-0005-0000-0000-000048B20000}"/>
    <cellStyle name="标题 4 2 2 2 3 3" xfId="45641" xr:uid="{00000000-0005-0000-0000-000049B20000}"/>
    <cellStyle name="标题 4 2 2 2 3 3 2" xfId="45642" xr:uid="{00000000-0005-0000-0000-00004AB20000}"/>
    <cellStyle name="标题 4 2 2 2 3 3 2 2" xfId="45643" xr:uid="{00000000-0005-0000-0000-00004BB20000}"/>
    <cellStyle name="标题 4 2 2 2 3 4" xfId="45644" xr:uid="{00000000-0005-0000-0000-00004CB20000}"/>
    <cellStyle name="标题 4 2 2 2 3 4 2" xfId="45645" xr:uid="{00000000-0005-0000-0000-00004DB20000}"/>
    <cellStyle name="标题 4 2 2 2 4" xfId="45646" xr:uid="{00000000-0005-0000-0000-00004EB20000}"/>
    <cellStyle name="标题 4 2 2 2 4 2" xfId="45647" xr:uid="{00000000-0005-0000-0000-00004FB20000}"/>
    <cellStyle name="标题 4 2 2 2 4 2 2" xfId="45648" xr:uid="{00000000-0005-0000-0000-000050B20000}"/>
    <cellStyle name="标题 4 2 2 2 4 2 2 2" xfId="45649" xr:uid="{00000000-0005-0000-0000-000051B20000}"/>
    <cellStyle name="标题 4 2 2 2 4 3" xfId="45650" xr:uid="{00000000-0005-0000-0000-000052B20000}"/>
    <cellStyle name="标题 4 2 2 2 4 3 2" xfId="45651" xr:uid="{00000000-0005-0000-0000-000053B20000}"/>
    <cellStyle name="标题 4 2 2 2 5" xfId="45652" xr:uid="{00000000-0005-0000-0000-000054B20000}"/>
    <cellStyle name="标题 4 2 2 2 6" xfId="45653" xr:uid="{00000000-0005-0000-0000-000055B20000}"/>
    <cellStyle name="标题 4 2 2 2 7" xfId="45654" xr:uid="{00000000-0005-0000-0000-000056B20000}"/>
    <cellStyle name="标题 4 2 2 3" xfId="45655" xr:uid="{00000000-0005-0000-0000-000057B20000}"/>
    <cellStyle name="标题 4 2 2 3 2" xfId="45656" xr:uid="{00000000-0005-0000-0000-000058B20000}"/>
    <cellStyle name="标题 4 2 2 3 2 2" xfId="45657" xr:uid="{00000000-0005-0000-0000-000059B20000}"/>
    <cellStyle name="标题 4 2 2 3 2 3" xfId="45658" xr:uid="{00000000-0005-0000-0000-00005AB20000}"/>
    <cellStyle name="标题 4 2 2 3 2 3 2" xfId="45659" xr:uid="{00000000-0005-0000-0000-00005BB20000}"/>
    <cellStyle name="标题 4 2 2 3 2 3 2 2" xfId="45660" xr:uid="{00000000-0005-0000-0000-00005CB20000}"/>
    <cellStyle name="标题 4 2 2 3 2 4" xfId="45661" xr:uid="{00000000-0005-0000-0000-00005DB20000}"/>
    <cellStyle name="标题 4 2 2 3 2 4 2" xfId="45662" xr:uid="{00000000-0005-0000-0000-00005EB20000}"/>
    <cellStyle name="标题 4 2 2 3 3" xfId="45663" xr:uid="{00000000-0005-0000-0000-00005FB20000}"/>
    <cellStyle name="标题 4 2 2 3 3 2" xfId="45664" xr:uid="{00000000-0005-0000-0000-000060B20000}"/>
    <cellStyle name="标题 4 2 2 3 3 2 2" xfId="45665" xr:uid="{00000000-0005-0000-0000-000061B20000}"/>
    <cellStyle name="标题 4 2 2 3 3 2 2 2" xfId="45666" xr:uid="{00000000-0005-0000-0000-000062B20000}"/>
    <cellStyle name="标题 4 2 2 3 3 3" xfId="45667" xr:uid="{00000000-0005-0000-0000-000063B20000}"/>
    <cellStyle name="标题 4 2 2 3 3 3 2" xfId="45668" xr:uid="{00000000-0005-0000-0000-000064B20000}"/>
    <cellStyle name="标题 4 2 2 3 4" xfId="45669" xr:uid="{00000000-0005-0000-0000-000065B20000}"/>
    <cellStyle name="标题 4 2 2 3 5" xfId="45670" xr:uid="{00000000-0005-0000-0000-000066B20000}"/>
    <cellStyle name="标题 4 2 2 3 6" xfId="45671" xr:uid="{00000000-0005-0000-0000-000067B20000}"/>
    <cellStyle name="标题 4 2 2 4" xfId="45672" xr:uid="{00000000-0005-0000-0000-000068B20000}"/>
    <cellStyle name="标题 4 2 2 4 2" xfId="45673" xr:uid="{00000000-0005-0000-0000-000069B20000}"/>
    <cellStyle name="标题 4 2 2 4 2 2" xfId="45674" xr:uid="{00000000-0005-0000-0000-00006AB20000}"/>
    <cellStyle name="标题 4 2 2 4 2 3" xfId="45675" xr:uid="{00000000-0005-0000-0000-00006BB20000}"/>
    <cellStyle name="标题 4 2 2 4 2 3 2" xfId="45676" xr:uid="{00000000-0005-0000-0000-00006CB20000}"/>
    <cellStyle name="标题 4 2 2 4 2 3 2 2" xfId="45677" xr:uid="{00000000-0005-0000-0000-00006DB20000}"/>
    <cellStyle name="标题 4 2 2 4 2 4" xfId="45678" xr:uid="{00000000-0005-0000-0000-00006EB20000}"/>
    <cellStyle name="标题 4 2 2 4 2 4 2" xfId="45679" xr:uid="{00000000-0005-0000-0000-00006FB20000}"/>
    <cellStyle name="标题 4 2 2 4 3" xfId="45680" xr:uid="{00000000-0005-0000-0000-000070B20000}"/>
    <cellStyle name="标题 4 2 2 4 4" xfId="45681" xr:uid="{00000000-0005-0000-0000-000071B20000}"/>
    <cellStyle name="标题 4 2 2 4 5" xfId="45682" xr:uid="{00000000-0005-0000-0000-000072B20000}"/>
    <cellStyle name="标题 4 2 2 4 6" xfId="45683" xr:uid="{00000000-0005-0000-0000-000073B20000}"/>
    <cellStyle name="标题 4 2 2 5" xfId="45684" xr:uid="{00000000-0005-0000-0000-000074B20000}"/>
    <cellStyle name="标题 4 2 2 5 2" xfId="45685" xr:uid="{00000000-0005-0000-0000-000075B20000}"/>
    <cellStyle name="标题 4 2 2 5 2 2" xfId="45686" xr:uid="{00000000-0005-0000-0000-000076B20000}"/>
    <cellStyle name="标题 4 2 2 5 2 2 2" xfId="45687" xr:uid="{00000000-0005-0000-0000-000077B20000}"/>
    <cellStyle name="标题 4 2 2 5 2 2 2 2" xfId="45688" xr:uid="{00000000-0005-0000-0000-000078B20000}"/>
    <cellStyle name="标题 4 2 2 5 2 3" xfId="45689" xr:uid="{00000000-0005-0000-0000-000079B20000}"/>
    <cellStyle name="标题 4 2 2 5 2 3 2" xfId="45690" xr:uid="{00000000-0005-0000-0000-00007AB20000}"/>
    <cellStyle name="标题 4 2 2 5 3" xfId="45691" xr:uid="{00000000-0005-0000-0000-00007BB20000}"/>
    <cellStyle name="标题 4 2 2 5 3 2" xfId="45692" xr:uid="{00000000-0005-0000-0000-00007CB20000}"/>
    <cellStyle name="标题 4 2 2 5 3 2 2" xfId="45693" xr:uid="{00000000-0005-0000-0000-00007DB20000}"/>
    <cellStyle name="标题 4 2 2 5 4" xfId="45694" xr:uid="{00000000-0005-0000-0000-00007EB20000}"/>
    <cellStyle name="标题 4 2 2 5 4 2" xfId="45695" xr:uid="{00000000-0005-0000-0000-00007FB20000}"/>
    <cellStyle name="标题 4 2 2 6" xfId="45696" xr:uid="{00000000-0005-0000-0000-000080B20000}"/>
    <cellStyle name="标题 4 2 2 6 2" xfId="45697" xr:uid="{00000000-0005-0000-0000-000081B20000}"/>
    <cellStyle name="标题 4 2 2 6 2 2" xfId="45698" xr:uid="{00000000-0005-0000-0000-000082B20000}"/>
    <cellStyle name="标题 4 2 2 6 2 2 2" xfId="45699" xr:uid="{00000000-0005-0000-0000-000083B20000}"/>
    <cellStyle name="标题 4 2 2 6 2 2 2 2" xfId="45700" xr:uid="{00000000-0005-0000-0000-000084B20000}"/>
    <cellStyle name="标题 4 2 2 6 2 3" xfId="45701" xr:uid="{00000000-0005-0000-0000-000085B20000}"/>
    <cellStyle name="标题 4 2 2 6 2 3 2" xfId="45702" xr:uid="{00000000-0005-0000-0000-000086B20000}"/>
    <cellStyle name="标题 4 2 2 6 3" xfId="45703" xr:uid="{00000000-0005-0000-0000-000087B20000}"/>
    <cellStyle name="标题 4 2 2 6 3 2" xfId="45704" xr:uid="{00000000-0005-0000-0000-000088B20000}"/>
    <cellStyle name="标题 4 2 2 6 3 2 2" xfId="45705" xr:uid="{00000000-0005-0000-0000-000089B20000}"/>
    <cellStyle name="标题 4 2 2 6 4" xfId="45706" xr:uid="{00000000-0005-0000-0000-00008AB20000}"/>
    <cellStyle name="标题 4 2 2 6 4 2" xfId="45707" xr:uid="{00000000-0005-0000-0000-00008BB20000}"/>
    <cellStyle name="标题 4 2 2 7" xfId="45708" xr:uid="{00000000-0005-0000-0000-00008CB20000}"/>
    <cellStyle name="标题 4 2 2 7 2" xfId="45709" xr:uid="{00000000-0005-0000-0000-00008DB20000}"/>
    <cellStyle name="标题 4 2 2 7 2 2" xfId="45710" xr:uid="{00000000-0005-0000-0000-00008EB20000}"/>
    <cellStyle name="标题 4 2 2 7 2 2 2" xfId="45711" xr:uid="{00000000-0005-0000-0000-00008FB20000}"/>
    <cellStyle name="标题 4 2 2 7 2 2 2 2" xfId="45712" xr:uid="{00000000-0005-0000-0000-000090B20000}"/>
    <cellStyle name="标题 4 2 2 7 2 3" xfId="45713" xr:uid="{00000000-0005-0000-0000-000091B20000}"/>
    <cellStyle name="标题 4 2 2 7 2 3 2" xfId="45714" xr:uid="{00000000-0005-0000-0000-000092B20000}"/>
    <cellStyle name="标题 4 2 2 7 3" xfId="45715" xr:uid="{00000000-0005-0000-0000-000093B20000}"/>
    <cellStyle name="标题 4 2 2 7 3 2" xfId="45716" xr:uid="{00000000-0005-0000-0000-000094B20000}"/>
    <cellStyle name="标题 4 2 2 7 3 2 2" xfId="45717" xr:uid="{00000000-0005-0000-0000-000095B20000}"/>
    <cellStyle name="标题 4 2 2 7 4" xfId="45718" xr:uid="{00000000-0005-0000-0000-000096B20000}"/>
    <cellStyle name="标题 4 2 2 7 4 2" xfId="45719" xr:uid="{00000000-0005-0000-0000-000097B20000}"/>
    <cellStyle name="标题 4 2 2 8" xfId="45720" xr:uid="{00000000-0005-0000-0000-000098B20000}"/>
    <cellStyle name="标题 4 2 2 8 2" xfId="45721" xr:uid="{00000000-0005-0000-0000-000099B20000}"/>
    <cellStyle name="标题 4 2 2 8 2 2" xfId="45722" xr:uid="{00000000-0005-0000-0000-00009AB20000}"/>
    <cellStyle name="标题 4 2 2 8 2 2 2" xfId="45723" xr:uid="{00000000-0005-0000-0000-00009BB20000}"/>
    <cellStyle name="标题 4 2 2 8 3" xfId="45724" xr:uid="{00000000-0005-0000-0000-00009CB20000}"/>
    <cellStyle name="标题 4 2 2 8 3 2" xfId="45725" xr:uid="{00000000-0005-0000-0000-00009DB20000}"/>
    <cellStyle name="标题 4 2 2 9" xfId="45726" xr:uid="{00000000-0005-0000-0000-00009EB20000}"/>
    <cellStyle name="标题 4 2 2 9 2" xfId="45727" xr:uid="{00000000-0005-0000-0000-00009FB20000}"/>
    <cellStyle name="标题 4 2 2 9 2 2" xfId="45728" xr:uid="{00000000-0005-0000-0000-0000A0B20000}"/>
    <cellStyle name="标题 4 2 2 9 2 2 2" xfId="45729" xr:uid="{00000000-0005-0000-0000-0000A1B20000}"/>
    <cellStyle name="标题 4 2 2 9 3" xfId="45730" xr:uid="{00000000-0005-0000-0000-0000A2B20000}"/>
    <cellStyle name="标题 4 2 2 9 3 2" xfId="45731" xr:uid="{00000000-0005-0000-0000-0000A3B20000}"/>
    <cellStyle name="标题 4 2 3" xfId="45732" xr:uid="{00000000-0005-0000-0000-0000A4B20000}"/>
    <cellStyle name="标题 4 2 3 2" xfId="45733" xr:uid="{00000000-0005-0000-0000-0000A5B20000}"/>
    <cellStyle name="标题 4 2 3 2 2" xfId="45734" xr:uid="{00000000-0005-0000-0000-0000A6B20000}"/>
    <cellStyle name="标题 4 2 3 2 2 2" xfId="45735" xr:uid="{00000000-0005-0000-0000-0000A7B20000}"/>
    <cellStyle name="标题 4 2 3 2 2 2 2" xfId="45736" xr:uid="{00000000-0005-0000-0000-0000A8B20000}"/>
    <cellStyle name="标题 4 2 3 2 2 2 3" xfId="45737" xr:uid="{00000000-0005-0000-0000-0000A9B20000}"/>
    <cellStyle name="标题 4 2 3 2 2 2 3 2" xfId="45738" xr:uid="{00000000-0005-0000-0000-0000AAB20000}"/>
    <cellStyle name="标题 4 2 3 2 2 2 3 2 2" xfId="45739" xr:uid="{00000000-0005-0000-0000-0000ABB20000}"/>
    <cellStyle name="标题 4 2 3 2 2 2 4" xfId="45740" xr:uid="{00000000-0005-0000-0000-0000ACB20000}"/>
    <cellStyle name="标题 4 2 3 2 2 2 4 2" xfId="45741" xr:uid="{00000000-0005-0000-0000-0000ADB20000}"/>
    <cellStyle name="标题 4 2 3 2 2 3" xfId="45742" xr:uid="{00000000-0005-0000-0000-0000AEB20000}"/>
    <cellStyle name="标题 4 2 3 2 2 3 2" xfId="45743" xr:uid="{00000000-0005-0000-0000-0000AFB20000}"/>
    <cellStyle name="标题 4 2 3 2 2 3 2 2" xfId="45744" xr:uid="{00000000-0005-0000-0000-0000B0B20000}"/>
    <cellStyle name="标题 4 2 3 2 2 3 2 2 2" xfId="45745" xr:uid="{00000000-0005-0000-0000-0000B1B20000}"/>
    <cellStyle name="标题 4 2 3 2 2 3 3" xfId="45746" xr:uid="{00000000-0005-0000-0000-0000B2B20000}"/>
    <cellStyle name="标题 4 2 3 2 2 3 3 2" xfId="45747" xr:uid="{00000000-0005-0000-0000-0000B3B20000}"/>
    <cellStyle name="标题 4 2 3 2 2 4" xfId="45748" xr:uid="{00000000-0005-0000-0000-0000B4B20000}"/>
    <cellStyle name="标题 4 2 3 2 2 5" xfId="45749" xr:uid="{00000000-0005-0000-0000-0000B5B20000}"/>
    <cellStyle name="标题 4 2 3 2 2 6" xfId="45750" xr:uid="{00000000-0005-0000-0000-0000B6B20000}"/>
    <cellStyle name="标题 4 2 3 2 3" xfId="45751" xr:uid="{00000000-0005-0000-0000-0000B7B20000}"/>
    <cellStyle name="标题 4 2 3 2 3 2" xfId="45752" xr:uid="{00000000-0005-0000-0000-0000B8B20000}"/>
    <cellStyle name="标题 4 2 3 2 3 3" xfId="45753" xr:uid="{00000000-0005-0000-0000-0000B9B20000}"/>
    <cellStyle name="标题 4 2 3 2 3 3 2" xfId="45754" xr:uid="{00000000-0005-0000-0000-0000BAB20000}"/>
    <cellStyle name="标题 4 2 3 2 3 3 2 2" xfId="45755" xr:uid="{00000000-0005-0000-0000-0000BBB20000}"/>
    <cellStyle name="标题 4 2 3 2 3 4" xfId="45756" xr:uid="{00000000-0005-0000-0000-0000BCB20000}"/>
    <cellStyle name="标题 4 2 3 2 3 4 2" xfId="45757" xr:uid="{00000000-0005-0000-0000-0000BDB20000}"/>
    <cellStyle name="标题 4 2 3 2 4" xfId="45758" xr:uid="{00000000-0005-0000-0000-0000BEB20000}"/>
    <cellStyle name="标题 4 2 3 2 4 2" xfId="45759" xr:uid="{00000000-0005-0000-0000-0000BFB20000}"/>
    <cellStyle name="标题 4 2 3 2 4 2 2" xfId="45760" xr:uid="{00000000-0005-0000-0000-0000C0B20000}"/>
    <cellStyle name="标题 4 2 3 2 4 2 2 2" xfId="45761" xr:uid="{00000000-0005-0000-0000-0000C1B20000}"/>
    <cellStyle name="标题 4 2 3 2 4 3" xfId="45762" xr:uid="{00000000-0005-0000-0000-0000C2B20000}"/>
    <cellStyle name="标题 4 2 3 2 4 3 2" xfId="45763" xr:uid="{00000000-0005-0000-0000-0000C3B20000}"/>
    <cellStyle name="标题 4 2 3 2 5" xfId="45764" xr:uid="{00000000-0005-0000-0000-0000C4B20000}"/>
    <cellStyle name="标题 4 2 3 2 6" xfId="45765" xr:uid="{00000000-0005-0000-0000-0000C5B20000}"/>
    <cellStyle name="标题 4 2 3 2 7" xfId="45766" xr:uid="{00000000-0005-0000-0000-0000C6B20000}"/>
    <cellStyle name="标题 4 2 3 3" xfId="45767" xr:uid="{00000000-0005-0000-0000-0000C7B20000}"/>
    <cellStyle name="标题 4 2 3 3 2" xfId="45768" xr:uid="{00000000-0005-0000-0000-0000C8B20000}"/>
    <cellStyle name="标题 4 2 3 3 2 2" xfId="45769" xr:uid="{00000000-0005-0000-0000-0000C9B20000}"/>
    <cellStyle name="标题 4 2 3 3 2 3" xfId="45770" xr:uid="{00000000-0005-0000-0000-0000CAB20000}"/>
    <cellStyle name="标题 4 2 3 3 2 3 2" xfId="45771" xr:uid="{00000000-0005-0000-0000-0000CBB20000}"/>
    <cellStyle name="标题 4 2 3 3 2 3 2 2" xfId="45772" xr:uid="{00000000-0005-0000-0000-0000CCB20000}"/>
    <cellStyle name="标题 4 2 3 3 2 4" xfId="45773" xr:uid="{00000000-0005-0000-0000-0000CDB20000}"/>
    <cellStyle name="标题 4 2 3 3 2 4 2" xfId="45774" xr:uid="{00000000-0005-0000-0000-0000CEB20000}"/>
    <cellStyle name="标题 4 2 3 3 3" xfId="45775" xr:uid="{00000000-0005-0000-0000-0000CFB20000}"/>
    <cellStyle name="标题 4 2 3 3 3 2" xfId="45776" xr:uid="{00000000-0005-0000-0000-0000D0B20000}"/>
    <cellStyle name="标题 4 2 3 3 3 2 2" xfId="45777" xr:uid="{00000000-0005-0000-0000-0000D1B20000}"/>
    <cellStyle name="标题 4 2 3 3 3 2 2 2" xfId="45778" xr:uid="{00000000-0005-0000-0000-0000D2B20000}"/>
    <cellStyle name="标题 4 2 3 3 3 3" xfId="45779" xr:uid="{00000000-0005-0000-0000-0000D3B20000}"/>
    <cellStyle name="标题 4 2 3 3 3 3 2" xfId="45780" xr:uid="{00000000-0005-0000-0000-0000D4B20000}"/>
    <cellStyle name="标题 4 2 3 3 4" xfId="45781" xr:uid="{00000000-0005-0000-0000-0000D5B20000}"/>
    <cellStyle name="标题 4 2 3 3 5" xfId="45782" xr:uid="{00000000-0005-0000-0000-0000D6B20000}"/>
    <cellStyle name="标题 4 2 3 3 6" xfId="45783" xr:uid="{00000000-0005-0000-0000-0000D7B20000}"/>
    <cellStyle name="标题 4 2 3 4" xfId="45784" xr:uid="{00000000-0005-0000-0000-0000D8B20000}"/>
    <cellStyle name="标题 4 2 3 4 2" xfId="45785" xr:uid="{00000000-0005-0000-0000-0000D9B20000}"/>
    <cellStyle name="标题 4 2 3 4 2 2" xfId="45786" xr:uid="{00000000-0005-0000-0000-0000DAB20000}"/>
    <cellStyle name="标题 4 2 3 4 2 3" xfId="45787" xr:uid="{00000000-0005-0000-0000-0000DBB20000}"/>
    <cellStyle name="标题 4 2 3 4 2 3 2" xfId="45788" xr:uid="{00000000-0005-0000-0000-0000DCB20000}"/>
    <cellStyle name="标题 4 2 3 4 2 3 2 2" xfId="45789" xr:uid="{00000000-0005-0000-0000-0000DDB20000}"/>
    <cellStyle name="标题 4 2 3 4 2 4" xfId="45790" xr:uid="{00000000-0005-0000-0000-0000DEB20000}"/>
    <cellStyle name="标题 4 2 3 4 2 4 2" xfId="45791" xr:uid="{00000000-0005-0000-0000-0000DFB20000}"/>
    <cellStyle name="标题 4 2 3 4 3" xfId="45792" xr:uid="{00000000-0005-0000-0000-0000E0B20000}"/>
    <cellStyle name="标题 4 2 3 4 4" xfId="45793" xr:uid="{00000000-0005-0000-0000-0000E1B20000}"/>
    <cellStyle name="标题 4 2 3 4 5" xfId="45794" xr:uid="{00000000-0005-0000-0000-0000E2B20000}"/>
    <cellStyle name="标题 4 2 3 4 6" xfId="45795" xr:uid="{00000000-0005-0000-0000-0000E3B20000}"/>
    <cellStyle name="标题 4 2 3 5" xfId="45796" xr:uid="{00000000-0005-0000-0000-0000E4B20000}"/>
    <cellStyle name="标题 4 2 3 5 2" xfId="45797" xr:uid="{00000000-0005-0000-0000-0000E5B20000}"/>
    <cellStyle name="标题 4 2 3 5 2 2" xfId="45798" xr:uid="{00000000-0005-0000-0000-0000E6B20000}"/>
    <cellStyle name="标题 4 2 3 5 2 2 2" xfId="45799" xr:uid="{00000000-0005-0000-0000-0000E7B20000}"/>
    <cellStyle name="标题 4 2 3 5 2 2 2 2" xfId="45800" xr:uid="{00000000-0005-0000-0000-0000E8B20000}"/>
    <cellStyle name="标题 4 2 3 5 2 3" xfId="45801" xr:uid="{00000000-0005-0000-0000-0000E9B20000}"/>
    <cellStyle name="标题 4 2 3 5 2 3 2" xfId="45802" xr:uid="{00000000-0005-0000-0000-0000EAB20000}"/>
    <cellStyle name="标题 4 2 3 5 3" xfId="45803" xr:uid="{00000000-0005-0000-0000-0000EBB20000}"/>
    <cellStyle name="标题 4 2 3 5 3 2" xfId="45804" xr:uid="{00000000-0005-0000-0000-0000ECB20000}"/>
    <cellStyle name="标题 4 2 3 5 3 2 2" xfId="45805" xr:uid="{00000000-0005-0000-0000-0000EDB20000}"/>
    <cellStyle name="标题 4 2 3 5 4" xfId="45806" xr:uid="{00000000-0005-0000-0000-0000EEB20000}"/>
    <cellStyle name="标题 4 2 3 5 4 2" xfId="45807" xr:uid="{00000000-0005-0000-0000-0000EFB20000}"/>
    <cellStyle name="标题 4 2 3 6" xfId="45808" xr:uid="{00000000-0005-0000-0000-0000F0B20000}"/>
    <cellStyle name="标题 4 2 3 6 2" xfId="45809" xr:uid="{00000000-0005-0000-0000-0000F1B20000}"/>
    <cellStyle name="标题 4 2 3 6 2 2" xfId="45810" xr:uid="{00000000-0005-0000-0000-0000F2B20000}"/>
    <cellStyle name="标题 4 2 3 6 2 2 2" xfId="45811" xr:uid="{00000000-0005-0000-0000-0000F3B20000}"/>
    <cellStyle name="标题 4 2 3 6 3" xfId="45812" xr:uid="{00000000-0005-0000-0000-0000F4B20000}"/>
    <cellStyle name="标题 4 2 3 6 3 2" xfId="45813" xr:uid="{00000000-0005-0000-0000-0000F5B20000}"/>
    <cellStyle name="标题 4 2 3 7" xfId="45814" xr:uid="{00000000-0005-0000-0000-0000F6B20000}"/>
    <cellStyle name="标题 4 2 3 7 2" xfId="45815" xr:uid="{00000000-0005-0000-0000-0000F7B20000}"/>
    <cellStyle name="标题 4 2 3 7 2 2" xfId="45816" xr:uid="{00000000-0005-0000-0000-0000F8B20000}"/>
    <cellStyle name="标题 4 2 3 7 2 2 2" xfId="45817" xr:uid="{00000000-0005-0000-0000-0000F9B20000}"/>
    <cellStyle name="标题 4 2 3 7 3" xfId="45818" xr:uid="{00000000-0005-0000-0000-0000FAB20000}"/>
    <cellStyle name="标题 4 2 3 7 3 2" xfId="45819" xr:uid="{00000000-0005-0000-0000-0000FBB20000}"/>
    <cellStyle name="标题 4 2 3 8" xfId="45820" xr:uid="{00000000-0005-0000-0000-0000FCB20000}"/>
    <cellStyle name="标题 4 2 3 9" xfId="45821" xr:uid="{00000000-0005-0000-0000-0000FDB20000}"/>
    <cellStyle name="标题 4 2 4" xfId="45822" xr:uid="{00000000-0005-0000-0000-0000FEB20000}"/>
    <cellStyle name="标题 4 2 4 2" xfId="45823" xr:uid="{00000000-0005-0000-0000-0000FFB20000}"/>
    <cellStyle name="标题 4 2 4 2 2" xfId="45824" xr:uid="{00000000-0005-0000-0000-000000B30000}"/>
    <cellStyle name="标题 4 2 4 2 3" xfId="45825" xr:uid="{00000000-0005-0000-0000-000001B30000}"/>
    <cellStyle name="标题 4 2 4 2 3 2" xfId="45826" xr:uid="{00000000-0005-0000-0000-000002B30000}"/>
    <cellStyle name="标题 4 2 4 2 3 2 2" xfId="45827" xr:uid="{00000000-0005-0000-0000-000003B30000}"/>
    <cellStyle name="标题 4 2 4 2 4" xfId="45828" xr:uid="{00000000-0005-0000-0000-000004B30000}"/>
    <cellStyle name="标题 4 2 4 2 4 2" xfId="45829" xr:uid="{00000000-0005-0000-0000-000005B30000}"/>
    <cellStyle name="标题 4 2 4 3" xfId="45830" xr:uid="{00000000-0005-0000-0000-000006B30000}"/>
    <cellStyle name="标题 4 2 4 3 2" xfId="45831" xr:uid="{00000000-0005-0000-0000-000007B30000}"/>
    <cellStyle name="标题 4 2 4 3 2 2" xfId="45832" xr:uid="{00000000-0005-0000-0000-000008B30000}"/>
    <cellStyle name="标题 4 2 4 3 2 2 2" xfId="45833" xr:uid="{00000000-0005-0000-0000-000009B30000}"/>
    <cellStyle name="标题 4 2 4 3 3" xfId="45834" xr:uid="{00000000-0005-0000-0000-00000AB30000}"/>
    <cellStyle name="标题 4 2 4 3 3 2" xfId="45835" xr:uid="{00000000-0005-0000-0000-00000BB30000}"/>
    <cellStyle name="标题 4 2 4 4" xfId="45836" xr:uid="{00000000-0005-0000-0000-00000CB30000}"/>
    <cellStyle name="标题 4 2 4 5" xfId="45837" xr:uid="{00000000-0005-0000-0000-00000DB30000}"/>
    <cellStyle name="标题 4 2 4 6" xfId="45838" xr:uid="{00000000-0005-0000-0000-00000EB30000}"/>
    <cellStyle name="标题 4 2 5" xfId="45839" xr:uid="{00000000-0005-0000-0000-00000FB30000}"/>
    <cellStyle name="标题 4 2 5 2" xfId="45840" xr:uid="{00000000-0005-0000-0000-000010B30000}"/>
    <cellStyle name="标题 4 2 5 2 2" xfId="45841" xr:uid="{00000000-0005-0000-0000-000011B30000}"/>
    <cellStyle name="标题 4 2 5 2 3" xfId="45842" xr:uid="{00000000-0005-0000-0000-000012B30000}"/>
    <cellStyle name="标题 4 2 5 2 3 2" xfId="45843" xr:uid="{00000000-0005-0000-0000-000013B30000}"/>
    <cellStyle name="标题 4 2 5 2 3 2 2" xfId="45844" xr:uid="{00000000-0005-0000-0000-000014B30000}"/>
    <cellStyle name="标题 4 2 5 2 4" xfId="45845" xr:uid="{00000000-0005-0000-0000-000015B30000}"/>
    <cellStyle name="标题 4 2 5 2 4 2" xfId="45846" xr:uid="{00000000-0005-0000-0000-000016B30000}"/>
    <cellStyle name="标题 4 2 5 3" xfId="45847" xr:uid="{00000000-0005-0000-0000-000017B30000}"/>
    <cellStyle name="标题 4 2 5 4" xfId="45848" xr:uid="{00000000-0005-0000-0000-000018B30000}"/>
    <cellStyle name="标题 4 2 5 5" xfId="45849" xr:uid="{00000000-0005-0000-0000-000019B30000}"/>
    <cellStyle name="标题 4 2 5 6" xfId="45850" xr:uid="{00000000-0005-0000-0000-00001AB30000}"/>
    <cellStyle name="标题 4 2 6" xfId="45851" xr:uid="{00000000-0005-0000-0000-00001BB30000}"/>
    <cellStyle name="标题 4 2 6 2" xfId="45852" xr:uid="{00000000-0005-0000-0000-00001CB30000}"/>
    <cellStyle name="标题 4 2 6 2 2" xfId="45853" xr:uid="{00000000-0005-0000-0000-00001DB30000}"/>
    <cellStyle name="标题 4 2 6 2 2 2" xfId="45854" xr:uid="{00000000-0005-0000-0000-00001EB30000}"/>
    <cellStyle name="标题 4 2 6 2 2 2 2" xfId="45855" xr:uid="{00000000-0005-0000-0000-00001FB30000}"/>
    <cellStyle name="标题 4 2 6 2 3" xfId="45856" xr:uid="{00000000-0005-0000-0000-000020B30000}"/>
    <cellStyle name="标题 4 2 6 2 3 2" xfId="45857" xr:uid="{00000000-0005-0000-0000-000021B30000}"/>
    <cellStyle name="标题 4 2 6 3" xfId="45858" xr:uid="{00000000-0005-0000-0000-000022B30000}"/>
    <cellStyle name="标题 4 2 6 3 2" xfId="45859" xr:uid="{00000000-0005-0000-0000-000023B30000}"/>
    <cellStyle name="标题 4 2 6 3 2 2" xfId="45860" xr:uid="{00000000-0005-0000-0000-000024B30000}"/>
    <cellStyle name="标题 4 2 6 4" xfId="45861" xr:uid="{00000000-0005-0000-0000-000025B30000}"/>
    <cellStyle name="标题 4 2 6 4 2" xfId="45862" xr:uid="{00000000-0005-0000-0000-000026B30000}"/>
    <cellStyle name="标题 4 2 7" xfId="45863" xr:uid="{00000000-0005-0000-0000-000027B30000}"/>
    <cellStyle name="标题 4 2 7 2" xfId="45864" xr:uid="{00000000-0005-0000-0000-000028B30000}"/>
    <cellStyle name="标题 4 2 7 2 2" xfId="45865" xr:uid="{00000000-0005-0000-0000-000029B30000}"/>
    <cellStyle name="标题 4 2 7 2 2 2" xfId="45866" xr:uid="{00000000-0005-0000-0000-00002AB30000}"/>
    <cellStyle name="标题 4 2 7 2 2 2 2" xfId="45867" xr:uid="{00000000-0005-0000-0000-00002BB30000}"/>
    <cellStyle name="标题 4 2 7 2 3" xfId="45868" xr:uid="{00000000-0005-0000-0000-00002CB30000}"/>
    <cellStyle name="标题 4 2 7 2 3 2" xfId="45869" xr:uid="{00000000-0005-0000-0000-00002DB30000}"/>
    <cellStyle name="标题 4 2 7 3" xfId="45870" xr:uid="{00000000-0005-0000-0000-00002EB30000}"/>
    <cellStyle name="标题 4 2 7 3 2" xfId="45871" xr:uid="{00000000-0005-0000-0000-00002FB30000}"/>
    <cellStyle name="标题 4 2 7 3 2 2" xfId="45872" xr:uid="{00000000-0005-0000-0000-000030B30000}"/>
    <cellStyle name="标题 4 2 7 4" xfId="45873" xr:uid="{00000000-0005-0000-0000-000031B30000}"/>
    <cellStyle name="标题 4 2 7 4 2" xfId="45874" xr:uid="{00000000-0005-0000-0000-000032B30000}"/>
    <cellStyle name="标题 4 2 8" xfId="45875" xr:uid="{00000000-0005-0000-0000-000033B30000}"/>
    <cellStyle name="标题 4 2 8 2" xfId="45876" xr:uid="{00000000-0005-0000-0000-000034B30000}"/>
    <cellStyle name="标题 4 2 8 2 2" xfId="45877" xr:uid="{00000000-0005-0000-0000-000035B30000}"/>
    <cellStyle name="标题 4 2 8 2 2 2" xfId="45878" xr:uid="{00000000-0005-0000-0000-000036B30000}"/>
    <cellStyle name="标题 4 2 8 2 2 2 2" xfId="45879" xr:uid="{00000000-0005-0000-0000-000037B30000}"/>
    <cellStyle name="标题 4 2 8 2 3" xfId="45880" xr:uid="{00000000-0005-0000-0000-000038B30000}"/>
    <cellStyle name="标题 4 2 8 2 3 2" xfId="45881" xr:uid="{00000000-0005-0000-0000-000039B30000}"/>
    <cellStyle name="标题 4 2 8 3" xfId="45882" xr:uid="{00000000-0005-0000-0000-00003AB30000}"/>
    <cellStyle name="标题 4 2 8 3 2" xfId="45883" xr:uid="{00000000-0005-0000-0000-00003BB30000}"/>
    <cellStyle name="标题 4 2 8 3 2 2" xfId="45884" xr:uid="{00000000-0005-0000-0000-00003CB30000}"/>
    <cellStyle name="标题 4 2 8 4" xfId="45885" xr:uid="{00000000-0005-0000-0000-00003DB30000}"/>
    <cellStyle name="标题 4 2 8 4 2" xfId="45886" xr:uid="{00000000-0005-0000-0000-00003EB30000}"/>
    <cellStyle name="标题 4 2 9" xfId="45887" xr:uid="{00000000-0005-0000-0000-00003FB30000}"/>
    <cellStyle name="标题 4 2 9 2" xfId="45888" xr:uid="{00000000-0005-0000-0000-000040B30000}"/>
    <cellStyle name="标题 4 2 9 2 2" xfId="45889" xr:uid="{00000000-0005-0000-0000-000041B30000}"/>
    <cellStyle name="标题 4 2 9 2 2 2" xfId="45890" xr:uid="{00000000-0005-0000-0000-000042B30000}"/>
    <cellStyle name="标题 4 2 9 3" xfId="45891" xr:uid="{00000000-0005-0000-0000-000043B30000}"/>
    <cellStyle name="标题 4 2 9 3 2" xfId="45892" xr:uid="{00000000-0005-0000-0000-000044B30000}"/>
    <cellStyle name="标题 4 3" xfId="45893" xr:uid="{00000000-0005-0000-0000-000045B30000}"/>
    <cellStyle name="标题 4 3 2" xfId="45894" xr:uid="{00000000-0005-0000-0000-000046B30000}"/>
    <cellStyle name="标题 4 3 2 2" xfId="45895" xr:uid="{00000000-0005-0000-0000-000047B30000}"/>
    <cellStyle name="标题 4 3 2 2 2" xfId="45896" xr:uid="{00000000-0005-0000-0000-000048B30000}"/>
    <cellStyle name="标题 4 3 2 2 2 2" xfId="45897" xr:uid="{00000000-0005-0000-0000-000049B30000}"/>
    <cellStyle name="标题 4 3 2 2 2 3" xfId="45898" xr:uid="{00000000-0005-0000-0000-00004AB30000}"/>
    <cellStyle name="标题 4 3 2 2 2 3 2" xfId="45899" xr:uid="{00000000-0005-0000-0000-00004BB30000}"/>
    <cellStyle name="标题 4 3 2 2 2 3 2 2" xfId="45900" xr:uid="{00000000-0005-0000-0000-00004CB30000}"/>
    <cellStyle name="标题 4 3 2 2 2 4" xfId="45901" xr:uid="{00000000-0005-0000-0000-00004DB30000}"/>
    <cellStyle name="标题 4 3 2 2 2 4 2" xfId="45902" xr:uid="{00000000-0005-0000-0000-00004EB30000}"/>
    <cellStyle name="标题 4 3 2 2 3" xfId="45903" xr:uid="{00000000-0005-0000-0000-00004FB30000}"/>
    <cellStyle name="标题 4 3 2 2 3 2" xfId="45904" xr:uid="{00000000-0005-0000-0000-000050B30000}"/>
    <cellStyle name="标题 4 3 2 2 3 2 2" xfId="45905" xr:uid="{00000000-0005-0000-0000-000051B30000}"/>
    <cellStyle name="标题 4 3 2 2 3 2 2 2" xfId="45906" xr:uid="{00000000-0005-0000-0000-000052B30000}"/>
    <cellStyle name="标题 4 3 2 2 3 3" xfId="45907" xr:uid="{00000000-0005-0000-0000-000053B30000}"/>
    <cellStyle name="标题 4 3 2 2 3 3 2" xfId="45908" xr:uid="{00000000-0005-0000-0000-000054B30000}"/>
    <cellStyle name="标题 4 3 2 2 4" xfId="45909" xr:uid="{00000000-0005-0000-0000-000055B30000}"/>
    <cellStyle name="标题 4 3 2 2 5" xfId="45910" xr:uid="{00000000-0005-0000-0000-000056B30000}"/>
    <cellStyle name="标题 4 3 2 2 6" xfId="45911" xr:uid="{00000000-0005-0000-0000-000057B30000}"/>
    <cellStyle name="标题 4 3 2 3" xfId="45912" xr:uid="{00000000-0005-0000-0000-000058B30000}"/>
    <cellStyle name="标题 4 3 2 3 2" xfId="45913" xr:uid="{00000000-0005-0000-0000-000059B30000}"/>
    <cellStyle name="标题 4 3 2 3 3" xfId="45914" xr:uid="{00000000-0005-0000-0000-00005AB30000}"/>
    <cellStyle name="标题 4 3 2 3 3 2" xfId="45915" xr:uid="{00000000-0005-0000-0000-00005BB30000}"/>
    <cellStyle name="标题 4 3 2 3 3 2 2" xfId="45916" xr:uid="{00000000-0005-0000-0000-00005CB30000}"/>
    <cellStyle name="标题 4 3 2 3 4" xfId="45917" xr:uid="{00000000-0005-0000-0000-00005DB30000}"/>
    <cellStyle name="标题 4 3 2 3 4 2" xfId="45918" xr:uid="{00000000-0005-0000-0000-00005EB30000}"/>
    <cellStyle name="标题 4 3 2 4" xfId="45919" xr:uid="{00000000-0005-0000-0000-00005FB30000}"/>
    <cellStyle name="标题 4 3 2 4 2" xfId="45920" xr:uid="{00000000-0005-0000-0000-000060B30000}"/>
    <cellStyle name="标题 4 3 2 4 2 2" xfId="45921" xr:uid="{00000000-0005-0000-0000-000061B30000}"/>
    <cellStyle name="标题 4 3 2 4 2 2 2" xfId="45922" xr:uid="{00000000-0005-0000-0000-000062B30000}"/>
    <cellStyle name="标题 4 3 2 4 3" xfId="45923" xr:uid="{00000000-0005-0000-0000-000063B30000}"/>
    <cellStyle name="标题 4 3 2 4 3 2" xfId="45924" xr:uid="{00000000-0005-0000-0000-000064B30000}"/>
    <cellStyle name="标题 4 3 2 5" xfId="45925" xr:uid="{00000000-0005-0000-0000-000065B30000}"/>
    <cellStyle name="标题 4 3 2 6" xfId="45926" xr:uid="{00000000-0005-0000-0000-000066B30000}"/>
    <cellStyle name="标题 4 3 2 7" xfId="45927" xr:uid="{00000000-0005-0000-0000-000067B30000}"/>
    <cellStyle name="标题 4 3 3" xfId="45928" xr:uid="{00000000-0005-0000-0000-000068B30000}"/>
    <cellStyle name="标题 4 3 3 2" xfId="45929" xr:uid="{00000000-0005-0000-0000-000069B30000}"/>
    <cellStyle name="标题 4 3 3 2 2" xfId="45930" xr:uid="{00000000-0005-0000-0000-00006AB30000}"/>
    <cellStyle name="标题 4 3 3 2 3" xfId="45931" xr:uid="{00000000-0005-0000-0000-00006BB30000}"/>
    <cellStyle name="标题 4 3 3 2 3 2" xfId="45932" xr:uid="{00000000-0005-0000-0000-00006CB30000}"/>
    <cellStyle name="标题 4 3 3 2 3 2 2" xfId="45933" xr:uid="{00000000-0005-0000-0000-00006DB30000}"/>
    <cellStyle name="标题 4 3 3 2 4" xfId="45934" xr:uid="{00000000-0005-0000-0000-00006EB30000}"/>
    <cellStyle name="标题 4 3 3 2 4 2" xfId="45935" xr:uid="{00000000-0005-0000-0000-00006FB30000}"/>
    <cellStyle name="标题 4 3 3 3" xfId="45936" xr:uid="{00000000-0005-0000-0000-000070B30000}"/>
    <cellStyle name="标题 4 3 3 3 2" xfId="45937" xr:uid="{00000000-0005-0000-0000-000071B30000}"/>
    <cellStyle name="标题 4 3 3 3 2 2" xfId="45938" xr:uid="{00000000-0005-0000-0000-000072B30000}"/>
    <cellStyle name="标题 4 3 3 3 2 2 2" xfId="45939" xr:uid="{00000000-0005-0000-0000-000073B30000}"/>
    <cellStyle name="标题 4 3 3 3 3" xfId="45940" xr:uid="{00000000-0005-0000-0000-000074B30000}"/>
    <cellStyle name="标题 4 3 3 3 3 2" xfId="45941" xr:uid="{00000000-0005-0000-0000-000075B30000}"/>
    <cellStyle name="标题 4 3 3 4" xfId="45942" xr:uid="{00000000-0005-0000-0000-000076B30000}"/>
    <cellStyle name="标题 4 3 3 5" xfId="45943" xr:uid="{00000000-0005-0000-0000-000077B30000}"/>
    <cellStyle name="标题 4 3 3 6" xfId="45944" xr:uid="{00000000-0005-0000-0000-000078B30000}"/>
    <cellStyle name="标题 4 3 4" xfId="45945" xr:uid="{00000000-0005-0000-0000-000079B30000}"/>
    <cellStyle name="标题 4 3 4 2" xfId="45946" xr:uid="{00000000-0005-0000-0000-00007AB30000}"/>
    <cellStyle name="标题 4 3 4 2 2" xfId="45947" xr:uid="{00000000-0005-0000-0000-00007BB30000}"/>
    <cellStyle name="标题 4 3 4 2 3" xfId="45948" xr:uid="{00000000-0005-0000-0000-00007CB30000}"/>
    <cellStyle name="标题 4 3 4 2 3 2" xfId="45949" xr:uid="{00000000-0005-0000-0000-00007DB30000}"/>
    <cellStyle name="标题 4 3 4 2 3 2 2" xfId="45950" xr:uid="{00000000-0005-0000-0000-00007EB30000}"/>
    <cellStyle name="标题 4 3 4 2 4" xfId="45951" xr:uid="{00000000-0005-0000-0000-00007FB30000}"/>
    <cellStyle name="标题 4 3 4 2 4 2" xfId="45952" xr:uid="{00000000-0005-0000-0000-000080B30000}"/>
    <cellStyle name="标题 4 3 4 3" xfId="45953" xr:uid="{00000000-0005-0000-0000-000081B30000}"/>
    <cellStyle name="标题 4 3 4 4" xfId="45954" xr:uid="{00000000-0005-0000-0000-000082B30000}"/>
    <cellStyle name="标题 4 3 4 5" xfId="45955" xr:uid="{00000000-0005-0000-0000-000083B30000}"/>
    <cellStyle name="标题 4 3 4 6" xfId="45956" xr:uid="{00000000-0005-0000-0000-000084B30000}"/>
    <cellStyle name="标题 4 3 5" xfId="45957" xr:uid="{00000000-0005-0000-0000-000085B30000}"/>
    <cellStyle name="标题 4 3 5 2" xfId="45958" xr:uid="{00000000-0005-0000-0000-000086B30000}"/>
    <cellStyle name="标题 4 3 5 2 2" xfId="45959" xr:uid="{00000000-0005-0000-0000-000087B30000}"/>
    <cellStyle name="标题 4 3 5 2 2 2" xfId="45960" xr:uid="{00000000-0005-0000-0000-000088B30000}"/>
    <cellStyle name="标题 4 3 5 2 2 2 2" xfId="45961" xr:uid="{00000000-0005-0000-0000-000089B30000}"/>
    <cellStyle name="标题 4 3 5 2 3" xfId="45962" xr:uid="{00000000-0005-0000-0000-00008AB30000}"/>
    <cellStyle name="标题 4 3 5 2 3 2" xfId="45963" xr:uid="{00000000-0005-0000-0000-00008BB30000}"/>
    <cellStyle name="标题 4 3 5 3" xfId="45964" xr:uid="{00000000-0005-0000-0000-00008CB30000}"/>
    <cellStyle name="标题 4 3 5 3 2" xfId="45965" xr:uid="{00000000-0005-0000-0000-00008DB30000}"/>
    <cellStyle name="标题 4 3 5 3 2 2" xfId="45966" xr:uid="{00000000-0005-0000-0000-00008EB30000}"/>
    <cellStyle name="标题 4 3 5 4" xfId="45967" xr:uid="{00000000-0005-0000-0000-00008FB30000}"/>
    <cellStyle name="标题 4 3 5 4 2" xfId="45968" xr:uid="{00000000-0005-0000-0000-000090B30000}"/>
    <cellStyle name="标题 4 3 6" xfId="45969" xr:uid="{00000000-0005-0000-0000-000091B30000}"/>
    <cellStyle name="标题 4 3 6 2" xfId="45970" xr:uid="{00000000-0005-0000-0000-000092B30000}"/>
    <cellStyle name="标题 4 3 6 2 2" xfId="45971" xr:uid="{00000000-0005-0000-0000-000093B30000}"/>
    <cellStyle name="标题 4 3 6 2 2 2" xfId="45972" xr:uid="{00000000-0005-0000-0000-000094B30000}"/>
    <cellStyle name="标题 4 3 6 3" xfId="45973" xr:uid="{00000000-0005-0000-0000-000095B30000}"/>
    <cellStyle name="标题 4 3 6 3 2" xfId="45974" xr:uid="{00000000-0005-0000-0000-000096B30000}"/>
    <cellStyle name="标题 4 3 7" xfId="45975" xr:uid="{00000000-0005-0000-0000-000097B30000}"/>
    <cellStyle name="标题 4 3 8" xfId="45976" xr:uid="{00000000-0005-0000-0000-000098B30000}"/>
    <cellStyle name="标题 5" xfId="45977" xr:uid="{00000000-0005-0000-0000-000099B30000}"/>
    <cellStyle name="标题 5 10" xfId="45978" xr:uid="{00000000-0005-0000-0000-00009AB30000}"/>
    <cellStyle name="标题 5 11" xfId="45979" xr:uid="{00000000-0005-0000-0000-00009BB30000}"/>
    <cellStyle name="标题 5 2" xfId="45980" xr:uid="{00000000-0005-0000-0000-00009CB30000}"/>
    <cellStyle name="标题 5 2 10" xfId="45981" xr:uid="{00000000-0005-0000-0000-00009DB30000}"/>
    <cellStyle name="标题 5 2 11" xfId="45982" xr:uid="{00000000-0005-0000-0000-00009EB30000}"/>
    <cellStyle name="标题 5 2 2" xfId="45983" xr:uid="{00000000-0005-0000-0000-00009FB30000}"/>
    <cellStyle name="标题 5 2 2 2" xfId="45984" xr:uid="{00000000-0005-0000-0000-0000A0B30000}"/>
    <cellStyle name="标题 5 2 2 2 2" xfId="45985" xr:uid="{00000000-0005-0000-0000-0000A1B30000}"/>
    <cellStyle name="标题 5 2 2 2 2 2" xfId="45986" xr:uid="{00000000-0005-0000-0000-0000A2B30000}"/>
    <cellStyle name="标题 5 2 2 2 2 3" xfId="45987" xr:uid="{00000000-0005-0000-0000-0000A3B30000}"/>
    <cellStyle name="标题 5 2 2 2 2 3 2" xfId="45988" xr:uid="{00000000-0005-0000-0000-0000A4B30000}"/>
    <cellStyle name="标题 5 2 2 2 2 3 2 2" xfId="45989" xr:uid="{00000000-0005-0000-0000-0000A5B30000}"/>
    <cellStyle name="标题 5 2 2 2 2 4" xfId="45990" xr:uid="{00000000-0005-0000-0000-0000A6B30000}"/>
    <cellStyle name="标题 5 2 2 2 2 4 2" xfId="45991" xr:uid="{00000000-0005-0000-0000-0000A7B30000}"/>
    <cellStyle name="标题 5 2 2 2 3" xfId="45992" xr:uid="{00000000-0005-0000-0000-0000A8B30000}"/>
    <cellStyle name="标题 5 2 2 2 3 2" xfId="45993" xr:uid="{00000000-0005-0000-0000-0000A9B30000}"/>
    <cellStyle name="标题 5 2 2 2 3 2 2" xfId="45994" xr:uid="{00000000-0005-0000-0000-0000AAB30000}"/>
    <cellStyle name="标题 5 2 2 2 3 2 2 2" xfId="45995" xr:uid="{00000000-0005-0000-0000-0000ABB30000}"/>
    <cellStyle name="标题 5 2 2 2 3 3" xfId="45996" xr:uid="{00000000-0005-0000-0000-0000ACB30000}"/>
    <cellStyle name="标题 5 2 2 2 3 3 2" xfId="45997" xr:uid="{00000000-0005-0000-0000-0000ADB30000}"/>
    <cellStyle name="标题 5 2 2 2 4" xfId="45998" xr:uid="{00000000-0005-0000-0000-0000AEB30000}"/>
    <cellStyle name="标题 5 2 2 2 5" xfId="45999" xr:uid="{00000000-0005-0000-0000-0000AFB30000}"/>
    <cellStyle name="标题 5 2 2 2 6" xfId="46000" xr:uid="{00000000-0005-0000-0000-0000B0B30000}"/>
    <cellStyle name="标题 5 2 2 3" xfId="46001" xr:uid="{00000000-0005-0000-0000-0000B1B30000}"/>
    <cellStyle name="标题 5 2 2 3 2" xfId="46002" xr:uid="{00000000-0005-0000-0000-0000B2B30000}"/>
    <cellStyle name="标题 5 2 2 3 3" xfId="46003" xr:uid="{00000000-0005-0000-0000-0000B3B30000}"/>
    <cellStyle name="标题 5 2 2 3 3 2" xfId="46004" xr:uid="{00000000-0005-0000-0000-0000B4B30000}"/>
    <cellStyle name="标题 5 2 2 3 3 2 2" xfId="46005" xr:uid="{00000000-0005-0000-0000-0000B5B30000}"/>
    <cellStyle name="标题 5 2 2 3 4" xfId="46006" xr:uid="{00000000-0005-0000-0000-0000B6B30000}"/>
    <cellStyle name="标题 5 2 2 3 4 2" xfId="46007" xr:uid="{00000000-0005-0000-0000-0000B7B30000}"/>
    <cellStyle name="标题 5 2 2 4" xfId="46008" xr:uid="{00000000-0005-0000-0000-0000B8B30000}"/>
    <cellStyle name="标题 5 2 2 4 2" xfId="46009" xr:uid="{00000000-0005-0000-0000-0000B9B30000}"/>
    <cellStyle name="标题 5 2 2 4 2 2" xfId="46010" xr:uid="{00000000-0005-0000-0000-0000BAB30000}"/>
    <cellStyle name="标题 5 2 2 4 2 2 2" xfId="46011" xr:uid="{00000000-0005-0000-0000-0000BBB30000}"/>
    <cellStyle name="标题 5 2 2 4 3" xfId="46012" xr:uid="{00000000-0005-0000-0000-0000BCB30000}"/>
    <cellStyle name="标题 5 2 2 4 3 2" xfId="46013" xr:uid="{00000000-0005-0000-0000-0000BDB30000}"/>
    <cellStyle name="标题 5 2 2 5" xfId="46014" xr:uid="{00000000-0005-0000-0000-0000BEB30000}"/>
    <cellStyle name="标题 5 2 2 6" xfId="46015" xr:uid="{00000000-0005-0000-0000-0000BFB30000}"/>
    <cellStyle name="标题 5 2 2 7" xfId="46016" xr:uid="{00000000-0005-0000-0000-0000C0B30000}"/>
    <cellStyle name="标题 5 2 3" xfId="46017" xr:uid="{00000000-0005-0000-0000-0000C1B30000}"/>
    <cellStyle name="标题 5 2 3 2" xfId="46018" xr:uid="{00000000-0005-0000-0000-0000C2B30000}"/>
    <cellStyle name="标题 5 2 3 2 2" xfId="46019" xr:uid="{00000000-0005-0000-0000-0000C3B30000}"/>
    <cellStyle name="标题 5 2 3 2 3" xfId="46020" xr:uid="{00000000-0005-0000-0000-0000C4B30000}"/>
    <cellStyle name="标题 5 2 3 2 3 2" xfId="46021" xr:uid="{00000000-0005-0000-0000-0000C5B30000}"/>
    <cellStyle name="标题 5 2 3 2 3 2 2" xfId="46022" xr:uid="{00000000-0005-0000-0000-0000C6B30000}"/>
    <cellStyle name="标题 5 2 3 2 4" xfId="46023" xr:uid="{00000000-0005-0000-0000-0000C7B30000}"/>
    <cellStyle name="标题 5 2 3 2 4 2" xfId="46024" xr:uid="{00000000-0005-0000-0000-0000C8B30000}"/>
    <cellStyle name="标题 5 2 3 3" xfId="46025" xr:uid="{00000000-0005-0000-0000-0000C9B30000}"/>
    <cellStyle name="标题 5 2 3 3 2" xfId="46026" xr:uid="{00000000-0005-0000-0000-0000CAB30000}"/>
    <cellStyle name="标题 5 2 3 3 2 2" xfId="46027" xr:uid="{00000000-0005-0000-0000-0000CBB30000}"/>
    <cellStyle name="标题 5 2 3 3 2 2 2" xfId="46028" xr:uid="{00000000-0005-0000-0000-0000CCB30000}"/>
    <cellStyle name="标题 5 2 3 3 3" xfId="46029" xr:uid="{00000000-0005-0000-0000-0000CDB30000}"/>
    <cellStyle name="标题 5 2 3 3 3 2" xfId="46030" xr:uid="{00000000-0005-0000-0000-0000CEB30000}"/>
    <cellStyle name="标题 5 2 3 4" xfId="46031" xr:uid="{00000000-0005-0000-0000-0000CFB30000}"/>
    <cellStyle name="标题 5 2 3 5" xfId="46032" xr:uid="{00000000-0005-0000-0000-0000D0B30000}"/>
    <cellStyle name="标题 5 2 3 6" xfId="46033" xr:uid="{00000000-0005-0000-0000-0000D1B30000}"/>
    <cellStyle name="标题 5 2 4" xfId="46034" xr:uid="{00000000-0005-0000-0000-0000D2B30000}"/>
    <cellStyle name="标题 5 2 4 2" xfId="46035" xr:uid="{00000000-0005-0000-0000-0000D3B30000}"/>
    <cellStyle name="标题 5 2 4 2 2" xfId="46036" xr:uid="{00000000-0005-0000-0000-0000D4B30000}"/>
    <cellStyle name="标题 5 2 4 2 3" xfId="46037" xr:uid="{00000000-0005-0000-0000-0000D5B30000}"/>
    <cellStyle name="标题 5 2 4 2 3 2" xfId="46038" xr:uid="{00000000-0005-0000-0000-0000D6B30000}"/>
    <cellStyle name="标题 5 2 4 2 3 2 2" xfId="46039" xr:uid="{00000000-0005-0000-0000-0000D7B30000}"/>
    <cellStyle name="标题 5 2 4 2 4" xfId="46040" xr:uid="{00000000-0005-0000-0000-0000D8B30000}"/>
    <cellStyle name="标题 5 2 4 2 4 2" xfId="46041" xr:uid="{00000000-0005-0000-0000-0000D9B30000}"/>
    <cellStyle name="标题 5 2 4 3" xfId="46042" xr:uid="{00000000-0005-0000-0000-0000DAB30000}"/>
    <cellStyle name="标题 5 2 4 4" xfId="46043" xr:uid="{00000000-0005-0000-0000-0000DBB30000}"/>
    <cellStyle name="标题 5 2 4 5" xfId="46044" xr:uid="{00000000-0005-0000-0000-0000DCB30000}"/>
    <cellStyle name="标题 5 2 4 6" xfId="46045" xr:uid="{00000000-0005-0000-0000-0000DDB30000}"/>
    <cellStyle name="标题 5 2 5" xfId="46046" xr:uid="{00000000-0005-0000-0000-0000DEB30000}"/>
    <cellStyle name="标题 5 2 5 2" xfId="46047" xr:uid="{00000000-0005-0000-0000-0000DFB30000}"/>
    <cellStyle name="标题 5 2 5 2 2" xfId="46048" xr:uid="{00000000-0005-0000-0000-0000E0B30000}"/>
    <cellStyle name="标题 5 2 5 2 2 2" xfId="46049" xr:uid="{00000000-0005-0000-0000-0000E1B30000}"/>
    <cellStyle name="标题 5 2 5 2 2 2 2" xfId="46050" xr:uid="{00000000-0005-0000-0000-0000E2B30000}"/>
    <cellStyle name="标题 5 2 5 2 3" xfId="46051" xr:uid="{00000000-0005-0000-0000-0000E3B30000}"/>
    <cellStyle name="标题 5 2 5 2 3 2" xfId="46052" xr:uid="{00000000-0005-0000-0000-0000E4B30000}"/>
    <cellStyle name="标题 5 2 5 3" xfId="46053" xr:uid="{00000000-0005-0000-0000-0000E5B30000}"/>
    <cellStyle name="标题 5 2 5 3 2" xfId="46054" xr:uid="{00000000-0005-0000-0000-0000E6B30000}"/>
    <cellStyle name="标题 5 2 5 3 2 2" xfId="46055" xr:uid="{00000000-0005-0000-0000-0000E7B30000}"/>
    <cellStyle name="标题 5 2 5 4" xfId="46056" xr:uid="{00000000-0005-0000-0000-0000E8B30000}"/>
    <cellStyle name="标题 5 2 5 4 2" xfId="46057" xr:uid="{00000000-0005-0000-0000-0000E9B30000}"/>
    <cellStyle name="标题 5 2 6" xfId="46058" xr:uid="{00000000-0005-0000-0000-0000EAB30000}"/>
    <cellStyle name="标题 5 2 6 2" xfId="46059" xr:uid="{00000000-0005-0000-0000-0000EBB30000}"/>
    <cellStyle name="标题 5 2 6 2 2" xfId="46060" xr:uid="{00000000-0005-0000-0000-0000ECB30000}"/>
    <cellStyle name="标题 5 2 6 2 2 2" xfId="46061" xr:uid="{00000000-0005-0000-0000-0000EDB30000}"/>
    <cellStyle name="标题 5 2 6 2 2 2 2" xfId="46062" xr:uid="{00000000-0005-0000-0000-0000EEB30000}"/>
    <cellStyle name="标题 5 2 6 2 3" xfId="46063" xr:uid="{00000000-0005-0000-0000-0000EFB30000}"/>
    <cellStyle name="标题 5 2 6 2 3 2" xfId="46064" xr:uid="{00000000-0005-0000-0000-0000F0B30000}"/>
    <cellStyle name="标题 5 2 6 3" xfId="46065" xr:uid="{00000000-0005-0000-0000-0000F1B30000}"/>
    <cellStyle name="标题 5 2 6 3 2" xfId="46066" xr:uid="{00000000-0005-0000-0000-0000F2B30000}"/>
    <cellStyle name="标题 5 2 6 3 2 2" xfId="46067" xr:uid="{00000000-0005-0000-0000-0000F3B30000}"/>
    <cellStyle name="标题 5 2 6 4" xfId="46068" xr:uid="{00000000-0005-0000-0000-0000F4B30000}"/>
    <cellStyle name="标题 5 2 6 4 2" xfId="46069" xr:uid="{00000000-0005-0000-0000-0000F5B30000}"/>
    <cellStyle name="标题 5 2 7" xfId="46070" xr:uid="{00000000-0005-0000-0000-0000F6B30000}"/>
    <cellStyle name="标题 5 2 7 2" xfId="46071" xr:uid="{00000000-0005-0000-0000-0000F7B30000}"/>
    <cellStyle name="标题 5 2 7 2 2" xfId="46072" xr:uid="{00000000-0005-0000-0000-0000F8B30000}"/>
    <cellStyle name="标题 5 2 7 2 2 2" xfId="46073" xr:uid="{00000000-0005-0000-0000-0000F9B30000}"/>
    <cellStyle name="标题 5 2 7 2 2 2 2" xfId="46074" xr:uid="{00000000-0005-0000-0000-0000FAB30000}"/>
    <cellStyle name="标题 5 2 7 2 3" xfId="46075" xr:uid="{00000000-0005-0000-0000-0000FBB30000}"/>
    <cellStyle name="标题 5 2 7 2 3 2" xfId="46076" xr:uid="{00000000-0005-0000-0000-0000FCB30000}"/>
    <cellStyle name="标题 5 2 7 3" xfId="46077" xr:uid="{00000000-0005-0000-0000-0000FDB30000}"/>
    <cellStyle name="标题 5 2 7 3 2" xfId="46078" xr:uid="{00000000-0005-0000-0000-0000FEB30000}"/>
    <cellStyle name="标题 5 2 7 3 2 2" xfId="46079" xr:uid="{00000000-0005-0000-0000-0000FFB30000}"/>
    <cellStyle name="标题 5 2 7 4" xfId="46080" xr:uid="{00000000-0005-0000-0000-000000B40000}"/>
    <cellStyle name="标题 5 2 7 4 2" xfId="46081" xr:uid="{00000000-0005-0000-0000-000001B40000}"/>
    <cellStyle name="标题 5 2 8" xfId="46082" xr:uid="{00000000-0005-0000-0000-000002B40000}"/>
    <cellStyle name="标题 5 2 8 2" xfId="46083" xr:uid="{00000000-0005-0000-0000-000003B40000}"/>
    <cellStyle name="标题 5 2 8 2 2" xfId="46084" xr:uid="{00000000-0005-0000-0000-000004B40000}"/>
    <cellStyle name="标题 5 2 8 2 2 2" xfId="46085" xr:uid="{00000000-0005-0000-0000-000005B40000}"/>
    <cellStyle name="标题 5 2 8 3" xfId="46086" xr:uid="{00000000-0005-0000-0000-000006B40000}"/>
    <cellStyle name="标题 5 2 8 3 2" xfId="46087" xr:uid="{00000000-0005-0000-0000-000007B40000}"/>
    <cellStyle name="标题 5 2 9" xfId="46088" xr:uid="{00000000-0005-0000-0000-000008B40000}"/>
    <cellStyle name="标题 5 2 9 2" xfId="46089" xr:uid="{00000000-0005-0000-0000-000009B40000}"/>
    <cellStyle name="标题 5 2 9 2 2" xfId="46090" xr:uid="{00000000-0005-0000-0000-00000AB40000}"/>
    <cellStyle name="标题 5 2 9 2 2 2" xfId="46091" xr:uid="{00000000-0005-0000-0000-00000BB40000}"/>
    <cellStyle name="标题 5 2 9 3" xfId="46092" xr:uid="{00000000-0005-0000-0000-00000CB40000}"/>
    <cellStyle name="标题 5 2 9 3 2" xfId="46093" xr:uid="{00000000-0005-0000-0000-00000DB40000}"/>
    <cellStyle name="标题 5 3" xfId="46094" xr:uid="{00000000-0005-0000-0000-00000EB40000}"/>
    <cellStyle name="标题 5 3 2" xfId="46095" xr:uid="{00000000-0005-0000-0000-00000FB40000}"/>
    <cellStyle name="标题 5 3 2 2" xfId="46096" xr:uid="{00000000-0005-0000-0000-000010B40000}"/>
    <cellStyle name="标题 5 3 2 2 2" xfId="46097" xr:uid="{00000000-0005-0000-0000-000011B40000}"/>
    <cellStyle name="标题 5 3 2 2 2 2" xfId="46098" xr:uid="{00000000-0005-0000-0000-000012B40000}"/>
    <cellStyle name="标题 5 3 2 2 2 3" xfId="46099" xr:uid="{00000000-0005-0000-0000-000013B40000}"/>
    <cellStyle name="标题 5 3 2 2 2 3 2" xfId="46100" xr:uid="{00000000-0005-0000-0000-000014B40000}"/>
    <cellStyle name="标题 5 3 2 2 2 3 2 2" xfId="46101" xr:uid="{00000000-0005-0000-0000-000015B40000}"/>
    <cellStyle name="标题 5 3 2 2 2 4" xfId="46102" xr:uid="{00000000-0005-0000-0000-000016B40000}"/>
    <cellStyle name="标题 5 3 2 2 2 4 2" xfId="46103" xr:uid="{00000000-0005-0000-0000-000017B40000}"/>
    <cellStyle name="标题 5 3 2 2 3" xfId="46104" xr:uid="{00000000-0005-0000-0000-000018B40000}"/>
    <cellStyle name="标题 5 3 2 2 3 2" xfId="46105" xr:uid="{00000000-0005-0000-0000-000019B40000}"/>
    <cellStyle name="标题 5 3 2 2 3 2 2" xfId="46106" xr:uid="{00000000-0005-0000-0000-00001AB40000}"/>
    <cellStyle name="标题 5 3 2 2 3 2 2 2" xfId="46107" xr:uid="{00000000-0005-0000-0000-00001BB40000}"/>
    <cellStyle name="标题 5 3 2 2 3 3" xfId="46108" xr:uid="{00000000-0005-0000-0000-00001CB40000}"/>
    <cellStyle name="标题 5 3 2 2 3 3 2" xfId="46109" xr:uid="{00000000-0005-0000-0000-00001DB40000}"/>
    <cellStyle name="标题 5 3 2 2 4" xfId="46110" xr:uid="{00000000-0005-0000-0000-00001EB40000}"/>
    <cellStyle name="标题 5 3 2 2 5" xfId="46111" xr:uid="{00000000-0005-0000-0000-00001FB40000}"/>
    <cellStyle name="标题 5 3 2 2 6" xfId="46112" xr:uid="{00000000-0005-0000-0000-000020B40000}"/>
    <cellStyle name="标题 5 3 2 3" xfId="46113" xr:uid="{00000000-0005-0000-0000-000021B40000}"/>
    <cellStyle name="标题 5 3 2 3 2" xfId="46114" xr:uid="{00000000-0005-0000-0000-000022B40000}"/>
    <cellStyle name="标题 5 3 2 3 3" xfId="46115" xr:uid="{00000000-0005-0000-0000-000023B40000}"/>
    <cellStyle name="标题 5 3 2 3 3 2" xfId="46116" xr:uid="{00000000-0005-0000-0000-000024B40000}"/>
    <cellStyle name="标题 5 3 2 3 3 2 2" xfId="46117" xr:uid="{00000000-0005-0000-0000-000025B40000}"/>
    <cellStyle name="标题 5 3 2 3 4" xfId="46118" xr:uid="{00000000-0005-0000-0000-000026B40000}"/>
    <cellStyle name="标题 5 3 2 3 4 2" xfId="46119" xr:uid="{00000000-0005-0000-0000-000027B40000}"/>
    <cellStyle name="标题 5 3 2 4" xfId="46120" xr:uid="{00000000-0005-0000-0000-000028B40000}"/>
    <cellStyle name="标题 5 3 2 4 2" xfId="46121" xr:uid="{00000000-0005-0000-0000-000029B40000}"/>
    <cellStyle name="标题 5 3 2 4 2 2" xfId="46122" xr:uid="{00000000-0005-0000-0000-00002AB40000}"/>
    <cellStyle name="标题 5 3 2 4 2 2 2" xfId="46123" xr:uid="{00000000-0005-0000-0000-00002BB40000}"/>
    <cellStyle name="标题 5 3 2 4 3" xfId="46124" xr:uid="{00000000-0005-0000-0000-00002CB40000}"/>
    <cellStyle name="标题 5 3 2 4 3 2" xfId="46125" xr:uid="{00000000-0005-0000-0000-00002DB40000}"/>
    <cellStyle name="标题 5 3 2 5" xfId="46126" xr:uid="{00000000-0005-0000-0000-00002EB40000}"/>
    <cellStyle name="标题 5 3 2 6" xfId="46127" xr:uid="{00000000-0005-0000-0000-00002FB40000}"/>
    <cellStyle name="标题 5 3 2 7" xfId="46128" xr:uid="{00000000-0005-0000-0000-000030B40000}"/>
    <cellStyle name="标题 5 3 3" xfId="46129" xr:uid="{00000000-0005-0000-0000-000031B40000}"/>
    <cellStyle name="标题 5 3 3 2" xfId="46130" xr:uid="{00000000-0005-0000-0000-000032B40000}"/>
    <cellStyle name="标题 5 3 3 2 2" xfId="46131" xr:uid="{00000000-0005-0000-0000-000033B40000}"/>
    <cellStyle name="标题 5 3 3 2 3" xfId="46132" xr:uid="{00000000-0005-0000-0000-000034B40000}"/>
    <cellStyle name="标题 5 3 3 2 3 2" xfId="46133" xr:uid="{00000000-0005-0000-0000-000035B40000}"/>
    <cellStyle name="标题 5 3 3 2 3 2 2" xfId="46134" xr:uid="{00000000-0005-0000-0000-000036B40000}"/>
    <cellStyle name="标题 5 3 3 2 4" xfId="46135" xr:uid="{00000000-0005-0000-0000-000037B40000}"/>
    <cellStyle name="标题 5 3 3 2 4 2" xfId="46136" xr:uid="{00000000-0005-0000-0000-000038B40000}"/>
    <cellStyle name="标题 5 3 3 3" xfId="46137" xr:uid="{00000000-0005-0000-0000-000039B40000}"/>
    <cellStyle name="标题 5 3 3 3 2" xfId="46138" xr:uid="{00000000-0005-0000-0000-00003AB40000}"/>
    <cellStyle name="标题 5 3 3 3 2 2" xfId="46139" xr:uid="{00000000-0005-0000-0000-00003BB40000}"/>
    <cellStyle name="标题 5 3 3 3 2 2 2" xfId="46140" xr:uid="{00000000-0005-0000-0000-00003CB40000}"/>
    <cellStyle name="标题 5 3 3 3 3" xfId="46141" xr:uid="{00000000-0005-0000-0000-00003DB40000}"/>
    <cellStyle name="标题 5 3 3 3 3 2" xfId="46142" xr:uid="{00000000-0005-0000-0000-00003EB40000}"/>
    <cellStyle name="标题 5 3 3 4" xfId="46143" xr:uid="{00000000-0005-0000-0000-00003FB40000}"/>
    <cellStyle name="标题 5 3 3 5" xfId="46144" xr:uid="{00000000-0005-0000-0000-000040B40000}"/>
    <cellStyle name="标题 5 3 3 6" xfId="46145" xr:uid="{00000000-0005-0000-0000-000041B40000}"/>
    <cellStyle name="标题 5 3 4" xfId="46146" xr:uid="{00000000-0005-0000-0000-000042B40000}"/>
    <cellStyle name="标题 5 3 4 2" xfId="46147" xr:uid="{00000000-0005-0000-0000-000043B40000}"/>
    <cellStyle name="标题 5 3 4 2 2" xfId="46148" xr:uid="{00000000-0005-0000-0000-000044B40000}"/>
    <cellStyle name="标题 5 3 4 2 3" xfId="46149" xr:uid="{00000000-0005-0000-0000-000045B40000}"/>
    <cellStyle name="标题 5 3 4 2 3 2" xfId="46150" xr:uid="{00000000-0005-0000-0000-000046B40000}"/>
    <cellStyle name="标题 5 3 4 2 3 2 2" xfId="46151" xr:uid="{00000000-0005-0000-0000-000047B40000}"/>
    <cellStyle name="标题 5 3 4 2 4" xfId="46152" xr:uid="{00000000-0005-0000-0000-000048B40000}"/>
    <cellStyle name="标题 5 3 4 2 4 2" xfId="46153" xr:uid="{00000000-0005-0000-0000-000049B40000}"/>
    <cellStyle name="标题 5 3 4 3" xfId="46154" xr:uid="{00000000-0005-0000-0000-00004AB40000}"/>
    <cellStyle name="标题 5 3 4 4" xfId="46155" xr:uid="{00000000-0005-0000-0000-00004BB40000}"/>
    <cellStyle name="标题 5 3 4 5" xfId="46156" xr:uid="{00000000-0005-0000-0000-00004CB40000}"/>
    <cellStyle name="标题 5 3 4 6" xfId="46157" xr:uid="{00000000-0005-0000-0000-00004DB40000}"/>
    <cellStyle name="标题 5 3 5" xfId="46158" xr:uid="{00000000-0005-0000-0000-00004EB40000}"/>
    <cellStyle name="标题 5 3 5 2" xfId="46159" xr:uid="{00000000-0005-0000-0000-00004FB40000}"/>
    <cellStyle name="标题 5 3 5 2 2" xfId="46160" xr:uid="{00000000-0005-0000-0000-000050B40000}"/>
    <cellStyle name="标题 5 3 5 2 2 2" xfId="46161" xr:uid="{00000000-0005-0000-0000-000051B40000}"/>
    <cellStyle name="标题 5 3 5 2 2 2 2" xfId="46162" xr:uid="{00000000-0005-0000-0000-000052B40000}"/>
    <cellStyle name="标题 5 3 5 2 3" xfId="46163" xr:uid="{00000000-0005-0000-0000-000053B40000}"/>
    <cellStyle name="标题 5 3 5 2 3 2" xfId="46164" xr:uid="{00000000-0005-0000-0000-000054B40000}"/>
    <cellStyle name="标题 5 3 5 3" xfId="46165" xr:uid="{00000000-0005-0000-0000-000055B40000}"/>
    <cellStyle name="标题 5 3 5 3 2" xfId="46166" xr:uid="{00000000-0005-0000-0000-000056B40000}"/>
    <cellStyle name="标题 5 3 5 3 2 2" xfId="46167" xr:uid="{00000000-0005-0000-0000-000057B40000}"/>
    <cellStyle name="标题 5 3 5 4" xfId="46168" xr:uid="{00000000-0005-0000-0000-000058B40000}"/>
    <cellStyle name="标题 5 3 5 4 2" xfId="46169" xr:uid="{00000000-0005-0000-0000-000059B40000}"/>
    <cellStyle name="标题 5 3 6" xfId="46170" xr:uid="{00000000-0005-0000-0000-00005AB40000}"/>
    <cellStyle name="标题 5 3 6 2" xfId="46171" xr:uid="{00000000-0005-0000-0000-00005BB40000}"/>
    <cellStyle name="标题 5 3 6 2 2" xfId="46172" xr:uid="{00000000-0005-0000-0000-00005CB40000}"/>
    <cellStyle name="标题 5 3 6 2 2 2" xfId="46173" xr:uid="{00000000-0005-0000-0000-00005DB40000}"/>
    <cellStyle name="标题 5 3 6 3" xfId="46174" xr:uid="{00000000-0005-0000-0000-00005EB40000}"/>
    <cellStyle name="标题 5 3 6 3 2" xfId="46175" xr:uid="{00000000-0005-0000-0000-00005FB40000}"/>
    <cellStyle name="标题 5 3 7" xfId="46176" xr:uid="{00000000-0005-0000-0000-000060B40000}"/>
    <cellStyle name="标题 5 3 7 2" xfId="46177" xr:uid="{00000000-0005-0000-0000-000061B40000}"/>
    <cellStyle name="标题 5 3 7 2 2" xfId="46178" xr:uid="{00000000-0005-0000-0000-000062B40000}"/>
    <cellStyle name="标题 5 3 7 2 2 2" xfId="46179" xr:uid="{00000000-0005-0000-0000-000063B40000}"/>
    <cellStyle name="标题 5 3 7 3" xfId="46180" xr:uid="{00000000-0005-0000-0000-000064B40000}"/>
    <cellStyle name="标题 5 3 7 3 2" xfId="46181" xr:uid="{00000000-0005-0000-0000-000065B40000}"/>
    <cellStyle name="标题 5 3 8" xfId="46182" xr:uid="{00000000-0005-0000-0000-000066B40000}"/>
    <cellStyle name="标题 5 3 9" xfId="46183" xr:uid="{00000000-0005-0000-0000-000067B40000}"/>
    <cellStyle name="标题 5 4" xfId="46184" xr:uid="{00000000-0005-0000-0000-000068B40000}"/>
    <cellStyle name="标题 5 4 2" xfId="46185" xr:uid="{00000000-0005-0000-0000-000069B40000}"/>
    <cellStyle name="标题 5 4 2 2" xfId="46186" xr:uid="{00000000-0005-0000-0000-00006AB40000}"/>
    <cellStyle name="标题 5 4 2 3" xfId="46187" xr:uid="{00000000-0005-0000-0000-00006BB40000}"/>
    <cellStyle name="标题 5 4 2 3 2" xfId="46188" xr:uid="{00000000-0005-0000-0000-00006CB40000}"/>
    <cellStyle name="标题 5 4 2 3 2 2" xfId="46189" xr:uid="{00000000-0005-0000-0000-00006DB40000}"/>
    <cellStyle name="标题 5 4 2 4" xfId="46190" xr:uid="{00000000-0005-0000-0000-00006EB40000}"/>
    <cellStyle name="标题 5 4 2 4 2" xfId="46191" xr:uid="{00000000-0005-0000-0000-00006FB40000}"/>
    <cellStyle name="标题 5 4 3" xfId="46192" xr:uid="{00000000-0005-0000-0000-000070B40000}"/>
    <cellStyle name="标题 5 4 3 2" xfId="46193" xr:uid="{00000000-0005-0000-0000-000071B40000}"/>
    <cellStyle name="标题 5 4 3 2 2" xfId="46194" xr:uid="{00000000-0005-0000-0000-000072B40000}"/>
    <cellStyle name="标题 5 4 3 2 2 2" xfId="46195" xr:uid="{00000000-0005-0000-0000-000073B40000}"/>
    <cellStyle name="标题 5 4 3 3" xfId="46196" xr:uid="{00000000-0005-0000-0000-000074B40000}"/>
    <cellStyle name="标题 5 4 3 3 2" xfId="46197" xr:uid="{00000000-0005-0000-0000-000075B40000}"/>
    <cellStyle name="标题 5 4 4" xfId="46198" xr:uid="{00000000-0005-0000-0000-000076B40000}"/>
    <cellStyle name="标题 5 4 5" xfId="46199" xr:uid="{00000000-0005-0000-0000-000077B40000}"/>
    <cellStyle name="标题 5 4 6" xfId="46200" xr:uid="{00000000-0005-0000-0000-000078B40000}"/>
    <cellStyle name="标题 5 5" xfId="46201" xr:uid="{00000000-0005-0000-0000-000079B40000}"/>
    <cellStyle name="标题 5 5 2" xfId="46202" xr:uid="{00000000-0005-0000-0000-00007AB40000}"/>
    <cellStyle name="标题 5 5 2 2" xfId="46203" xr:uid="{00000000-0005-0000-0000-00007BB40000}"/>
    <cellStyle name="标题 5 5 2 3" xfId="46204" xr:uid="{00000000-0005-0000-0000-00007CB40000}"/>
    <cellStyle name="标题 5 5 2 3 2" xfId="46205" xr:uid="{00000000-0005-0000-0000-00007DB40000}"/>
    <cellStyle name="标题 5 5 2 3 2 2" xfId="46206" xr:uid="{00000000-0005-0000-0000-00007EB40000}"/>
    <cellStyle name="标题 5 5 2 4" xfId="46207" xr:uid="{00000000-0005-0000-0000-00007FB40000}"/>
    <cellStyle name="标题 5 5 2 4 2" xfId="46208" xr:uid="{00000000-0005-0000-0000-000080B40000}"/>
    <cellStyle name="标题 5 5 3" xfId="46209" xr:uid="{00000000-0005-0000-0000-000081B40000}"/>
    <cellStyle name="标题 5 5 4" xfId="46210" xr:uid="{00000000-0005-0000-0000-000082B40000}"/>
    <cellStyle name="标题 5 5 5" xfId="46211" xr:uid="{00000000-0005-0000-0000-000083B40000}"/>
    <cellStyle name="标题 5 5 6" xfId="46212" xr:uid="{00000000-0005-0000-0000-000084B40000}"/>
    <cellStyle name="标题 5 6" xfId="46213" xr:uid="{00000000-0005-0000-0000-000085B40000}"/>
    <cellStyle name="标题 5 6 2" xfId="46214" xr:uid="{00000000-0005-0000-0000-000086B40000}"/>
    <cellStyle name="标题 5 6 2 2" xfId="46215" xr:uid="{00000000-0005-0000-0000-000087B40000}"/>
    <cellStyle name="标题 5 6 2 2 2" xfId="46216" xr:uid="{00000000-0005-0000-0000-000088B40000}"/>
    <cellStyle name="标题 5 6 2 2 2 2" xfId="46217" xr:uid="{00000000-0005-0000-0000-000089B40000}"/>
    <cellStyle name="标题 5 6 2 3" xfId="46218" xr:uid="{00000000-0005-0000-0000-00008AB40000}"/>
    <cellStyle name="标题 5 6 2 3 2" xfId="46219" xr:uid="{00000000-0005-0000-0000-00008BB40000}"/>
    <cellStyle name="标题 5 6 3" xfId="46220" xr:uid="{00000000-0005-0000-0000-00008CB40000}"/>
    <cellStyle name="标题 5 6 3 2" xfId="46221" xr:uid="{00000000-0005-0000-0000-00008DB40000}"/>
    <cellStyle name="标题 5 6 3 2 2" xfId="46222" xr:uid="{00000000-0005-0000-0000-00008EB40000}"/>
    <cellStyle name="标题 5 6 4" xfId="46223" xr:uid="{00000000-0005-0000-0000-00008FB40000}"/>
    <cellStyle name="标题 5 6 4 2" xfId="46224" xr:uid="{00000000-0005-0000-0000-000090B40000}"/>
    <cellStyle name="标题 5 7" xfId="46225" xr:uid="{00000000-0005-0000-0000-000091B40000}"/>
    <cellStyle name="标题 5 7 2" xfId="46226" xr:uid="{00000000-0005-0000-0000-000092B40000}"/>
    <cellStyle name="标题 5 7 2 2" xfId="46227" xr:uid="{00000000-0005-0000-0000-000093B40000}"/>
    <cellStyle name="标题 5 7 2 2 2" xfId="46228" xr:uid="{00000000-0005-0000-0000-000094B40000}"/>
    <cellStyle name="标题 5 7 2 2 2 2" xfId="46229" xr:uid="{00000000-0005-0000-0000-000095B40000}"/>
    <cellStyle name="标题 5 7 2 3" xfId="46230" xr:uid="{00000000-0005-0000-0000-000096B40000}"/>
    <cellStyle name="标题 5 7 2 3 2" xfId="46231" xr:uid="{00000000-0005-0000-0000-000097B40000}"/>
    <cellStyle name="标题 5 7 3" xfId="46232" xr:uid="{00000000-0005-0000-0000-000098B40000}"/>
    <cellStyle name="标题 5 7 3 2" xfId="46233" xr:uid="{00000000-0005-0000-0000-000099B40000}"/>
    <cellStyle name="标题 5 7 3 2 2" xfId="46234" xr:uid="{00000000-0005-0000-0000-00009AB40000}"/>
    <cellStyle name="标题 5 7 4" xfId="46235" xr:uid="{00000000-0005-0000-0000-00009BB40000}"/>
    <cellStyle name="标题 5 7 4 2" xfId="46236" xr:uid="{00000000-0005-0000-0000-00009CB40000}"/>
    <cellStyle name="标题 5 8" xfId="46237" xr:uid="{00000000-0005-0000-0000-00009DB40000}"/>
    <cellStyle name="标题 5 8 2" xfId="46238" xr:uid="{00000000-0005-0000-0000-00009EB40000}"/>
    <cellStyle name="标题 5 8 2 2" xfId="46239" xr:uid="{00000000-0005-0000-0000-00009FB40000}"/>
    <cellStyle name="标题 5 8 2 2 2" xfId="46240" xr:uid="{00000000-0005-0000-0000-0000A0B40000}"/>
    <cellStyle name="标题 5 8 2 2 2 2" xfId="46241" xr:uid="{00000000-0005-0000-0000-0000A1B40000}"/>
    <cellStyle name="标题 5 8 2 3" xfId="46242" xr:uid="{00000000-0005-0000-0000-0000A2B40000}"/>
    <cellStyle name="标题 5 8 2 3 2" xfId="46243" xr:uid="{00000000-0005-0000-0000-0000A3B40000}"/>
    <cellStyle name="标题 5 8 3" xfId="46244" xr:uid="{00000000-0005-0000-0000-0000A4B40000}"/>
    <cellStyle name="标题 5 8 3 2" xfId="46245" xr:uid="{00000000-0005-0000-0000-0000A5B40000}"/>
    <cellStyle name="标题 5 8 3 2 2" xfId="46246" xr:uid="{00000000-0005-0000-0000-0000A6B40000}"/>
    <cellStyle name="标题 5 8 4" xfId="46247" xr:uid="{00000000-0005-0000-0000-0000A7B40000}"/>
    <cellStyle name="标题 5 8 4 2" xfId="46248" xr:uid="{00000000-0005-0000-0000-0000A8B40000}"/>
    <cellStyle name="标题 5 9" xfId="46249" xr:uid="{00000000-0005-0000-0000-0000A9B40000}"/>
    <cellStyle name="标题 5 9 2" xfId="46250" xr:uid="{00000000-0005-0000-0000-0000AAB40000}"/>
    <cellStyle name="标题 5 9 2 2" xfId="46251" xr:uid="{00000000-0005-0000-0000-0000ABB40000}"/>
    <cellStyle name="标题 5 9 2 2 2" xfId="46252" xr:uid="{00000000-0005-0000-0000-0000ACB40000}"/>
    <cellStyle name="标题 5 9 3" xfId="46253" xr:uid="{00000000-0005-0000-0000-0000ADB40000}"/>
    <cellStyle name="标题 5 9 3 2" xfId="46254" xr:uid="{00000000-0005-0000-0000-0000AEB40000}"/>
    <cellStyle name="标题 6" xfId="46255" xr:uid="{00000000-0005-0000-0000-0000AFB40000}"/>
    <cellStyle name="标题 6 2" xfId="46256" xr:uid="{00000000-0005-0000-0000-0000B0B40000}"/>
    <cellStyle name="标题 6 2 2" xfId="46257" xr:uid="{00000000-0005-0000-0000-0000B1B40000}"/>
    <cellStyle name="标题 6 2 2 2" xfId="46258" xr:uid="{00000000-0005-0000-0000-0000B2B40000}"/>
    <cellStyle name="标题 6 2 2 2 2" xfId="46259" xr:uid="{00000000-0005-0000-0000-0000B3B40000}"/>
    <cellStyle name="标题 6 2 2 2 3" xfId="46260" xr:uid="{00000000-0005-0000-0000-0000B4B40000}"/>
    <cellStyle name="标题 6 2 2 2 3 2" xfId="46261" xr:uid="{00000000-0005-0000-0000-0000B5B40000}"/>
    <cellStyle name="标题 6 2 2 2 3 2 2" xfId="46262" xr:uid="{00000000-0005-0000-0000-0000B6B40000}"/>
    <cellStyle name="标题 6 2 2 2 4" xfId="46263" xr:uid="{00000000-0005-0000-0000-0000B7B40000}"/>
    <cellStyle name="标题 6 2 2 2 4 2" xfId="46264" xr:uid="{00000000-0005-0000-0000-0000B8B40000}"/>
    <cellStyle name="标题 6 2 2 3" xfId="46265" xr:uid="{00000000-0005-0000-0000-0000B9B40000}"/>
    <cellStyle name="标题 6 2 2 3 2" xfId="46266" xr:uid="{00000000-0005-0000-0000-0000BAB40000}"/>
    <cellStyle name="标题 6 2 2 3 2 2" xfId="46267" xr:uid="{00000000-0005-0000-0000-0000BBB40000}"/>
    <cellStyle name="标题 6 2 2 3 2 2 2" xfId="46268" xr:uid="{00000000-0005-0000-0000-0000BCB40000}"/>
    <cellStyle name="标题 6 2 2 3 3" xfId="46269" xr:uid="{00000000-0005-0000-0000-0000BDB40000}"/>
    <cellStyle name="标题 6 2 2 3 3 2" xfId="46270" xr:uid="{00000000-0005-0000-0000-0000BEB40000}"/>
    <cellStyle name="标题 6 2 2 4" xfId="46271" xr:uid="{00000000-0005-0000-0000-0000BFB40000}"/>
    <cellStyle name="标题 6 2 2 5" xfId="46272" xr:uid="{00000000-0005-0000-0000-0000C0B40000}"/>
    <cellStyle name="标题 6 2 2 6" xfId="46273" xr:uid="{00000000-0005-0000-0000-0000C1B40000}"/>
    <cellStyle name="标题 6 2 3" xfId="46274" xr:uid="{00000000-0005-0000-0000-0000C2B40000}"/>
    <cellStyle name="标题 6 2 3 2" xfId="46275" xr:uid="{00000000-0005-0000-0000-0000C3B40000}"/>
    <cellStyle name="标题 6 2 3 3" xfId="46276" xr:uid="{00000000-0005-0000-0000-0000C4B40000}"/>
    <cellStyle name="标题 6 2 3 3 2" xfId="46277" xr:uid="{00000000-0005-0000-0000-0000C5B40000}"/>
    <cellStyle name="标题 6 2 3 3 2 2" xfId="46278" xr:uid="{00000000-0005-0000-0000-0000C6B40000}"/>
    <cellStyle name="标题 6 2 3 4" xfId="46279" xr:uid="{00000000-0005-0000-0000-0000C7B40000}"/>
    <cellStyle name="标题 6 2 3 4 2" xfId="46280" xr:uid="{00000000-0005-0000-0000-0000C8B40000}"/>
    <cellStyle name="标题 6 2 4" xfId="46281" xr:uid="{00000000-0005-0000-0000-0000C9B40000}"/>
    <cellStyle name="标题 6 2 4 2" xfId="46282" xr:uid="{00000000-0005-0000-0000-0000CAB40000}"/>
    <cellStyle name="标题 6 2 4 2 2" xfId="46283" xr:uid="{00000000-0005-0000-0000-0000CBB40000}"/>
    <cellStyle name="标题 6 2 4 2 2 2" xfId="46284" xr:uid="{00000000-0005-0000-0000-0000CCB40000}"/>
    <cellStyle name="标题 6 2 4 3" xfId="46285" xr:uid="{00000000-0005-0000-0000-0000CDB40000}"/>
    <cellStyle name="标题 6 2 4 3 2" xfId="46286" xr:uid="{00000000-0005-0000-0000-0000CEB40000}"/>
    <cellStyle name="标题 6 2 5" xfId="46287" xr:uid="{00000000-0005-0000-0000-0000CFB40000}"/>
    <cellStyle name="标题 6 2 6" xfId="46288" xr:uid="{00000000-0005-0000-0000-0000D0B40000}"/>
    <cellStyle name="标题 6 2 7" xfId="46289" xr:uid="{00000000-0005-0000-0000-0000D1B40000}"/>
    <cellStyle name="标题 6 3" xfId="46290" xr:uid="{00000000-0005-0000-0000-0000D2B40000}"/>
    <cellStyle name="标题 6 3 2" xfId="46291" xr:uid="{00000000-0005-0000-0000-0000D3B40000}"/>
    <cellStyle name="标题 6 3 2 2" xfId="46292" xr:uid="{00000000-0005-0000-0000-0000D4B40000}"/>
    <cellStyle name="标题 6 3 2 3" xfId="46293" xr:uid="{00000000-0005-0000-0000-0000D5B40000}"/>
    <cellStyle name="标题 6 3 2 3 2" xfId="46294" xr:uid="{00000000-0005-0000-0000-0000D6B40000}"/>
    <cellStyle name="标题 6 3 2 3 2 2" xfId="46295" xr:uid="{00000000-0005-0000-0000-0000D7B40000}"/>
    <cellStyle name="标题 6 3 2 4" xfId="46296" xr:uid="{00000000-0005-0000-0000-0000D8B40000}"/>
    <cellStyle name="标题 6 3 2 4 2" xfId="46297" xr:uid="{00000000-0005-0000-0000-0000D9B40000}"/>
    <cellStyle name="标题 6 3 3" xfId="46298" xr:uid="{00000000-0005-0000-0000-0000DAB40000}"/>
    <cellStyle name="标题 6 3 3 2" xfId="46299" xr:uid="{00000000-0005-0000-0000-0000DBB40000}"/>
    <cellStyle name="标题 6 3 3 2 2" xfId="46300" xr:uid="{00000000-0005-0000-0000-0000DCB40000}"/>
    <cellStyle name="标题 6 3 3 2 2 2" xfId="46301" xr:uid="{00000000-0005-0000-0000-0000DDB40000}"/>
    <cellStyle name="标题 6 3 3 3" xfId="46302" xr:uid="{00000000-0005-0000-0000-0000DEB40000}"/>
    <cellStyle name="标题 6 3 3 3 2" xfId="46303" xr:uid="{00000000-0005-0000-0000-0000DFB40000}"/>
    <cellStyle name="标题 6 3 4" xfId="46304" xr:uid="{00000000-0005-0000-0000-0000E0B40000}"/>
    <cellStyle name="标题 6 3 5" xfId="46305" xr:uid="{00000000-0005-0000-0000-0000E1B40000}"/>
    <cellStyle name="标题 6 3 6" xfId="46306" xr:uid="{00000000-0005-0000-0000-0000E2B40000}"/>
    <cellStyle name="标题 6 4" xfId="46307" xr:uid="{00000000-0005-0000-0000-0000E3B40000}"/>
    <cellStyle name="标题 6 4 2" xfId="46308" xr:uid="{00000000-0005-0000-0000-0000E4B40000}"/>
    <cellStyle name="标题 6 4 2 2" xfId="46309" xr:uid="{00000000-0005-0000-0000-0000E5B40000}"/>
    <cellStyle name="标题 6 4 2 3" xfId="46310" xr:uid="{00000000-0005-0000-0000-0000E6B40000}"/>
    <cellStyle name="标题 6 4 2 3 2" xfId="46311" xr:uid="{00000000-0005-0000-0000-0000E7B40000}"/>
    <cellStyle name="标题 6 4 2 3 2 2" xfId="46312" xr:uid="{00000000-0005-0000-0000-0000E8B40000}"/>
    <cellStyle name="标题 6 4 2 4" xfId="46313" xr:uid="{00000000-0005-0000-0000-0000E9B40000}"/>
    <cellStyle name="标题 6 4 2 4 2" xfId="46314" xr:uid="{00000000-0005-0000-0000-0000EAB40000}"/>
    <cellStyle name="标题 6 4 3" xfId="46315" xr:uid="{00000000-0005-0000-0000-0000EBB40000}"/>
    <cellStyle name="标题 6 4 4" xfId="46316" xr:uid="{00000000-0005-0000-0000-0000ECB40000}"/>
    <cellStyle name="标题 6 4 5" xfId="46317" xr:uid="{00000000-0005-0000-0000-0000EDB40000}"/>
    <cellStyle name="标题 6 4 6" xfId="46318" xr:uid="{00000000-0005-0000-0000-0000EEB40000}"/>
    <cellStyle name="标题 6 5" xfId="46319" xr:uid="{00000000-0005-0000-0000-0000EFB40000}"/>
    <cellStyle name="标题 6 5 2" xfId="46320" xr:uid="{00000000-0005-0000-0000-0000F0B40000}"/>
    <cellStyle name="标题 6 5 2 2" xfId="46321" xr:uid="{00000000-0005-0000-0000-0000F1B40000}"/>
    <cellStyle name="标题 6 5 2 2 2" xfId="46322" xr:uid="{00000000-0005-0000-0000-0000F2B40000}"/>
    <cellStyle name="标题 6 5 2 2 2 2" xfId="46323" xr:uid="{00000000-0005-0000-0000-0000F3B40000}"/>
    <cellStyle name="标题 6 5 2 3" xfId="46324" xr:uid="{00000000-0005-0000-0000-0000F4B40000}"/>
    <cellStyle name="标题 6 5 2 3 2" xfId="46325" xr:uid="{00000000-0005-0000-0000-0000F5B40000}"/>
    <cellStyle name="标题 6 5 3" xfId="46326" xr:uid="{00000000-0005-0000-0000-0000F6B40000}"/>
    <cellStyle name="标题 6 5 3 2" xfId="46327" xr:uid="{00000000-0005-0000-0000-0000F7B40000}"/>
    <cellStyle name="标题 6 5 3 2 2" xfId="46328" xr:uid="{00000000-0005-0000-0000-0000F8B40000}"/>
    <cellStyle name="标题 6 5 4" xfId="46329" xr:uid="{00000000-0005-0000-0000-0000F9B40000}"/>
    <cellStyle name="标题 6 5 4 2" xfId="46330" xr:uid="{00000000-0005-0000-0000-0000FAB40000}"/>
    <cellStyle name="标题 6 6" xfId="46331" xr:uid="{00000000-0005-0000-0000-0000FBB40000}"/>
    <cellStyle name="标题 6 6 2" xfId="46332" xr:uid="{00000000-0005-0000-0000-0000FCB40000}"/>
    <cellStyle name="标题 6 6 2 2" xfId="46333" xr:uid="{00000000-0005-0000-0000-0000FDB40000}"/>
    <cellStyle name="标题 6 6 2 2 2" xfId="46334" xr:uid="{00000000-0005-0000-0000-0000FEB40000}"/>
    <cellStyle name="标题 6 6 3" xfId="46335" xr:uid="{00000000-0005-0000-0000-0000FFB40000}"/>
    <cellStyle name="标题 6 6 3 2" xfId="46336" xr:uid="{00000000-0005-0000-0000-000000B50000}"/>
    <cellStyle name="标题 6 7" xfId="46337" xr:uid="{00000000-0005-0000-0000-000001B50000}"/>
    <cellStyle name="标题 6 8" xfId="46338" xr:uid="{00000000-0005-0000-0000-000002B50000}"/>
    <cellStyle name="桁区切り [0.00]_WJP_Marketing Expense_2009 AOP_V2 (2)" xfId="46339" xr:uid="{00000000-0005-0000-0000-000003B50000}"/>
    <cellStyle name="检查单元格 2" xfId="46340" xr:uid="{00000000-0005-0000-0000-000004B50000}"/>
    <cellStyle name="检查单元格 2 10" xfId="46341" xr:uid="{00000000-0005-0000-0000-000005B50000}"/>
    <cellStyle name="检查单元格 2 11" xfId="46342" xr:uid="{00000000-0005-0000-0000-000006B50000}"/>
    <cellStyle name="检查单元格 2 2" xfId="46343" xr:uid="{00000000-0005-0000-0000-000007B50000}"/>
    <cellStyle name="检查单元格 2 2 10" xfId="46344" xr:uid="{00000000-0005-0000-0000-000008B50000}"/>
    <cellStyle name="检查单元格 2 2 11" xfId="46345" xr:uid="{00000000-0005-0000-0000-000009B50000}"/>
    <cellStyle name="检查单元格 2 2 2" xfId="46346" xr:uid="{00000000-0005-0000-0000-00000AB50000}"/>
    <cellStyle name="检查单元格 2 2 2 2" xfId="46347" xr:uid="{00000000-0005-0000-0000-00000BB50000}"/>
    <cellStyle name="检查单元格 2 2 2 2 2" xfId="46348" xr:uid="{00000000-0005-0000-0000-00000CB50000}"/>
    <cellStyle name="检查单元格 2 2 2 2 2 2" xfId="46349" xr:uid="{00000000-0005-0000-0000-00000DB50000}"/>
    <cellStyle name="检查单元格 2 2 2 2 2 3" xfId="46350" xr:uid="{00000000-0005-0000-0000-00000EB50000}"/>
    <cellStyle name="检查单元格 2 2 2 2 2 3 2" xfId="46351" xr:uid="{00000000-0005-0000-0000-00000FB50000}"/>
    <cellStyle name="检查单元格 2 2 2 2 2 3 2 2" xfId="46352" xr:uid="{00000000-0005-0000-0000-000010B50000}"/>
    <cellStyle name="检查单元格 2 2 2 2 2 4" xfId="46353" xr:uid="{00000000-0005-0000-0000-000011B50000}"/>
    <cellStyle name="检查单元格 2 2 2 2 2 4 2" xfId="46354" xr:uid="{00000000-0005-0000-0000-000012B50000}"/>
    <cellStyle name="检查单元格 2 2 2 2 3" xfId="46355" xr:uid="{00000000-0005-0000-0000-000013B50000}"/>
    <cellStyle name="检查单元格 2 2 2 2 3 2" xfId="46356" xr:uid="{00000000-0005-0000-0000-000014B50000}"/>
    <cellStyle name="检查单元格 2 2 2 2 3 2 2" xfId="46357" xr:uid="{00000000-0005-0000-0000-000015B50000}"/>
    <cellStyle name="检查单元格 2 2 2 2 3 2 2 2" xfId="46358" xr:uid="{00000000-0005-0000-0000-000016B50000}"/>
    <cellStyle name="检查单元格 2 2 2 2 3 3" xfId="46359" xr:uid="{00000000-0005-0000-0000-000017B50000}"/>
    <cellStyle name="检查单元格 2 2 2 2 3 3 2" xfId="46360" xr:uid="{00000000-0005-0000-0000-000018B50000}"/>
    <cellStyle name="检查单元格 2 2 2 2 4" xfId="46361" xr:uid="{00000000-0005-0000-0000-000019B50000}"/>
    <cellStyle name="检查单元格 2 2 2 2 5" xfId="46362" xr:uid="{00000000-0005-0000-0000-00001AB50000}"/>
    <cellStyle name="检查单元格 2 2 2 2 6" xfId="46363" xr:uid="{00000000-0005-0000-0000-00001BB50000}"/>
    <cellStyle name="检查单元格 2 2 2 3" xfId="46364" xr:uid="{00000000-0005-0000-0000-00001CB50000}"/>
    <cellStyle name="检查单元格 2 2 2 3 2" xfId="46365" xr:uid="{00000000-0005-0000-0000-00001DB50000}"/>
    <cellStyle name="检查单元格 2 2 2 3 3" xfId="46366" xr:uid="{00000000-0005-0000-0000-00001EB50000}"/>
    <cellStyle name="检查单元格 2 2 2 3 3 2" xfId="46367" xr:uid="{00000000-0005-0000-0000-00001FB50000}"/>
    <cellStyle name="检查单元格 2 2 2 3 3 2 2" xfId="46368" xr:uid="{00000000-0005-0000-0000-000020B50000}"/>
    <cellStyle name="检查单元格 2 2 2 3 4" xfId="46369" xr:uid="{00000000-0005-0000-0000-000021B50000}"/>
    <cellStyle name="检查单元格 2 2 2 3 4 2" xfId="46370" xr:uid="{00000000-0005-0000-0000-000022B50000}"/>
    <cellStyle name="检查单元格 2 2 2 4" xfId="46371" xr:uid="{00000000-0005-0000-0000-000023B50000}"/>
    <cellStyle name="检查单元格 2 2 2 4 2" xfId="46372" xr:uid="{00000000-0005-0000-0000-000024B50000}"/>
    <cellStyle name="检查单元格 2 2 2 4 2 2" xfId="46373" xr:uid="{00000000-0005-0000-0000-000025B50000}"/>
    <cellStyle name="检查单元格 2 2 2 4 2 2 2" xfId="46374" xr:uid="{00000000-0005-0000-0000-000026B50000}"/>
    <cellStyle name="检查单元格 2 2 2 4 3" xfId="46375" xr:uid="{00000000-0005-0000-0000-000027B50000}"/>
    <cellStyle name="检查单元格 2 2 2 4 3 2" xfId="46376" xr:uid="{00000000-0005-0000-0000-000028B50000}"/>
    <cellStyle name="检查单元格 2 2 2 5" xfId="46377" xr:uid="{00000000-0005-0000-0000-000029B50000}"/>
    <cellStyle name="检查单元格 2 2 2 6" xfId="46378" xr:uid="{00000000-0005-0000-0000-00002AB50000}"/>
    <cellStyle name="检查单元格 2 2 2 7" xfId="46379" xr:uid="{00000000-0005-0000-0000-00002BB50000}"/>
    <cellStyle name="检查单元格 2 2 3" xfId="46380" xr:uid="{00000000-0005-0000-0000-00002CB50000}"/>
    <cellStyle name="检查单元格 2 2 3 2" xfId="46381" xr:uid="{00000000-0005-0000-0000-00002DB50000}"/>
    <cellStyle name="检查单元格 2 2 3 2 2" xfId="46382" xr:uid="{00000000-0005-0000-0000-00002EB50000}"/>
    <cellStyle name="检查单元格 2 2 3 2 3" xfId="46383" xr:uid="{00000000-0005-0000-0000-00002FB50000}"/>
    <cellStyle name="检查单元格 2 2 3 2 3 2" xfId="46384" xr:uid="{00000000-0005-0000-0000-000030B50000}"/>
    <cellStyle name="检查单元格 2 2 3 2 3 2 2" xfId="46385" xr:uid="{00000000-0005-0000-0000-000031B50000}"/>
    <cellStyle name="检查单元格 2 2 3 2 4" xfId="46386" xr:uid="{00000000-0005-0000-0000-000032B50000}"/>
    <cellStyle name="检查单元格 2 2 3 2 4 2" xfId="46387" xr:uid="{00000000-0005-0000-0000-000033B50000}"/>
    <cellStyle name="检查单元格 2 2 3 3" xfId="46388" xr:uid="{00000000-0005-0000-0000-000034B50000}"/>
    <cellStyle name="检查单元格 2 2 3 3 2" xfId="46389" xr:uid="{00000000-0005-0000-0000-000035B50000}"/>
    <cellStyle name="检查单元格 2 2 3 3 2 2" xfId="46390" xr:uid="{00000000-0005-0000-0000-000036B50000}"/>
    <cellStyle name="检查单元格 2 2 3 3 2 2 2" xfId="46391" xr:uid="{00000000-0005-0000-0000-000037B50000}"/>
    <cellStyle name="检查单元格 2 2 3 3 3" xfId="46392" xr:uid="{00000000-0005-0000-0000-000038B50000}"/>
    <cellStyle name="检查单元格 2 2 3 3 3 2" xfId="46393" xr:uid="{00000000-0005-0000-0000-000039B50000}"/>
    <cellStyle name="检查单元格 2 2 3 4" xfId="46394" xr:uid="{00000000-0005-0000-0000-00003AB50000}"/>
    <cellStyle name="检查单元格 2 2 3 5" xfId="46395" xr:uid="{00000000-0005-0000-0000-00003BB50000}"/>
    <cellStyle name="检查单元格 2 2 3 6" xfId="46396" xr:uid="{00000000-0005-0000-0000-00003CB50000}"/>
    <cellStyle name="检查单元格 2 2 4" xfId="46397" xr:uid="{00000000-0005-0000-0000-00003DB50000}"/>
    <cellStyle name="检查单元格 2 2 4 2" xfId="46398" xr:uid="{00000000-0005-0000-0000-00003EB50000}"/>
    <cellStyle name="检查单元格 2 2 4 2 2" xfId="46399" xr:uid="{00000000-0005-0000-0000-00003FB50000}"/>
    <cellStyle name="检查单元格 2 2 4 2 3" xfId="46400" xr:uid="{00000000-0005-0000-0000-000040B50000}"/>
    <cellStyle name="检查单元格 2 2 4 2 3 2" xfId="46401" xr:uid="{00000000-0005-0000-0000-000041B50000}"/>
    <cellStyle name="检查单元格 2 2 4 2 3 2 2" xfId="46402" xr:uid="{00000000-0005-0000-0000-000042B50000}"/>
    <cellStyle name="检查单元格 2 2 4 2 4" xfId="46403" xr:uid="{00000000-0005-0000-0000-000043B50000}"/>
    <cellStyle name="检查单元格 2 2 4 2 4 2" xfId="46404" xr:uid="{00000000-0005-0000-0000-000044B50000}"/>
    <cellStyle name="检查单元格 2 2 4 3" xfId="46405" xr:uid="{00000000-0005-0000-0000-000045B50000}"/>
    <cellStyle name="检查单元格 2 2 4 4" xfId="46406" xr:uid="{00000000-0005-0000-0000-000046B50000}"/>
    <cellStyle name="检查单元格 2 2 4 5" xfId="46407" xr:uid="{00000000-0005-0000-0000-000047B50000}"/>
    <cellStyle name="检查单元格 2 2 4 6" xfId="46408" xr:uid="{00000000-0005-0000-0000-000048B50000}"/>
    <cellStyle name="检查单元格 2 2 5" xfId="46409" xr:uid="{00000000-0005-0000-0000-000049B50000}"/>
    <cellStyle name="检查单元格 2 2 5 2" xfId="46410" xr:uid="{00000000-0005-0000-0000-00004AB50000}"/>
    <cellStyle name="检查单元格 2 2 5 2 2" xfId="46411" xr:uid="{00000000-0005-0000-0000-00004BB50000}"/>
    <cellStyle name="检查单元格 2 2 5 2 2 2" xfId="46412" xr:uid="{00000000-0005-0000-0000-00004CB50000}"/>
    <cellStyle name="检查单元格 2 2 5 2 2 2 2" xfId="46413" xr:uid="{00000000-0005-0000-0000-00004DB50000}"/>
    <cellStyle name="检查单元格 2 2 5 2 3" xfId="46414" xr:uid="{00000000-0005-0000-0000-00004EB50000}"/>
    <cellStyle name="检查单元格 2 2 5 2 3 2" xfId="46415" xr:uid="{00000000-0005-0000-0000-00004FB50000}"/>
    <cellStyle name="检查单元格 2 2 5 3" xfId="46416" xr:uid="{00000000-0005-0000-0000-000050B50000}"/>
    <cellStyle name="检查单元格 2 2 5 3 2" xfId="46417" xr:uid="{00000000-0005-0000-0000-000051B50000}"/>
    <cellStyle name="检查单元格 2 2 5 3 2 2" xfId="46418" xr:uid="{00000000-0005-0000-0000-000052B50000}"/>
    <cellStyle name="检查单元格 2 2 5 4" xfId="46419" xr:uid="{00000000-0005-0000-0000-000053B50000}"/>
    <cellStyle name="检查单元格 2 2 5 4 2" xfId="46420" xr:uid="{00000000-0005-0000-0000-000054B50000}"/>
    <cellStyle name="检查单元格 2 2 6" xfId="46421" xr:uid="{00000000-0005-0000-0000-000055B50000}"/>
    <cellStyle name="检查单元格 2 2 6 2" xfId="46422" xr:uid="{00000000-0005-0000-0000-000056B50000}"/>
    <cellStyle name="检查单元格 2 2 6 2 2" xfId="46423" xr:uid="{00000000-0005-0000-0000-000057B50000}"/>
    <cellStyle name="检查单元格 2 2 6 2 2 2" xfId="46424" xr:uid="{00000000-0005-0000-0000-000058B50000}"/>
    <cellStyle name="检查单元格 2 2 6 2 2 2 2" xfId="46425" xr:uid="{00000000-0005-0000-0000-000059B50000}"/>
    <cellStyle name="检查单元格 2 2 6 2 3" xfId="46426" xr:uid="{00000000-0005-0000-0000-00005AB50000}"/>
    <cellStyle name="检查单元格 2 2 6 2 3 2" xfId="46427" xr:uid="{00000000-0005-0000-0000-00005BB50000}"/>
    <cellStyle name="检查单元格 2 2 6 3" xfId="46428" xr:uid="{00000000-0005-0000-0000-00005CB50000}"/>
    <cellStyle name="检查单元格 2 2 6 3 2" xfId="46429" xr:uid="{00000000-0005-0000-0000-00005DB50000}"/>
    <cellStyle name="检查单元格 2 2 6 3 2 2" xfId="46430" xr:uid="{00000000-0005-0000-0000-00005EB50000}"/>
    <cellStyle name="检查单元格 2 2 6 4" xfId="46431" xr:uid="{00000000-0005-0000-0000-00005FB50000}"/>
    <cellStyle name="检查单元格 2 2 6 4 2" xfId="46432" xr:uid="{00000000-0005-0000-0000-000060B50000}"/>
    <cellStyle name="检查单元格 2 2 7" xfId="46433" xr:uid="{00000000-0005-0000-0000-000061B50000}"/>
    <cellStyle name="检查单元格 2 2 7 2" xfId="46434" xr:uid="{00000000-0005-0000-0000-000062B50000}"/>
    <cellStyle name="检查单元格 2 2 7 2 2" xfId="46435" xr:uid="{00000000-0005-0000-0000-000063B50000}"/>
    <cellStyle name="检查单元格 2 2 7 2 2 2" xfId="46436" xr:uid="{00000000-0005-0000-0000-000064B50000}"/>
    <cellStyle name="检查单元格 2 2 7 2 2 2 2" xfId="46437" xr:uid="{00000000-0005-0000-0000-000065B50000}"/>
    <cellStyle name="检查单元格 2 2 7 2 3" xfId="46438" xr:uid="{00000000-0005-0000-0000-000066B50000}"/>
    <cellStyle name="检查单元格 2 2 7 2 3 2" xfId="46439" xr:uid="{00000000-0005-0000-0000-000067B50000}"/>
    <cellStyle name="检查单元格 2 2 7 3" xfId="46440" xr:uid="{00000000-0005-0000-0000-000068B50000}"/>
    <cellStyle name="检查单元格 2 2 7 3 2" xfId="46441" xr:uid="{00000000-0005-0000-0000-000069B50000}"/>
    <cellStyle name="检查单元格 2 2 7 3 2 2" xfId="46442" xr:uid="{00000000-0005-0000-0000-00006AB50000}"/>
    <cellStyle name="检查单元格 2 2 7 4" xfId="46443" xr:uid="{00000000-0005-0000-0000-00006BB50000}"/>
    <cellStyle name="检查单元格 2 2 7 4 2" xfId="46444" xr:uid="{00000000-0005-0000-0000-00006CB50000}"/>
    <cellStyle name="检查单元格 2 2 8" xfId="46445" xr:uid="{00000000-0005-0000-0000-00006DB50000}"/>
    <cellStyle name="检查单元格 2 2 8 2" xfId="46446" xr:uid="{00000000-0005-0000-0000-00006EB50000}"/>
    <cellStyle name="检查单元格 2 2 8 2 2" xfId="46447" xr:uid="{00000000-0005-0000-0000-00006FB50000}"/>
    <cellStyle name="检查单元格 2 2 8 2 2 2" xfId="46448" xr:uid="{00000000-0005-0000-0000-000070B50000}"/>
    <cellStyle name="检查单元格 2 2 8 3" xfId="46449" xr:uid="{00000000-0005-0000-0000-000071B50000}"/>
    <cellStyle name="检查单元格 2 2 8 3 2" xfId="46450" xr:uid="{00000000-0005-0000-0000-000072B50000}"/>
    <cellStyle name="检查单元格 2 2 9" xfId="46451" xr:uid="{00000000-0005-0000-0000-000073B50000}"/>
    <cellStyle name="检查单元格 2 2 9 2" xfId="46452" xr:uid="{00000000-0005-0000-0000-000074B50000}"/>
    <cellStyle name="检查单元格 2 2 9 2 2" xfId="46453" xr:uid="{00000000-0005-0000-0000-000075B50000}"/>
    <cellStyle name="检查单元格 2 2 9 2 2 2" xfId="46454" xr:uid="{00000000-0005-0000-0000-000076B50000}"/>
    <cellStyle name="检查单元格 2 2 9 3" xfId="46455" xr:uid="{00000000-0005-0000-0000-000077B50000}"/>
    <cellStyle name="检查单元格 2 2 9 3 2" xfId="46456" xr:uid="{00000000-0005-0000-0000-000078B50000}"/>
    <cellStyle name="检查单元格 2 3" xfId="46457" xr:uid="{00000000-0005-0000-0000-000079B50000}"/>
    <cellStyle name="检查单元格 2 3 2" xfId="46458" xr:uid="{00000000-0005-0000-0000-00007AB50000}"/>
    <cellStyle name="检查单元格 2 3 2 2" xfId="46459" xr:uid="{00000000-0005-0000-0000-00007BB50000}"/>
    <cellStyle name="检查单元格 2 3 2 2 2" xfId="46460" xr:uid="{00000000-0005-0000-0000-00007CB50000}"/>
    <cellStyle name="检查单元格 2 3 2 2 2 2" xfId="46461" xr:uid="{00000000-0005-0000-0000-00007DB50000}"/>
    <cellStyle name="检查单元格 2 3 2 2 2 3" xfId="46462" xr:uid="{00000000-0005-0000-0000-00007EB50000}"/>
    <cellStyle name="检查单元格 2 3 2 2 2 3 2" xfId="46463" xr:uid="{00000000-0005-0000-0000-00007FB50000}"/>
    <cellStyle name="检查单元格 2 3 2 2 2 3 2 2" xfId="46464" xr:uid="{00000000-0005-0000-0000-000080B50000}"/>
    <cellStyle name="检查单元格 2 3 2 2 2 4" xfId="46465" xr:uid="{00000000-0005-0000-0000-000081B50000}"/>
    <cellStyle name="检查单元格 2 3 2 2 2 4 2" xfId="46466" xr:uid="{00000000-0005-0000-0000-000082B50000}"/>
    <cellStyle name="检查单元格 2 3 2 2 3" xfId="46467" xr:uid="{00000000-0005-0000-0000-000083B50000}"/>
    <cellStyle name="检查单元格 2 3 2 2 3 2" xfId="46468" xr:uid="{00000000-0005-0000-0000-000084B50000}"/>
    <cellStyle name="检查单元格 2 3 2 2 3 2 2" xfId="46469" xr:uid="{00000000-0005-0000-0000-000085B50000}"/>
    <cellStyle name="检查单元格 2 3 2 2 3 2 2 2" xfId="46470" xr:uid="{00000000-0005-0000-0000-000086B50000}"/>
    <cellStyle name="检查单元格 2 3 2 2 3 3" xfId="46471" xr:uid="{00000000-0005-0000-0000-000087B50000}"/>
    <cellStyle name="检查单元格 2 3 2 2 3 3 2" xfId="46472" xr:uid="{00000000-0005-0000-0000-000088B50000}"/>
    <cellStyle name="检查单元格 2 3 2 2 4" xfId="46473" xr:uid="{00000000-0005-0000-0000-000089B50000}"/>
    <cellStyle name="检查单元格 2 3 2 2 5" xfId="46474" xr:uid="{00000000-0005-0000-0000-00008AB50000}"/>
    <cellStyle name="检查单元格 2 3 2 2 6" xfId="46475" xr:uid="{00000000-0005-0000-0000-00008BB50000}"/>
    <cellStyle name="检查单元格 2 3 2 3" xfId="46476" xr:uid="{00000000-0005-0000-0000-00008CB50000}"/>
    <cellStyle name="检查单元格 2 3 2 3 2" xfId="46477" xr:uid="{00000000-0005-0000-0000-00008DB50000}"/>
    <cellStyle name="检查单元格 2 3 2 3 3" xfId="46478" xr:uid="{00000000-0005-0000-0000-00008EB50000}"/>
    <cellStyle name="检查单元格 2 3 2 3 3 2" xfId="46479" xr:uid="{00000000-0005-0000-0000-00008FB50000}"/>
    <cellStyle name="检查单元格 2 3 2 3 3 2 2" xfId="46480" xr:uid="{00000000-0005-0000-0000-000090B50000}"/>
    <cellStyle name="检查单元格 2 3 2 3 4" xfId="46481" xr:uid="{00000000-0005-0000-0000-000091B50000}"/>
    <cellStyle name="检查单元格 2 3 2 3 4 2" xfId="46482" xr:uid="{00000000-0005-0000-0000-000092B50000}"/>
    <cellStyle name="检查单元格 2 3 2 4" xfId="46483" xr:uid="{00000000-0005-0000-0000-000093B50000}"/>
    <cellStyle name="检查单元格 2 3 2 4 2" xfId="46484" xr:uid="{00000000-0005-0000-0000-000094B50000}"/>
    <cellStyle name="检查单元格 2 3 2 4 2 2" xfId="46485" xr:uid="{00000000-0005-0000-0000-000095B50000}"/>
    <cellStyle name="检查单元格 2 3 2 4 2 2 2" xfId="46486" xr:uid="{00000000-0005-0000-0000-000096B50000}"/>
    <cellStyle name="检查单元格 2 3 2 4 3" xfId="46487" xr:uid="{00000000-0005-0000-0000-000097B50000}"/>
    <cellStyle name="检查单元格 2 3 2 4 3 2" xfId="46488" xr:uid="{00000000-0005-0000-0000-000098B50000}"/>
    <cellStyle name="检查单元格 2 3 2 5" xfId="46489" xr:uid="{00000000-0005-0000-0000-000099B50000}"/>
    <cellStyle name="检查单元格 2 3 2 6" xfId="46490" xr:uid="{00000000-0005-0000-0000-00009AB50000}"/>
    <cellStyle name="检查单元格 2 3 2 7" xfId="46491" xr:uid="{00000000-0005-0000-0000-00009BB50000}"/>
    <cellStyle name="检查单元格 2 3 3" xfId="46492" xr:uid="{00000000-0005-0000-0000-00009CB50000}"/>
    <cellStyle name="检查单元格 2 3 3 2" xfId="46493" xr:uid="{00000000-0005-0000-0000-00009DB50000}"/>
    <cellStyle name="检查单元格 2 3 3 2 2" xfId="46494" xr:uid="{00000000-0005-0000-0000-00009EB50000}"/>
    <cellStyle name="检查单元格 2 3 3 2 3" xfId="46495" xr:uid="{00000000-0005-0000-0000-00009FB50000}"/>
    <cellStyle name="检查单元格 2 3 3 2 3 2" xfId="46496" xr:uid="{00000000-0005-0000-0000-0000A0B50000}"/>
    <cellStyle name="检查单元格 2 3 3 2 3 2 2" xfId="46497" xr:uid="{00000000-0005-0000-0000-0000A1B50000}"/>
    <cellStyle name="检查单元格 2 3 3 2 4" xfId="46498" xr:uid="{00000000-0005-0000-0000-0000A2B50000}"/>
    <cellStyle name="检查单元格 2 3 3 2 4 2" xfId="46499" xr:uid="{00000000-0005-0000-0000-0000A3B50000}"/>
    <cellStyle name="检查单元格 2 3 3 3" xfId="46500" xr:uid="{00000000-0005-0000-0000-0000A4B50000}"/>
    <cellStyle name="检查单元格 2 3 3 3 2" xfId="46501" xr:uid="{00000000-0005-0000-0000-0000A5B50000}"/>
    <cellStyle name="检查单元格 2 3 3 3 2 2" xfId="46502" xr:uid="{00000000-0005-0000-0000-0000A6B50000}"/>
    <cellStyle name="检查单元格 2 3 3 3 2 2 2" xfId="46503" xr:uid="{00000000-0005-0000-0000-0000A7B50000}"/>
    <cellStyle name="检查单元格 2 3 3 3 3" xfId="46504" xr:uid="{00000000-0005-0000-0000-0000A8B50000}"/>
    <cellStyle name="检查单元格 2 3 3 3 3 2" xfId="46505" xr:uid="{00000000-0005-0000-0000-0000A9B50000}"/>
    <cellStyle name="检查单元格 2 3 3 4" xfId="46506" xr:uid="{00000000-0005-0000-0000-0000AAB50000}"/>
    <cellStyle name="检查单元格 2 3 3 5" xfId="46507" xr:uid="{00000000-0005-0000-0000-0000ABB50000}"/>
    <cellStyle name="检查单元格 2 3 3 6" xfId="46508" xr:uid="{00000000-0005-0000-0000-0000ACB50000}"/>
    <cellStyle name="检查单元格 2 3 4" xfId="46509" xr:uid="{00000000-0005-0000-0000-0000ADB50000}"/>
    <cellStyle name="检查单元格 2 3 4 2" xfId="46510" xr:uid="{00000000-0005-0000-0000-0000AEB50000}"/>
    <cellStyle name="检查单元格 2 3 4 2 2" xfId="46511" xr:uid="{00000000-0005-0000-0000-0000AFB50000}"/>
    <cellStyle name="检查单元格 2 3 4 2 3" xfId="46512" xr:uid="{00000000-0005-0000-0000-0000B0B50000}"/>
    <cellStyle name="检查单元格 2 3 4 2 3 2" xfId="46513" xr:uid="{00000000-0005-0000-0000-0000B1B50000}"/>
    <cellStyle name="检查单元格 2 3 4 2 3 2 2" xfId="46514" xr:uid="{00000000-0005-0000-0000-0000B2B50000}"/>
    <cellStyle name="检查单元格 2 3 4 2 4" xfId="46515" xr:uid="{00000000-0005-0000-0000-0000B3B50000}"/>
    <cellStyle name="检查单元格 2 3 4 2 4 2" xfId="46516" xr:uid="{00000000-0005-0000-0000-0000B4B50000}"/>
    <cellStyle name="检查单元格 2 3 4 3" xfId="46517" xr:uid="{00000000-0005-0000-0000-0000B5B50000}"/>
    <cellStyle name="检查单元格 2 3 4 4" xfId="46518" xr:uid="{00000000-0005-0000-0000-0000B6B50000}"/>
    <cellStyle name="检查单元格 2 3 4 5" xfId="46519" xr:uid="{00000000-0005-0000-0000-0000B7B50000}"/>
    <cellStyle name="检查单元格 2 3 4 6" xfId="46520" xr:uid="{00000000-0005-0000-0000-0000B8B50000}"/>
    <cellStyle name="检查单元格 2 3 5" xfId="46521" xr:uid="{00000000-0005-0000-0000-0000B9B50000}"/>
    <cellStyle name="检查单元格 2 3 5 2" xfId="46522" xr:uid="{00000000-0005-0000-0000-0000BAB50000}"/>
    <cellStyle name="检查单元格 2 3 5 2 2" xfId="46523" xr:uid="{00000000-0005-0000-0000-0000BBB50000}"/>
    <cellStyle name="检查单元格 2 3 5 2 2 2" xfId="46524" xr:uid="{00000000-0005-0000-0000-0000BCB50000}"/>
    <cellStyle name="检查单元格 2 3 5 2 2 2 2" xfId="46525" xr:uid="{00000000-0005-0000-0000-0000BDB50000}"/>
    <cellStyle name="检查单元格 2 3 5 2 3" xfId="46526" xr:uid="{00000000-0005-0000-0000-0000BEB50000}"/>
    <cellStyle name="检查单元格 2 3 5 2 3 2" xfId="46527" xr:uid="{00000000-0005-0000-0000-0000BFB50000}"/>
    <cellStyle name="检查单元格 2 3 5 3" xfId="46528" xr:uid="{00000000-0005-0000-0000-0000C0B50000}"/>
    <cellStyle name="检查单元格 2 3 5 3 2" xfId="46529" xr:uid="{00000000-0005-0000-0000-0000C1B50000}"/>
    <cellStyle name="检查单元格 2 3 5 3 2 2" xfId="46530" xr:uid="{00000000-0005-0000-0000-0000C2B50000}"/>
    <cellStyle name="检查单元格 2 3 5 4" xfId="46531" xr:uid="{00000000-0005-0000-0000-0000C3B50000}"/>
    <cellStyle name="检查单元格 2 3 5 4 2" xfId="46532" xr:uid="{00000000-0005-0000-0000-0000C4B50000}"/>
    <cellStyle name="检查单元格 2 3 6" xfId="46533" xr:uid="{00000000-0005-0000-0000-0000C5B50000}"/>
    <cellStyle name="检查单元格 2 3 6 2" xfId="46534" xr:uid="{00000000-0005-0000-0000-0000C6B50000}"/>
    <cellStyle name="检查单元格 2 3 6 2 2" xfId="46535" xr:uid="{00000000-0005-0000-0000-0000C7B50000}"/>
    <cellStyle name="检查单元格 2 3 6 2 2 2" xfId="46536" xr:uid="{00000000-0005-0000-0000-0000C8B50000}"/>
    <cellStyle name="检查单元格 2 3 6 3" xfId="46537" xr:uid="{00000000-0005-0000-0000-0000C9B50000}"/>
    <cellStyle name="检查单元格 2 3 6 3 2" xfId="46538" xr:uid="{00000000-0005-0000-0000-0000CAB50000}"/>
    <cellStyle name="检查单元格 2 3 7" xfId="46539" xr:uid="{00000000-0005-0000-0000-0000CBB50000}"/>
    <cellStyle name="检查单元格 2 3 7 2" xfId="46540" xr:uid="{00000000-0005-0000-0000-0000CCB50000}"/>
    <cellStyle name="检查单元格 2 3 7 2 2" xfId="46541" xr:uid="{00000000-0005-0000-0000-0000CDB50000}"/>
    <cellStyle name="检查单元格 2 3 7 2 2 2" xfId="46542" xr:uid="{00000000-0005-0000-0000-0000CEB50000}"/>
    <cellStyle name="检查单元格 2 3 7 3" xfId="46543" xr:uid="{00000000-0005-0000-0000-0000CFB50000}"/>
    <cellStyle name="检查单元格 2 3 7 3 2" xfId="46544" xr:uid="{00000000-0005-0000-0000-0000D0B50000}"/>
    <cellStyle name="检查单元格 2 3 8" xfId="46545" xr:uid="{00000000-0005-0000-0000-0000D1B50000}"/>
    <cellStyle name="检查单元格 2 3 9" xfId="46546" xr:uid="{00000000-0005-0000-0000-0000D2B50000}"/>
    <cellStyle name="检查单元格 2 4" xfId="46547" xr:uid="{00000000-0005-0000-0000-0000D3B50000}"/>
    <cellStyle name="检查单元格 2 4 2" xfId="46548" xr:uid="{00000000-0005-0000-0000-0000D4B50000}"/>
    <cellStyle name="检查单元格 2 4 2 2" xfId="46549" xr:uid="{00000000-0005-0000-0000-0000D5B50000}"/>
    <cellStyle name="检查单元格 2 4 2 3" xfId="46550" xr:uid="{00000000-0005-0000-0000-0000D6B50000}"/>
    <cellStyle name="检查单元格 2 4 2 3 2" xfId="46551" xr:uid="{00000000-0005-0000-0000-0000D7B50000}"/>
    <cellStyle name="检查单元格 2 4 2 3 2 2" xfId="46552" xr:uid="{00000000-0005-0000-0000-0000D8B50000}"/>
    <cellStyle name="检查单元格 2 4 2 4" xfId="46553" xr:uid="{00000000-0005-0000-0000-0000D9B50000}"/>
    <cellStyle name="检查单元格 2 4 2 4 2" xfId="46554" xr:uid="{00000000-0005-0000-0000-0000DAB50000}"/>
    <cellStyle name="检查单元格 2 4 3" xfId="46555" xr:uid="{00000000-0005-0000-0000-0000DBB50000}"/>
    <cellStyle name="检查单元格 2 4 3 2" xfId="46556" xr:uid="{00000000-0005-0000-0000-0000DCB50000}"/>
    <cellStyle name="检查单元格 2 4 3 2 2" xfId="46557" xr:uid="{00000000-0005-0000-0000-0000DDB50000}"/>
    <cellStyle name="检查单元格 2 4 3 2 2 2" xfId="46558" xr:uid="{00000000-0005-0000-0000-0000DEB50000}"/>
    <cellStyle name="检查单元格 2 4 3 3" xfId="46559" xr:uid="{00000000-0005-0000-0000-0000DFB50000}"/>
    <cellStyle name="检查单元格 2 4 3 3 2" xfId="46560" xr:uid="{00000000-0005-0000-0000-0000E0B50000}"/>
    <cellStyle name="检查单元格 2 4 4" xfId="46561" xr:uid="{00000000-0005-0000-0000-0000E1B50000}"/>
    <cellStyle name="检查单元格 2 4 5" xfId="46562" xr:uid="{00000000-0005-0000-0000-0000E2B50000}"/>
    <cellStyle name="检查单元格 2 4 6" xfId="46563" xr:uid="{00000000-0005-0000-0000-0000E3B50000}"/>
    <cellStyle name="检查单元格 2 5" xfId="46564" xr:uid="{00000000-0005-0000-0000-0000E4B50000}"/>
    <cellStyle name="检查单元格 2 5 2" xfId="46565" xr:uid="{00000000-0005-0000-0000-0000E5B50000}"/>
    <cellStyle name="检查单元格 2 5 2 2" xfId="46566" xr:uid="{00000000-0005-0000-0000-0000E6B50000}"/>
    <cellStyle name="检查单元格 2 5 2 3" xfId="46567" xr:uid="{00000000-0005-0000-0000-0000E7B50000}"/>
    <cellStyle name="检查单元格 2 5 2 3 2" xfId="46568" xr:uid="{00000000-0005-0000-0000-0000E8B50000}"/>
    <cellStyle name="检查单元格 2 5 2 3 2 2" xfId="46569" xr:uid="{00000000-0005-0000-0000-0000E9B50000}"/>
    <cellStyle name="检查单元格 2 5 2 4" xfId="46570" xr:uid="{00000000-0005-0000-0000-0000EAB50000}"/>
    <cellStyle name="检查单元格 2 5 2 4 2" xfId="46571" xr:uid="{00000000-0005-0000-0000-0000EBB50000}"/>
    <cellStyle name="检查单元格 2 5 3" xfId="46572" xr:uid="{00000000-0005-0000-0000-0000ECB50000}"/>
    <cellStyle name="检查单元格 2 5 4" xfId="46573" xr:uid="{00000000-0005-0000-0000-0000EDB50000}"/>
    <cellStyle name="检查单元格 2 5 5" xfId="46574" xr:uid="{00000000-0005-0000-0000-0000EEB50000}"/>
    <cellStyle name="检查单元格 2 5 6" xfId="46575" xr:uid="{00000000-0005-0000-0000-0000EFB50000}"/>
    <cellStyle name="检查单元格 2 6" xfId="46576" xr:uid="{00000000-0005-0000-0000-0000F0B50000}"/>
    <cellStyle name="检查单元格 2 6 2" xfId="46577" xr:uid="{00000000-0005-0000-0000-0000F1B50000}"/>
    <cellStyle name="检查单元格 2 6 2 2" xfId="46578" xr:uid="{00000000-0005-0000-0000-0000F2B50000}"/>
    <cellStyle name="检查单元格 2 6 2 2 2" xfId="46579" xr:uid="{00000000-0005-0000-0000-0000F3B50000}"/>
    <cellStyle name="检查单元格 2 6 2 2 2 2" xfId="46580" xr:uid="{00000000-0005-0000-0000-0000F4B50000}"/>
    <cellStyle name="检查单元格 2 6 2 3" xfId="46581" xr:uid="{00000000-0005-0000-0000-0000F5B50000}"/>
    <cellStyle name="检查单元格 2 6 2 3 2" xfId="46582" xr:uid="{00000000-0005-0000-0000-0000F6B50000}"/>
    <cellStyle name="检查单元格 2 6 3" xfId="46583" xr:uid="{00000000-0005-0000-0000-0000F7B50000}"/>
    <cellStyle name="检查单元格 2 6 3 2" xfId="46584" xr:uid="{00000000-0005-0000-0000-0000F8B50000}"/>
    <cellStyle name="检查单元格 2 6 3 2 2" xfId="46585" xr:uid="{00000000-0005-0000-0000-0000F9B50000}"/>
    <cellStyle name="检查单元格 2 6 4" xfId="46586" xr:uid="{00000000-0005-0000-0000-0000FAB50000}"/>
    <cellStyle name="检查单元格 2 6 4 2" xfId="46587" xr:uid="{00000000-0005-0000-0000-0000FBB50000}"/>
    <cellStyle name="检查单元格 2 7" xfId="46588" xr:uid="{00000000-0005-0000-0000-0000FCB50000}"/>
    <cellStyle name="检查单元格 2 7 2" xfId="46589" xr:uid="{00000000-0005-0000-0000-0000FDB50000}"/>
    <cellStyle name="检查单元格 2 7 2 2" xfId="46590" xr:uid="{00000000-0005-0000-0000-0000FEB50000}"/>
    <cellStyle name="检查单元格 2 7 2 2 2" xfId="46591" xr:uid="{00000000-0005-0000-0000-0000FFB50000}"/>
    <cellStyle name="检查单元格 2 7 2 2 2 2" xfId="46592" xr:uid="{00000000-0005-0000-0000-000000B60000}"/>
    <cellStyle name="检查单元格 2 7 2 3" xfId="46593" xr:uid="{00000000-0005-0000-0000-000001B60000}"/>
    <cellStyle name="检查单元格 2 7 2 3 2" xfId="46594" xr:uid="{00000000-0005-0000-0000-000002B60000}"/>
    <cellStyle name="检查单元格 2 7 3" xfId="46595" xr:uid="{00000000-0005-0000-0000-000003B60000}"/>
    <cellStyle name="检查单元格 2 7 3 2" xfId="46596" xr:uid="{00000000-0005-0000-0000-000004B60000}"/>
    <cellStyle name="检查单元格 2 7 3 2 2" xfId="46597" xr:uid="{00000000-0005-0000-0000-000005B60000}"/>
    <cellStyle name="检查单元格 2 7 4" xfId="46598" xr:uid="{00000000-0005-0000-0000-000006B60000}"/>
    <cellStyle name="检查单元格 2 7 4 2" xfId="46599" xr:uid="{00000000-0005-0000-0000-000007B60000}"/>
    <cellStyle name="检查单元格 2 8" xfId="46600" xr:uid="{00000000-0005-0000-0000-000008B60000}"/>
    <cellStyle name="检查单元格 2 8 2" xfId="46601" xr:uid="{00000000-0005-0000-0000-000009B60000}"/>
    <cellStyle name="检查单元格 2 8 2 2" xfId="46602" xr:uid="{00000000-0005-0000-0000-00000AB60000}"/>
    <cellStyle name="检查单元格 2 8 2 2 2" xfId="46603" xr:uid="{00000000-0005-0000-0000-00000BB60000}"/>
    <cellStyle name="检查单元格 2 8 2 2 2 2" xfId="46604" xr:uid="{00000000-0005-0000-0000-00000CB60000}"/>
    <cellStyle name="检查单元格 2 8 2 3" xfId="46605" xr:uid="{00000000-0005-0000-0000-00000DB60000}"/>
    <cellStyle name="检查单元格 2 8 2 3 2" xfId="46606" xr:uid="{00000000-0005-0000-0000-00000EB60000}"/>
    <cellStyle name="检查单元格 2 8 3" xfId="46607" xr:uid="{00000000-0005-0000-0000-00000FB60000}"/>
    <cellStyle name="检查单元格 2 8 3 2" xfId="46608" xr:uid="{00000000-0005-0000-0000-000010B60000}"/>
    <cellStyle name="检查单元格 2 8 3 2 2" xfId="46609" xr:uid="{00000000-0005-0000-0000-000011B60000}"/>
    <cellStyle name="检查单元格 2 8 4" xfId="46610" xr:uid="{00000000-0005-0000-0000-000012B60000}"/>
    <cellStyle name="检查单元格 2 8 4 2" xfId="46611" xr:uid="{00000000-0005-0000-0000-000013B60000}"/>
    <cellStyle name="检查单元格 2 9" xfId="46612" xr:uid="{00000000-0005-0000-0000-000014B60000}"/>
    <cellStyle name="检查单元格 2 9 2" xfId="46613" xr:uid="{00000000-0005-0000-0000-000015B60000}"/>
    <cellStyle name="检查单元格 2 9 2 2" xfId="46614" xr:uid="{00000000-0005-0000-0000-000016B60000}"/>
    <cellStyle name="检查单元格 2 9 2 2 2" xfId="46615" xr:uid="{00000000-0005-0000-0000-000017B60000}"/>
    <cellStyle name="检查单元格 2 9 3" xfId="46616" xr:uid="{00000000-0005-0000-0000-000018B60000}"/>
    <cellStyle name="检查单元格 2 9 3 2" xfId="46617" xr:uid="{00000000-0005-0000-0000-000019B60000}"/>
    <cellStyle name="检查单元格 3" xfId="46618" xr:uid="{00000000-0005-0000-0000-00001AB60000}"/>
    <cellStyle name="检查单元格 3 2" xfId="46619" xr:uid="{00000000-0005-0000-0000-00001BB60000}"/>
    <cellStyle name="检查单元格 3 2 2" xfId="46620" xr:uid="{00000000-0005-0000-0000-00001CB60000}"/>
    <cellStyle name="检查单元格 3 2 2 2" xfId="46621" xr:uid="{00000000-0005-0000-0000-00001DB60000}"/>
    <cellStyle name="检查单元格 3 2 2 2 2" xfId="46622" xr:uid="{00000000-0005-0000-0000-00001EB60000}"/>
    <cellStyle name="检查单元格 3 2 2 2 3" xfId="46623" xr:uid="{00000000-0005-0000-0000-00001FB60000}"/>
    <cellStyle name="检查单元格 3 2 2 2 3 2" xfId="46624" xr:uid="{00000000-0005-0000-0000-000020B60000}"/>
    <cellStyle name="检查单元格 3 2 2 2 3 2 2" xfId="46625" xr:uid="{00000000-0005-0000-0000-000021B60000}"/>
    <cellStyle name="检查单元格 3 2 2 2 4" xfId="46626" xr:uid="{00000000-0005-0000-0000-000022B60000}"/>
    <cellStyle name="检查单元格 3 2 2 2 4 2" xfId="46627" xr:uid="{00000000-0005-0000-0000-000023B60000}"/>
    <cellStyle name="检查单元格 3 2 2 3" xfId="46628" xr:uid="{00000000-0005-0000-0000-000024B60000}"/>
    <cellStyle name="检查单元格 3 2 2 3 2" xfId="46629" xr:uid="{00000000-0005-0000-0000-000025B60000}"/>
    <cellStyle name="检查单元格 3 2 2 3 2 2" xfId="46630" xr:uid="{00000000-0005-0000-0000-000026B60000}"/>
    <cellStyle name="检查单元格 3 2 2 3 2 2 2" xfId="46631" xr:uid="{00000000-0005-0000-0000-000027B60000}"/>
    <cellStyle name="检查单元格 3 2 2 3 3" xfId="46632" xr:uid="{00000000-0005-0000-0000-000028B60000}"/>
    <cellStyle name="检查单元格 3 2 2 3 3 2" xfId="46633" xr:uid="{00000000-0005-0000-0000-000029B60000}"/>
    <cellStyle name="检查单元格 3 2 2 4" xfId="46634" xr:uid="{00000000-0005-0000-0000-00002AB60000}"/>
    <cellStyle name="检查单元格 3 2 2 5" xfId="46635" xr:uid="{00000000-0005-0000-0000-00002BB60000}"/>
    <cellStyle name="检查单元格 3 2 2 6" xfId="46636" xr:uid="{00000000-0005-0000-0000-00002CB60000}"/>
    <cellStyle name="检查单元格 3 2 3" xfId="46637" xr:uid="{00000000-0005-0000-0000-00002DB60000}"/>
    <cellStyle name="检查单元格 3 2 3 2" xfId="46638" xr:uid="{00000000-0005-0000-0000-00002EB60000}"/>
    <cellStyle name="检查单元格 3 2 3 3" xfId="46639" xr:uid="{00000000-0005-0000-0000-00002FB60000}"/>
    <cellStyle name="检查单元格 3 2 3 3 2" xfId="46640" xr:uid="{00000000-0005-0000-0000-000030B60000}"/>
    <cellStyle name="检查单元格 3 2 3 3 2 2" xfId="46641" xr:uid="{00000000-0005-0000-0000-000031B60000}"/>
    <cellStyle name="检查单元格 3 2 3 4" xfId="46642" xr:uid="{00000000-0005-0000-0000-000032B60000}"/>
    <cellStyle name="检查单元格 3 2 3 4 2" xfId="46643" xr:uid="{00000000-0005-0000-0000-000033B60000}"/>
    <cellStyle name="检查单元格 3 2 4" xfId="46644" xr:uid="{00000000-0005-0000-0000-000034B60000}"/>
    <cellStyle name="检查单元格 3 2 4 2" xfId="46645" xr:uid="{00000000-0005-0000-0000-000035B60000}"/>
    <cellStyle name="检查单元格 3 2 4 2 2" xfId="46646" xr:uid="{00000000-0005-0000-0000-000036B60000}"/>
    <cellStyle name="检查单元格 3 2 4 2 2 2" xfId="46647" xr:uid="{00000000-0005-0000-0000-000037B60000}"/>
    <cellStyle name="检查单元格 3 2 4 3" xfId="46648" xr:uid="{00000000-0005-0000-0000-000038B60000}"/>
    <cellStyle name="检查单元格 3 2 4 3 2" xfId="46649" xr:uid="{00000000-0005-0000-0000-000039B60000}"/>
    <cellStyle name="检查单元格 3 2 5" xfId="46650" xr:uid="{00000000-0005-0000-0000-00003AB60000}"/>
    <cellStyle name="检查单元格 3 2 6" xfId="46651" xr:uid="{00000000-0005-0000-0000-00003BB60000}"/>
    <cellStyle name="检查单元格 3 2 7" xfId="46652" xr:uid="{00000000-0005-0000-0000-00003CB60000}"/>
    <cellStyle name="检查单元格 3 3" xfId="46653" xr:uid="{00000000-0005-0000-0000-00003DB60000}"/>
    <cellStyle name="检查单元格 3 3 2" xfId="46654" xr:uid="{00000000-0005-0000-0000-00003EB60000}"/>
    <cellStyle name="检查单元格 3 3 2 2" xfId="46655" xr:uid="{00000000-0005-0000-0000-00003FB60000}"/>
    <cellStyle name="检查单元格 3 3 2 3" xfId="46656" xr:uid="{00000000-0005-0000-0000-000040B60000}"/>
    <cellStyle name="检查单元格 3 3 2 3 2" xfId="46657" xr:uid="{00000000-0005-0000-0000-000041B60000}"/>
    <cellStyle name="检查单元格 3 3 2 3 2 2" xfId="46658" xr:uid="{00000000-0005-0000-0000-000042B60000}"/>
    <cellStyle name="检查单元格 3 3 2 4" xfId="46659" xr:uid="{00000000-0005-0000-0000-000043B60000}"/>
    <cellStyle name="检查单元格 3 3 2 4 2" xfId="46660" xr:uid="{00000000-0005-0000-0000-000044B60000}"/>
    <cellStyle name="检查单元格 3 3 3" xfId="46661" xr:uid="{00000000-0005-0000-0000-000045B60000}"/>
    <cellStyle name="检查单元格 3 3 3 2" xfId="46662" xr:uid="{00000000-0005-0000-0000-000046B60000}"/>
    <cellStyle name="检查单元格 3 3 3 2 2" xfId="46663" xr:uid="{00000000-0005-0000-0000-000047B60000}"/>
    <cellStyle name="检查单元格 3 3 3 2 2 2" xfId="46664" xr:uid="{00000000-0005-0000-0000-000048B60000}"/>
    <cellStyle name="检查单元格 3 3 3 3" xfId="46665" xr:uid="{00000000-0005-0000-0000-000049B60000}"/>
    <cellStyle name="检查单元格 3 3 3 3 2" xfId="46666" xr:uid="{00000000-0005-0000-0000-00004AB60000}"/>
    <cellStyle name="检查单元格 3 3 4" xfId="46667" xr:uid="{00000000-0005-0000-0000-00004BB60000}"/>
    <cellStyle name="检查单元格 3 3 5" xfId="46668" xr:uid="{00000000-0005-0000-0000-00004CB60000}"/>
    <cellStyle name="检查单元格 3 3 6" xfId="46669" xr:uid="{00000000-0005-0000-0000-00004DB60000}"/>
    <cellStyle name="检查单元格 3 4" xfId="46670" xr:uid="{00000000-0005-0000-0000-00004EB60000}"/>
    <cellStyle name="检查单元格 3 4 2" xfId="46671" xr:uid="{00000000-0005-0000-0000-00004FB60000}"/>
    <cellStyle name="检查单元格 3 4 2 2" xfId="46672" xr:uid="{00000000-0005-0000-0000-000050B60000}"/>
    <cellStyle name="检查单元格 3 4 2 3" xfId="46673" xr:uid="{00000000-0005-0000-0000-000051B60000}"/>
    <cellStyle name="检查单元格 3 4 2 3 2" xfId="46674" xr:uid="{00000000-0005-0000-0000-000052B60000}"/>
    <cellStyle name="检查单元格 3 4 2 3 2 2" xfId="46675" xr:uid="{00000000-0005-0000-0000-000053B60000}"/>
    <cellStyle name="检查单元格 3 4 2 4" xfId="46676" xr:uid="{00000000-0005-0000-0000-000054B60000}"/>
    <cellStyle name="检查单元格 3 4 2 4 2" xfId="46677" xr:uid="{00000000-0005-0000-0000-000055B60000}"/>
    <cellStyle name="检查单元格 3 4 3" xfId="46678" xr:uid="{00000000-0005-0000-0000-000056B60000}"/>
    <cellStyle name="检查单元格 3 4 4" xfId="46679" xr:uid="{00000000-0005-0000-0000-000057B60000}"/>
    <cellStyle name="检查单元格 3 4 5" xfId="46680" xr:uid="{00000000-0005-0000-0000-000058B60000}"/>
    <cellStyle name="检查单元格 3 4 6" xfId="46681" xr:uid="{00000000-0005-0000-0000-000059B60000}"/>
    <cellStyle name="检查单元格 3 5" xfId="46682" xr:uid="{00000000-0005-0000-0000-00005AB60000}"/>
    <cellStyle name="检查单元格 3 5 2" xfId="46683" xr:uid="{00000000-0005-0000-0000-00005BB60000}"/>
    <cellStyle name="检查单元格 3 5 2 2" xfId="46684" xr:uid="{00000000-0005-0000-0000-00005CB60000}"/>
    <cellStyle name="检查单元格 3 5 2 2 2" xfId="46685" xr:uid="{00000000-0005-0000-0000-00005DB60000}"/>
    <cellStyle name="检查单元格 3 5 2 2 2 2" xfId="46686" xr:uid="{00000000-0005-0000-0000-00005EB60000}"/>
    <cellStyle name="检查单元格 3 5 2 3" xfId="46687" xr:uid="{00000000-0005-0000-0000-00005FB60000}"/>
    <cellStyle name="检查单元格 3 5 2 3 2" xfId="46688" xr:uid="{00000000-0005-0000-0000-000060B60000}"/>
    <cellStyle name="检查单元格 3 5 3" xfId="46689" xr:uid="{00000000-0005-0000-0000-000061B60000}"/>
    <cellStyle name="检查单元格 3 5 3 2" xfId="46690" xr:uid="{00000000-0005-0000-0000-000062B60000}"/>
    <cellStyle name="检查单元格 3 5 3 2 2" xfId="46691" xr:uid="{00000000-0005-0000-0000-000063B60000}"/>
    <cellStyle name="检查单元格 3 5 4" xfId="46692" xr:uid="{00000000-0005-0000-0000-000064B60000}"/>
    <cellStyle name="检查单元格 3 5 4 2" xfId="46693" xr:uid="{00000000-0005-0000-0000-000065B60000}"/>
    <cellStyle name="检查单元格 3 6" xfId="46694" xr:uid="{00000000-0005-0000-0000-000066B60000}"/>
    <cellStyle name="检查单元格 3 6 2" xfId="46695" xr:uid="{00000000-0005-0000-0000-000067B60000}"/>
    <cellStyle name="检查单元格 3 6 2 2" xfId="46696" xr:uid="{00000000-0005-0000-0000-000068B60000}"/>
    <cellStyle name="检查单元格 3 6 2 2 2" xfId="46697" xr:uid="{00000000-0005-0000-0000-000069B60000}"/>
    <cellStyle name="检查单元格 3 6 3" xfId="46698" xr:uid="{00000000-0005-0000-0000-00006AB60000}"/>
    <cellStyle name="检查单元格 3 6 3 2" xfId="46699" xr:uid="{00000000-0005-0000-0000-00006BB60000}"/>
    <cellStyle name="检查单元格 3 7" xfId="46700" xr:uid="{00000000-0005-0000-0000-00006CB60000}"/>
    <cellStyle name="检查单元格 3 8" xfId="46701" xr:uid="{00000000-0005-0000-0000-00006DB60000}"/>
    <cellStyle name="標準 2" xfId="46702" xr:uid="{00000000-0005-0000-0000-00006EB60000}"/>
    <cellStyle name="標準_2007AOP CAPEX WRC" xfId="46703" xr:uid="{00000000-0005-0000-0000-00006FB60000}"/>
    <cellStyle name="汇总 2" xfId="46704" xr:uid="{00000000-0005-0000-0000-000070B60000}"/>
    <cellStyle name="汇总 2 10" xfId="46705" xr:uid="{00000000-0005-0000-0000-000071B60000}"/>
    <cellStyle name="汇总 2 11" xfId="46706" xr:uid="{00000000-0005-0000-0000-000072B60000}"/>
    <cellStyle name="汇总 2 2" xfId="46707" xr:uid="{00000000-0005-0000-0000-000073B60000}"/>
    <cellStyle name="汇总 2 2 10" xfId="46708" xr:uid="{00000000-0005-0000-0000-000074B60000}"/>
    <cellStyle name="汇总 2 2 11" xfId="46709" xr:uid="{00000000-0005-0000-0000-000075B60000}"/>
    <cellStyle name="汇总 2 2 2" xfId="46710" xr:uid="{00000000-0005-0000-0000-000076B60000}"/>
    <cellStyle name="汇总 2 2 2 2" xfId="46711" xr:uid="{00000000-0005-0000-0000-000077B60000}"/>
    <cellStyle name="汇总 2 2 2 2 2" xfId="46712" xr:uid="{00000000-0005-0000-0000-000078B60000}"/>
    <cellStyle name="汇总 2 2 2 2 2 2" xfId="46713" xr:uid="{00000000-0005-0000-0000-000079B60000}"/>
    <cellStyle name="汇总 2 2 2 2 2 3" xfId="46714" xr:uid="{00000000-0005-0000-0000-00007AB60000}"/>
    <cellStyle name="汇总 2 2 2 2 2 3 2" xfId="46715" xr:uid="{00000000-0005-0000-0000-00007BB60000}"/>
    <cellStyle name="汇总 2 2 2 2 2 3 2 2" xfId="46716" xr:uid="{00000000-0005-0000-0000-00007CB60000}"/>
    <cellStyle name="汇总 2 2 2 2 2 4" xfId="46717" xr:uid="{00000000-0005-0000-0000-00007DB60000}"/>
    <cellStyle name="汇总 2 2 2 2 2 4 2" xfId="46718" xr:uid="{00000000-0005-0000-0000-00007EB60000}"/>
    <cellStyle name="汇总 2 2 2 2 3" xfId="46719" xr:uid="{00000000-0005-0000-0000-00007FB60000}"/>
    <cellStyle name="汇总 2 2 2 2 3 2" xfId="46720" xr:uid="{00000000-0005-0000-0000-000080B60000}"/>
    <cellStyle name="汇总 2 2 2 2 3 2 2" xfId="46721" xr:uid="{00000000-0005-0000-0000-000081B60000}"/>
    <cellStyle name="汇总 2 2 2 2 3 2 2 2" xfId="46722" xr:uid="{00000000-0005-0000-0000-000082B60000}"/>
    <cellStyle name="汇总 2 2 2 2 3 3" xfId="46723" xr:uid="{00000000-0005-0000-0000-000083B60000}"/>
    <cellStyle name="汇总 2 2 2 2 3 3 2" xfId="46724" xr:uid="{00000000-0005-0000-0000-000084B60000}"/>
    <cellStyle name="汇总 2 2 2 2 4" xfId="46725" xr:uid="{00000000-0005-0000-0000-000085B60000}"/>
    <cellStyle name="汇总 2 2 2 2 5" xfId="46726" xr:uid="{00000000-0005-0000-0000-000086B60000}"/>
    <cellStyle name="汇总 2 2 2 2 6" xfId="46727" xr:uid="{00000000-0005-0000-0000-000087B60000}"/>
    <cellStyle name="汇总 2 2 2 3" xfId="46728" xr:uid="{00000000-0005-0000-0000-000088B60000}"/>
    <cellStyle name="汇总 2 2 2 3 2" xfId="46729" xr:uid="{00000000-0005-0000-0000-000089B60000}"/>
    <cellStyle name="汇总 2 2 2 3 3" xfId="46730" xr:uid="{00000000-0005-0000-0000-00008AB60000}"/>
    <cellStyle name="汇总 2 2 2 3 3 2" xfId="46731" xr:uid="{00000000-0005-0000-0000-00008BB60000}"/>
    <cellStyle name="汇总 2 2 2 3 3 2 2" xfId="46732" xr:uid="{00000000-0005-0000-0000-00008CB60000}"/>
    <cellStyle name="汇总 2 2 2 3 4" xfId="46733" xr:uid="{00000000-0005-0000-0000-00008DB60000}"/>
    <cellStyle name="汇总 2 2 2 3 4 2" xfId="46734" xr:uid="{00000000-0005-0000-0000-00008EB60000}"/>
    <cellStyle name="汇总 2 2 2 4" xfId="46735" xr:uid="{00000000-0005-0000-0000-00008FB60000}"/>
    <cellStyle name="汇总 2 2 2 4 2" xfId="46736" xr:uid="{00000000-0005-0000-0000-000090B60000}"/>
    <cellStyle name="汇总 2 2 2 4 2 2" xfId="46737" xr:uid="{00000000-0005-0000-0000-000091B60000}"/>
    <cellStyle name="汇总 2 2 2 4 2 2 2" xfId="46738" xr:uid="{00000000-0005-0000-0000-000092B60000}"/>
    <cellStyle name="汇总 2 2 2 4 3" xfId="46739" xr:uid="{00000000-0005-0000-0000-000093B60000}"/>
    <cellStyle name="汇总 2 2 2 4 3 2" xfId="46740" xr:uid="{00000000-0005-0000-0000-000094B60000}"/>
    <cellStyle name="汇总 2 2 2 5" xfId="46741" xr:uid="{00000000-0005-0000-0000-000095B60000}"/>
    <cellStyle name="汇总 2 2 2 6" xfId="46742" xr:uid="{00000000-0005-0000-0000-000096B60000}"/>
    <cellStyle name="汇总 2 2 2 7" xfId="46743" xr:uid="{00000000-0005-0000-0000-000097B60000}"/>
    <cellStyle name="汇总 2 2 3" xfId="46744" xr:uid="{00000000-0005-0000-0000-000098B60000}"/>
    <cellStyle name="汇总 2 2 3 2" xfId="46745" xr:uid="{00000000-0005-0000-0000-000099B60000}"/>
    <cellStyle name="汇总 2 2 3 2 2" xfId="46746" xr:uid="{00000000-0005-0000-0000-00009AB60000}"/>
    <cellStyle name="汇总 2 2 3 2 3" xfId="46747" xr:uid="{00000000-0005-0000-0000-00009BB60000}"/>
    <cellStyle name="汇总 2 2 3 2 3 2" xfId="46748" xr:uid="{00000000-0005-0000-0000-00009CB60000}"/>
    <cellStyle name="汇总 2 2 3 2 3 2 2" xfId="46749" xr:uid="{00000000-0005-0000-0000-00009DB60000}"/>
    <cellStyle name="汇总 2 2 3 2 4" xfId="46750" xr:uid="{00000000-0005-0000-0000-00009EB60000}"/>
    <cellStyle name="汇总 2 2 3 2 4 2" xfId="46751" xr:uid="{00000000-0005-0000-0000-00009FB60000}"/>
    <cellStyle name="汇总 2 2 3 3" xfId="46752" xr:uid="{00000000-0005-0000-0000-0000A0B60000}"/>
    <cellStyle name="汇总 2 2 3 3 2" xfId="46753" xr:uid="{00000000-0005-0000-0000-0000A1B60000}"/>
    <cellStyle name="汇总 2 2 3 3 2 2" xfId="46754" xr:uid="{00000000-0005-0000-0000-0000A2B60000}"/>
    <cellStyle name="汇总 2 2 3 3 2 2 2" xfId="46755" xr:uid="{00000000-0005-0000-0000-0000A3B60000}"/>
    <cellStyle name="汇总 2 2 3 3 3" xfId="46756" xr:uid="{00000000-0005-0000-0000-0000A4B60000}"/>
    <cellStyle name="汇总 2 2 3 3 3 2" xfId="46757" xr:uid="{00000000-0005-0000-0000-0000A5B60000}"/>
    <cellStyle name="汇总 2 2 3 4" xfId="46758" xr:uid="{00000000-0005-0000-0000-0000A6B60000}"/>
    <cellStyle name="汇总 2 2 3 5" xfId="46759" xr:uid="{00000000-0005-0000-0000-0000A7B60000}"/>
    <cellStyle name="汇总 2 2 3 6" xfId="46760" xr:uid="{00000000-0005-0000-0000-0000A8B60000}"/>
    <cellStyle name="汇总 2 2 4" xfId="46761" xr:uid="{00000000-0005-0000-0000-0000A9B60000}"/>
    <cellStyle name="汇总 2 2 4 2" xfId="46762" xr:uid="{00000000-0005-0000-0000-0000AAB60000}"/>
    <cellStyle name="汇总 2 2 4 2 2" xfId="46763" xr:uid="{00000000-0005-0000-0000-0000ABB60000}"/>
    <cellStyle name="汇总 2 2 4 2 3" xfId="46764" xr:uid="{00000000-0005-0000-0000-0000ACB60000}"/>
    <cellStyle name="汇总 2 2 4 2 3 2" xfId="46765" xr:uid="{00000000-0005-0000-0000-0000ADB60000}"/>
    <cellStyle name="汇总 2 2 4 2 3 2 2" xfId="46766" xr:uid="{00000000-0005-0000-0000-0000AEB60000}"/>
    <cellStyle name="汇总 2 2 4 2 4" xfId="46767" xr:uid="{00000000-0005-0000-0000-0000AFB60000}"/>
    <cellStyle name="汇总 2 2 4 2 4 2" xfId="46768" xr:uid="{00000000-0005-0000-0000-0000B0B60000}"/>
    <cellStyle name="汇总 2 2 4 3" xfId="46769" xr:uid="{00000000-0005-0000-0000-0000B1B60000}"/>
    <cellStyle name="汇总 2 2 4 4" xfId="46770" xr:uid="{00000000-0005-0000-0000-0000B2B60000}"/>
    <cellStyle name="汇总 2 2 4 5" xfId="46771" xr:uid="{00000000-0005-0000-0000-0000B3B60000}"/>
    <cellStyle name="汇总 2 2 4 6" xfId="46772" xr:uid="{00000000-0005-0000-0000-0000B4B60000}"/>
    <cellStyle name="汇总 2 2 5" xfId="46773" xr:uid="{00000000-0005-0000-0000-0000B5B60000}"/>
    <cellStyle name="汇总 2 2 5 2" xfId="46774" xr:uid="{00000000-0005-0000-0000-0000B6B60000}"/>
    <cellStyle name="汇总 2 2 5 2 2" xfId="46775" xr:uid="{00000000-0005-0000-0000-0000B7B60000}"/>
    <cellStyle name="汇总 2 2 5 2 2 2" xfId="46776" xr:uid="{00000000-0005-0000-0000-0000B8B60000}"/>
    <cellStyle name="汇总 2 2 5 2 2 2 2" xfId="46777" xr:uid="{00000000-0005-0000-0000-0000B9B60000}"/>
    <cellStyle name="汇总 2 2 5 2 3" xfId="46778" xr:uid="{00000000-0005-0000-0000-0000BAB60000}"/>
    <cellStyle name="汇总 2 2 5 2 3 2" xfId="46779" xr:uid="{00000000-0005-0000-0000-0000BBB60000}"/>
    <cellStyle name="汇总 2 2 5 3" xfId="46780" xr:uid="{00000000-0005-0000-0000-0000BCB60000}"/>
    <cellStyle name="汇总 2 2 5 3 2" xfId="46781" xr:uid="{00000000-0005-0000-0000-0000BDB60000}"/>
    <cellStyle name="汇总 2 2 5 3 2 2" xfId="46782" xr:uid="{00000000-0005-0000-0000-0000BEB60000}"/>
    <cellStyle name="汇总 2 2 5 4" xfId="46783" xr:uid="{00000000-0005-0000-0000-0000BFB60000}"/>
    <cellStyle name="汇总 2 2 5 4 2" xfId="46784" xr:uid="{00000000-0005-0000-0000-0000C0B60000}"/>
    <cellStyle name="汇总 2 2 6" xfId="46785" xr:uid="{00000000-0005-0000-0000-0000C1B60000}"/>
    <cellStyle name="汇总 2 2 6 2" xfId="46786" xr:uid="{00000000-0005-0000-0000-0000C2B60000}"/>
    <cellStyle name="汇总 2 2 6 2 2" xfId="46787" xr:uid="{00000000-0005-0000-0000-0000C3B60000}"/>
    <cellStyle name="汇总 2 2 6 2 2 2" xfId="46788" xr:uid="{00000000-0005-0000-0000-0000C4B60000}"/>
    <cellStyle name="汇总 2 2 6 2 2 2 2" xfId="46789" xr:uid="{00000000-0005-0000-0000-0000C5B60000}"/>
    <cellStyle name="汇总 2 2 6 2 3" xfId="46790" xr:uid="{00000000-0005-0000-0000-0000C6B60000}"/>
    <cellStyle name="汇总 2 2 6 2 3 2" xfId="46791" xr:uid="{00000000-0005-0000-0000-0000C7B60000}"/>
    <cellStyle name="汇总 2 2 6 3" xfId="46792" xr:uid="{00000000-0005-0000-0000-0000C8B60000}"/>
    <cellStyle name="汇总 2 2 6 3 2" xfId="46793" xr:uid="{00000000-0005-0000-0000-0000C9B60000}"/>
    <cellStyle name="汇总 2 2 6 3 2 2" xfId="46794" xr:uid="{00000000-0005-0000-0000-0000CAB60000}"/>
    <cellStyle name="汇总 2 2 6 4" xfId="46795" xr:uid="{00000000-0005-0000-0000-0000CBB60000}"/>
    <cellStyle name="汇总 2 2 6 4 2" xfId="46796" xr:uid="{00000000-0005-0000-0000-0000CCB60000}"/>
    <cellStyle name="汇总 2 2 7" xfId="46797" xr:uid="{00000000-0005-0000-0000-0000CDB60000}"/>
    <cellStyle name="汇总 2 2 7 2" xfId="46798" xr:uid="{00000000-0005-0000-0000-0000CEB60000}"/>
    <cellStyle name="汇总 2 2 7 2 2" xfId="46799" xr:uid="{00000000-0005-0000-0000-0000CFB60000}"/>
    <cellStyle name="汇总 2 2 7 2 2 2" xfId="46800" xr:uid="{00000000-0005-0000-0000-0000D0B60000}"/>
    <cellStyle name="汇总 2 2 7 2 2 2 2" xfId="46801" xr:uid="{00000000-0005-0000-0000-0000D1B60000}"/>
    <cellStyle name="汇总 2 2 7 2 3" xfId="46802" xr:uid="{00000000-0005-0000-0000-0000D2B60000}"/>
    <cellStyle name="汇总 2 2 7 2 3 2" xfId="46803" xr:uid="{00000000-0005-0000-0000-0000D3B60000}"/>
    <cellStyle name="汇总 2 2 7 3" xfId="46804" xr:uid="{00000000-0005-0000-0000-0000D4B60000}"/>
    <cellStyle name="汇总 2 2 7 3 2" xfId="46805" xr:uid="{00000000-0005-0000-0000-0000D5B60000}"/>
    <cellStyle name="汇总 2 2 7 3 2 2" xfId="46806" xr:uid="{00000000-0005-0000-0000-0000D6B60000}"/>
    <cellStyle name="汇总 2 2 7 4" xfId="46807" xr:uid="{00000000-0005-0000-0000-0000D7B60000}"/>
    <cellStyle name="汇总 2 2 7 4 2" xfId="46808" xr:uid="{00000000-0005-0000-0000-0000D8B60000}"/>
    <cellStyle name="汇总 2 2 8" xfId="46809" xr:uid="{00000000-0005-0000-0000-0000D9B60000}"/>
    <cellStyle name="汇总 2 2 8 2" xfId="46810" xr:uid="{00000000-0005-0000-0000-0000DAB60000}"/>
    <cellStyle name="汇总 2 2 8 2 2" xfId="46811" xr:uid="{00000000-0005-0000-0000-0000DBB60000}"/>
    <cellStyle name="汇总 2 2 8 2 2 2" xfId="46812" xr:uid="{00000000-0005-0000-0000-0000DCB60000}"/>
    <cellStyle name="汇总 2 2 8 3" xfId="46813" xr:uid="{00000000-0005-0000-0000-0000DDB60000}"/>
    <cellStyle name="汇总 2 2 8 3 2" xfId="46814" xr:uid="{00000000-0005-0000-0000-0000DEB60000}"/>
    <cellStyle name="汇总 2 2 9" xfId="46815" xr:uid="{00000000-0005-0000-0000-0000DFB60000}"/>
    <cellStyle name="汇总 2 2 9 2" xfId="46816" xr:uid="{00000000-0005-0000-0000-0000E0B60000}"/>
    <cellStyle name="汇总 2 2 9 2 2" xfId="46817" xr:uid="{00000000-0005-0000-0000-0000E1B60000}"/>
    <cellStyle name="汇总 2 2 9 2 2 2" xfId="46818" xr:uid="{00000000-0005-0000-0000-0000E2B60000}"/>
    <cellStyle name="汇总 2 2 9 3" xfId="46819" xr:uid="{00000000-0005-0000-0000-0000E3B60000}"/>
    <cellStyle name="汇总 2 2 9 3 2" xfId="46820" xr:uid="{00000000-0005-0000-0000-0000E4B60000}"/>
    <cellStyle name="汇总 2 3" xfId="46821" xr:uid="{00000000-0005-0000-0000-0000E5B60000}"/>
    <cellStyle name="汇总 2 3 2" xfId="46822" xr:uid="{00000000-0005-0000-0000-0000E6B60000}"/>
    <cellStyle name="汇总 2 3 2 2" xfId="46823" xr:uid="{00000000-0005-0000-0000-0000E7B60000}"/>
    <cellStyle name="汇总 2 3 2 2 2" xfId="46824" xr:uid="{00000000-0005-0000-0000-0000E8B60000}"/>
    <cellStyle name="汇总 2 3 2 2 2 2" xfId="46825" xr:uid="{00000000-0005-0000-0000-0000E9B60000}"/>
    <cellStyle name="汇总 2 3 2 2 2 3" xfId="46826" xr:uid="{00000000-0005-0000-0000-0000EAB60000}"/>
    <cellStyle name="汇总 2 3 2 2 2 3 2" xfId="46827" xr:uid="{00000000-0005-0000-0000-0000EBB60000}"/>
    <cellStyle name="汇总 2 3 2 2 2 3 2 2" xfId="46828" xr:uid="{00000000-0005-0000-0000-0000ECB60000}"/>
    <cellStyle name="汇总 2 3 2 2 2 4" xfId="46829" xr:uid="{00000000-0005-0000-0000-0000EDB60000}"/>
    <cellStyle name="汇总 2 3 2 2 2 4 2" xfId="46830" xr:uid="{00000000-0005-0000-0000-0000EEB60000}"/>
    <cellStyle name="汇总 2 3 2 2 3" xfId="46831" xr:uid="{00000000-0005-0000-0000-0000EFB60000}"/>
    <cellStyle name="汇总 2 3 2 2 3 2" xfId="46832" xr:uid="{00000000-0005-0000-0000-0000F0B60000}"/>
    <cellStyle name="汇总 2 3 2 2 3 2 2" xfId="46833" xr:uid="{00000000-0005-0000-0000-0000F1B60000}"/>
    <cellStyle name="汇总 2 3 2 2 3 2 2 2" xfId="46834" xr:uid="{00000000-0005-0000-0000-0000F2B60000}"/>
    <cellStyle name="汇总 2 3 2 2 3 3" xfId="46835" xr:uid="{00000000-0005-0000-0000-0000F3B60000}"/>
    <cellStyle name="汇总 2 3 2 2 3 3 2" xfId="46836" xr:uid="{00000000-0005-0000-0000-0000F4B60000}"/>
    <cellStyle name="汇总 2 3 2 2 4" xfId="46837" xr:uid="{00000000-0005-0000-0000-0000F5B60000}"/>
    <cellStyle name="汇总 2 3 2 2 5" xfId="46838" xr:uid="{00000000-0005-0000-0000-0000F6B60000}"/>
    <cellStyle name="汇总 2 3 2 2 6" xfId="46839" xr:uid="{00000000-0005-0000-0000-0000F7B60000}"/>
    <cellStyle name="汇总 2 3 2 3" xfId="46840" xr:uid="{00000000-0005-0000-0000-0000F8B60000}"/>
    <cellStyle name="汇总 2 3 2 3 2" xfId="46841" xr:uid="{00000000-0005-0000-0000-0000F9B60000}"/>
    <cellStyle name="汇总 2 3 2 3 3" xfId="46842" xr:uid="{00000000-0005-0000-0000-0000FAB60000}"/>
    <cellStyle name="汇总 2 3 2 3 3 2" xfId="46843" xr:uid="{00000000-0005-0000-0000-0000FBB60000}"/>
    <cellStyle name="汇总 2 3 2 3 3 2 2" xfId="46844" xr:uid="{00000000-0005-0000-0000-0000FCB60000}"/>
    <cellStyle name="汇总 2 3 2 3 4" xfId="46845" xr:uid="{00000000-0005-0000-0000-0000FDB60000}"/>
    <cellStyle name="汇总 2 3 2 3 4 2" xfId="46846" xr:uid="{00000000-0005-0000-0000-0000FEB60000}"/>
    <cellStyle name="汇总 2 3 2 4" xfId="46847" xr:uid="{00000000-0005-0000-0000-0000FFB60000}"/>
    <cellStyle name="汇总 2 3 2 4 2" xfId="46848" xr:uid="{00000000-0005-0000-0000-000000B70000}"/>
    <cellStyle name="汇总 2 3 2 4 2 2" xfId="46849" xr:uid="{00000000-0005-0000-0000-000001B70000}"/>
    <cellStyle name="汇总 2 3 2 4 2 2 2" xfId="46850" xr:uid="{00000000-0005-0000-0000-000002B70000}"/>
    <cellStyle name="汇总 2 3 2 4 3" xfId="46851" xr:uid="{00000000-0005-0000-0000-000003B70000}"/>
    <cellStyle name="汇总 2 3 2 4 3 2" xfId="46852" xr:uid="{00000000-0005-0000-0000-000004B70000}"/>
    <cellStyle name="汇总 2 3 2 5" xfId="46853" xr:uid="{00000000-0005-0000-0000-000005B70000}"/>
    <cellStyle name="汇总 2 3 2 6" xfId="46854" xr:uid="{00000000-0005-0000-0000-000006B70000}"/>
    <cellStyle name="汇总 2 3 2 7" xfId="46855" xr:uid="{00000000-0005-0000-0000-000007B70000}"/>
    <cellStyle name="汇总 2 3 3" xfId="46856" xr:uid="{00000000-0005-0000-0000-000008B70000}"/>
    <cellStyle name="汇总 2 3 3 2" xfId="46857" xr:uid="{00000000-0005-0000-0000-000009B70000}"/>
    <cellStyle name="汇总 2 3 3 2 2" xfId="46858" xr:uid="{00000000-0005-0000-0000-00000AB70000}"/>
    <cellStyle name="汇总 2 3 3 2 3" xfId="46859" xr:uid="{00000000-0005-0000-0000-00000BB70000}"/>
    <cellStyle name="汇总 2 3 3 2 3 2" xfId="46860" xr:uid="{00000000-0005-0000-0000-00000CB70000}"/>
    <cellStyle name="汇总 2 3 3 2 3 2 2" xfId="46861" xr:uid="{00000000-0005-0000-0000-00000DB70000}"/>
    <cellStyle name="汇总 2 3 3 2 4" xfId="46862" xr:uid="{00000000-0005-0000-0000-00000EB70000}"/>
    <cellStyle name="汇总 2 3 3 2 4 2" xfId="46863" xr:uid="{00000000-0005-0000-0000-00000FB70000}"/>
    <cellStyle name="汇总 2 3 3 3" xfId="46864" xr:uid="{00000000-0005-0000-0000-000010B70000}"/>
    <cellStyle name="汇总 2 3 3 3 2" xfId="46865" xr:uid="{00000000-0005-0000-0000-000011B70000}"/>
    <cellStyle name="汇总 2 3 3 3 2 2" xfId="46866" xr:uid="{00000000-0005-0000-0000-000012B70000}"/>
    <cellStyle name="汇总 2 3 3 3 2 2 2" xfId="46867" xr:uid="{00000000-0005-0000-0000-000013B70000}"/>
    <cellStyle name="汇总 2 3 3 3 3" xfId="46868" xr:uid="{00000000-0005-0000-0000-000014B70000}"/>
    <cellStyle name="汇总 2 3 3 3 3 2" xfId="46869" xr:uid="{00000000-0005-0000-0000-000015B70000}"/>
    <cellStyle name="汇总 2 3 3 4" xfId="46870" xr:uid="{00000000-0005-0000-0000-000016B70000}"/>
    <cellStyle name="汇总 2 3 3 5" xfId="46871" xr:uid="{00000000-0005-0000-0000-000017B70000}"/>
    <cellStyle name="汇总 2 3 3 6" xfId="46872" xr:uid="{00000000-0005-0000-0000-000018B70000}"/>
    <cellStyle name="汇总 2 3 4" xfId="46873" xr:uid="{00000000-0005-0000-0000-000019B70000}"/>
    <cellStyle name="汇总 2 3 4 2" xfId="46874" xr:uid="{00000000-0005-0000-0000-00001AB70000}"/>
    <cellStyle name="汇总 2 3 4 2 2" xfId="46875" xr:uid="{00000000-0005-0000-0000-00001BB70000}"/>
    <cellStyle name="汇总 2 3 4 2 3" xfId="46876" xr:uid="{00000000-0005-0000-0000-00001CB70000}"/>
    <cellStyle name="汇总 2 3 4 2 3 2" xfId="46877" xr:uid="{00000000-0005-0000-0000-00001DB70000}"/>
    <cellStyle name="汇总 2 3 4 2 3 2 2" xfId="46878" xr:uid="{00000000-0005-0000-0000-00001EB70000}"/>
    <cellStyle name="汇总 2 3 4 2 4" xfId="46879" xr:uid="{00000000-0005-0000-0000-00001FB70000}"/>
    <cellStyle name="汇总 2 3 4 2 4 2" xfId="46880" xr:uid="{00000000-0005-0000-0000-000020B70000}"/>
    <cellStyle name="汇总 2 3 4 3" xfId="46881" xr:uid="{00000000-0005-0000-0000-000021B70000}"/>
    <cellStyle name="汇总 2 3 4 4" xfId="46882" xr:uid="{00000000-0005-0000-0000-000022B70000}"/>
    <cellStyle name="汇总 2 3 4 5" xfId="46883" xr:uid="{00000000-0005-0000-0000-000023B70000}"/>
    <cellStyle name="汇总 2 3 4 6" xfId="46884" xr:uid="{00000000-0005-0000-0000-000024B70000}"/>
    <cellStyle name="汇总 2 3 5" xfId="46885" xr:uid="{00000000-0005-0000-0000-000025B70000}"/>
    <cellStyle name="汇总 2 3 5 2" xfId="46886" xr:uid="{00000000-0005-0000-0000-000026B70000}"/>
    <cellStyle name="汇总 2 3 5 2 2" xfId="46887" xr:uid="{00000000-0005-0000-0000-000027B70000}"/>
    <cellStyle name="汇总 2 3 5 2 2 2" xfId="46888" xr:uid="{00000000-0005-0000-0000-000028B70000}"/>
    <cellStyle name="汇总 2 3 5 2 2 2 2" xfId="46889" xr:uid="{00000000-0005-0000-0000-000029B70000}"/>
    <cellStyle name="汇总 2 3 5 2 3" xfId="46890" xr:uid="{00000000-0005-0000-0000-00002AB70000}"/>
    <cellStyle name="汇总 2 3 5 2 3 2" xfId="46891" xr:uid="{00000000-0005-0000-0000-00002BB70000}"/>
    <cellStyle name="汇总 2 3 5 3" xfId="46892" xr:uid="{00000000-0005-0000-0000-00002CB70000}"/>
    <cellStyle name="汇总 2 3 5 3 2" xfId="46893" xr:uid="{00000000-0005-0000-0000-00002DB70000}"/>
    <cellStyle name="汇总 2 3 5 3 2 2" xfId="46894" xr:uid="{00000000-0005-0000-0000-00002EB70000}"/>
    <cellStyle name="汇总 2 3 5 4" xfId="46895" xr:uid="{00000000-0005-0000-0000-00002FB70000}"/>
    <cellStyle name="汇总 2 3 5 4 2" xfId="46896" xr:uid="{00000000-0005-0000-0000-000030B70000}"/>
    <cellStyle name="汇总 2 3 6" xfId="46897" xr:uid="{00000000-0005-0000-0000-000031B70000}"/>
    <cellStyle name="汇总 2 3 6 2" xfId="46898" xr:uid="{00000000-0005-0000-0000-000032B70000}"/>
    <cellStyle name="汇总 2 3 6 2 2" xfId="46899" xr:uid="{00000000-0005-0000-0000-000033B70000}"/>
    <cellStyle name="汇总 2 3 6 2 2 2" xfId="46900" xr:uid="{00000000-0005-0000-0000-000034B70000}"/>
    <cellStyle name="汇总 2 3 6 3" xfId="46901" xr:uid="{00000000-0005-0000-0000-000035B70000}"/>
    <cellStyle name="汇总 2 3 6 3 2" xfId="46902" xr:uid="{00000000-0005-0000-0000-000036B70000}"/>
    <cellStyle name="汇总 2 3 7" xfId="46903" xr:uid="{00000000-0005-0000-0000-000037B70000}"/>
    <cellStyle name="汇总 2 3 7 2" xfId="46904" xr:uid="{00000000-0005-0000-0000-000038B70000}"/>
    <cellStyle name="汇总 2 3 7 2 2" xfId="46905" xr:uid="{00000000-0005-0000-0000-000039B70000}"/>
    <cellStyle name="汇总 2 3 7 2 2 2" xfId="46906" xr:uid="{00000000-0005-0000-0000-00003AB70000}"/>
    <cellStyle name="汇总 2 3 7 3" xfId="46907" xr:uid="{00000000-0005-0000-0000-00003BB70000}"/>
    <cellStyle name="汇总 2 3 7 3 2" xfId="46908" xr:uid="{00000000-0005-0000-0000-00003CB70000}"/>
    <cellStyle name="汇总 2 3 8" xfId="46909" xr:uid="{00000000-0005-0000-0000-00003DB70000}"/>
    <cellStyle name="汇总 2 3 9" xfId="46910" xr:uid="{00000000-0005-0000-0000-00003EB70000}"/>
    <cellStyle name="汇总 2 4" xfId="46911" xr:uid="{00000000-0005-0000-0000-00003FB70000}"/>
    <cellStyle name="汇总 2 4 2" xfId="46912" xr:uid="{00000000-0005-0000-0000-000040B70000}"/>
    <cellStyle name="汇总 2 4 2 2" xfId="46913" xr:uid="{00000000-0005-0000-0000-000041B70000}"/>
    <cellStyle name="汇总 2 4 2 3" xfId="46914" xr:uid="{00000000-0005-0000-0000-000042B70000}"/>
    <cellStyle name="汇总 2 4 2 3 2" xfId="46915" xr:uid="{00000000-0005-0000-0000-000043B70000}"/>
    <cellStyle name="汇总 2 4 2 3 2 2" xfId="46916" xr:uid="{00000000-0005-0000-0000-000044B70000}"/>
    <cellStyle name="汇总 2 4 2 4" xfId="46917" xr:uid="{00000000-0005-0000-0000-000045B70000}"/>
    <cellStyle name="汇总 2 4 2 4 2" xfId="46918" xr:uid="{00000000-0005-0000-0000-000046B70000}"/>
    <cellStyle name="汇总 2 4 3" xfId="46919" xr:uid="{00000000-0005-0000-0000-000047B70000}"/>
    <cellStyle name="汇总 2 4 3 2" xfId="46920" xr:uid="{00000000-0005-0000-0000-000048B70000}"/>
    <cellStyle name="汇总 2 4 3 2 2" xfId="46921" xr:uid="{00000000-0005-0000-0000-000049B70000}"/>
    <cellStyle name="汇总 2 4 3 2 2 2" xfId="46922" xr:uid="{00000000-0005-0000-0000-00004AB70000}"/>
    <cellStyle name="汇总 2 4 3 3" xfId="46923" xr:uid="{00000000-0005-0000-0000-00004BB70000}"/>
    <cellStyle name="汇总 2 4 3 3 2" xfId="46924" xr:uid="{00000000-0005-0000-0000-00004CB70000}"/>
    <cellStyle name="汇总 2 4 4" xfId="46925" xr:uid="{00000000-0005-0000-0000-00004DB70000}"/>
    <cellStyle name="汇总 2 4 5" xfId="46926" xr:uid="{00000000-0005-0000-0000-00004EB70000}"/>
    <cellStyle name="汇总 2 4 6" xfId="46927" xr:uid="{00000000-0005-0000-0000-00004FB70000}"/>
    <cellStyle name="汇总 2 5" xfId="46928" xr:uid="{00000000-0005-0000-0000-000050B70000}"/>
    <cellStyle name="汇总 2 5 2" xfId="46929" xr:uid="{00000000-0005-0000-0000-000051B70000}"/>
    <cellStyle name="汇总 2 5 2 2" xfId="46930" xr:uid="{00000000-0005-0000-0000-000052B70000}"/>
    <cellStyle name="汇总 2 5 2 3" xfId="46931" xr:uid="{00000000-0005-0000-0000-000053B70000}"/>
    <cellStyle name="汇总 2 5 2 3 2" xfId="46932" xr:uid="{00000000-0005-0000-0000-000054B70000}"/>
    <cellStyle name="汇总 2 5 2 3 2 2" xfId="46933" xr:uid="{00000000-0005-0000-0000-000055B70000}"/>
    <cellStyle name="汇总 2 5 2 4" xfId="46934" xr:uid="{00000000-0005-0000-0000-000056B70000}"/>
    <cellStyle name="汇总 2 5 2 4 2" xfId="46935" xr:uid="{00000000-0005-0000-0000-000057B70000}"/>
    <cellStyle name="汇总 2 5 3" xfId="46936" xr:uid="{00000000-0005-0000-0000-000058B70000}"/>
    <cellStyle name="汇总 2 5 4" xfId="46937" xr:uid="{00000000-0005-0000-0000-000059B70000}"/>
    <cellStyle name="汇总 2 5 5" xfId="46938" xr:uid="{00000000-0005-0000-0000-00005AB70000}"/>
    <cellStyle name="汇总 2 5 6" xfId="46939" xr:uid="{00000000-0005-0000-0000-00005BB70000}"/>
    <cellStyle name="汇总 2 6" xfId="46940" xr:uid="{00000000-0005-0000-0000-00005CB70000}"/>
    <cellStyle name="汇总 2 6 2" xfId="46941" xr:uid="{00000000-0005-0000-0000-00005DB70000}"/>
    <cellStyle name="汇总 2 6 2 2" xfId="46942" xr:uid="{00000000-0005-0000-0000-00005EB70000}"/>
    <cellStyle name="汇总 2 6 2 2 2" xfId="46943" xr:uid="{00000000-0005-0000-0000-00005FB70000}"/>
    <cellStyle name="汇总 2 6 2 2 2 2" xfId="46944" xr:uid="{00000000-0005-0000-0000-000060B70000}"/>
    <cellStyle name="汇总 2 6 2 3" xfId="46945" xr:uid="{00000000-0005-0000-0000-000061B70000}"/>
    <cellStyle name="汇总 2 6 2 3 2" xfId="46946" xr:uid="{00000000-0005-0000-0000-000062B70000}"/>
    <cellStyle name="汇总 2 6 3" xfId="46947" xr:uid="{00000000-0005-0000-0000-000063B70000}"/>
    <cellStyle name="汇总 2 6 3 2" xfId="46948" xr:uid="{00000000-0005-0000-0000-000064B70000}"/>
    <cellStyle name="汇总 2 6 3 2 2" xfId="46949" xr:uid="{00000000-0005-0000-0000-000065B70000}"/>
    <cellStyle name="汇总 2 6 4" xfId="46950" xr:uid="{00000000-0005-0000-0000-000066B70000}"/>
    <cellStyle name="汇总 2 6 4 2" xfId="46951" xr:uid="{00000000-0005-0000-0000-000067B70000}"/>
    <cellStyle name="汇总 2 7" xfId="46952" xr:uid="{00000000-0005-0000-0000-000068B70000}"/>
    <cellStyle name="汇总 2 7 2" xfId="46953" xr:uid="{00000000-0005-0000-0000-000069B70000}"/>
    <cellStyle name="汇总 2 7 2 2" xfId="46954" xr:uid="{00000000-0005-0000-0000-00006AB70000}"/>
    <cellStyle name="汇总 2 7 2 2 2" xfId="46955" xr:uid="{00000000-0005-0000-0000-00006BB70000}"/>
    <cellStyle name="汇总 2 7 2 2 2 2" xfId="46956" xr:uid="{00000000-0005-0000-0000-00006CB70000}"/>
    <cellStyle name="汇总 2 7 2 3" xfId="46957" xr:uid="{00000000-0005-0000-0000-00006DB70000}"/>
    <cellStyle name="汇总 2 7 2 3 2" xfId="46958" xr:uid="{00000000-0005-0000-0000-00006EB70000}"/>
    <cellStyle name="汇总 2 7 3" xfId="46959" xr:uid="{00000000-0005-0000-0000-00006FB70000}"/>
    <cellStyle name="汇总 2 7 3 2" xfId="46960" xr:uid="{00000000-0005-0000-0000-000070B70000}"/>
    <cellStyle name="汇总 2 7 3 2 2" xfId="46961" xr:uid="{00000000-0005-0000-0000-000071B70000}"/>
    <cellStyle name="汇总 2 7 4" xfId="46962" xr:uid="{00000000-0005-0000-0000-000072B70000}"/>
    <cellStyle name="汇总 2 7 4 2" xfId="46963" xr:uid="{00000000-0005-0000-0000-000073B70000}"/>
    <cellStyle name="汇总 2 8" xfId="46964" xr:uid="{00000000-0005-0000-0000-000074B70000}"/>
    <cellStyle name="汇总 2 8 2" xfId="46965" xr:uid="{00000000-0005-0000-0000-000075B70000}"/>
    <cellStyle name="汇总 2 8 2 2" xfId="46966" xr:uid="{00000000-0005-0000-0000-000076B70000}"/>
    <cellStyle name="汇总 2 8 2 2 2" xfId="46967" xr:uid="{00000000-0005-0000-0000-000077B70000}"/>
    <cellStyle name="汇总 2 8 2 2 2 2" xfId="46968" xr:uid="{00000000-0005-0000-0000-000078B70000}"/>
    <cellStyle name="汇总 2 8 2 3" xfId="46969" xr:uid="{00000000-0005-0000-0000-000079B70000}"/>
    <cellStyle name="汇总 2 8 2 3 2" xfId="46970" xr:uid="{00000000-0005-0000-0000-00007AB70000}"/>
    <cellStyle name="汇总 2 8 3" xfId="46971" xr:uid="{00000000-0005-0000-0000-00007BB70000}"/>
    <cellStyle name="汇总 2 8 3 2" xfId="46972" xr:uid="{00000000-0005-0000-0000-00007CB70000}"/>
    <cellStyle name="汇总 2 8 3 2 2" xfId="46973" xr:uid="{00000000-0005-0000-0000-00007DB70000}"/>
    <cellStyle name="汇总 2 8 4" xfId="46974" xr:uid="{00000000-0005-0000-0000-00007EB70000}"/>
    <cellStyle name="汇总 2 8 4 2" xfId="46975" xr:uid="{00000000-0005-0000-0000-00007FB70000}"/>
    <cellStyle name="汇总 2 9" xfId="46976" xr:uid="{00000000-0005-0000-0000-000080B70000}"/>
    <cellStyle name="汇总 2 9 2" xfId="46977" xr:uid="{00000000-0005-0000-0000-000081B70000}"/>
    <cellStyle name="汇总 2 9 2 2" xfId="46978" xr:uid="{00000000-0005-0000-0000-000082B70000}"/>
    <cellStyle name="汇总 2 9 2 2 2" xfId="46979" xr:uid="{00000000-0005-0000-0000-000083B70000}"/>
    <cellStyle name="汇总 2 9 3" xfId="46980" xr:uid="{00000000-0005-0000-0000-000084B70000}"/>
    <cellStyle name="汇总 2 9 3 2" xfId="46981" xr:uid="{00000000-0005-0000-0000-000085B70000}"/>
    <cellStyle name="汇总 3" xfId="46982" xr:uid="{00000000-0005-0000-0000-000086B70000}"/>
    <cellStyle name="汇总 3 2" xfId="46983" xr:uid="{00000000-0005-0000-0000-000087B70000}"/>
    <cellStyle name="汇总 3 2 2" xfId="46984" xr:uid="{00000000-0005-0000-0000-000088B70000}"/>
    <cellStyle name="汇总 3 2 2 2" xfId="46985" xr:uid="{00000000-0005-0000-0000-000089B70000}"/>
    <cellStyle name="汇总 3 2 2 2 2" xfId="46986" xr:uid="{00000000-0005-0000-0000-00008AB70000}"/>
    <cellStyle name="汇总 3 2 2 2 3" xfId="46987" xr:uid="{00000000-0005-0000-0000-00008BB70000}"/>
    <cellStyle name="汇总 3 2 2 2 3 2" xfId="46988" xr:uid="{00000000-0005-0000-0000-00008CB70000}"/>
    <cellStyle name="汇总 3 2 2 2 3 2 2" xfId="46989" xr:uid="{00000000-0005-0000-0000-00008DB70000}"/>
    <cellStyle name="汇总 3 2 2 2 4" xfId="46990" xr:uid="{00000000-0005-0000-0000-00008EB70000}"/>
    <cellStyle name="汇总 3 2 2 2 4 2" xfId="46991" xr:uid="{00000000-0005-0000-0000-00008FB70000}"/>
    <cellStyle name="汇总 3 2 2 3" xfId="46992" xr:uid="{00000000-0005-0000-0000-000090B70000}"/>
    <cellStyle name="汇总 3 2 2 3 2" xfId="46993" xr:uid="{00000000-0005-0000-0000-000091B70000}"/>
    <cellStyle name="汇总 3 2 2 3 2 2" xfId="46994" xr:uid="{00000000-0005-0000-0000-000092B70000}"/>
    <cellStyle name="汇总 3 2 2 3 2 2 2" xfId="46995" xr:uid="{00000000-0005-0000-0000-000093B70000}"/>
    <cellStyle name="汇总 3 2 2 3 3" xfId="46996" xr:uid="{00000000-0005-0000-0000-000094B70000}"/>
    <cellStyle name="汇总 3 2 2 3 3 2" xfId="46997" xr:uid="{00000000-0005-0000-0000-000095B70000}"/>
    <cellStyle name="汇总 3 2 2 4" xfId="46998" xr:uid="{00000000-0005-0000-0000-000096B70000}"/>
    <cellStyle name="汇总 3 2 2 5" xfId="46999" xr:uid="{00000000-0005-0000-0000-000097B70000}"/>
    <cellStyle name="汇总 3 2 2 6" xfId="47000" xr:uid="{00000000-0005-0000-0000-000098B70000}"/>
    <cellStyle name="汇总 3 2 3" xfId="47001" xr:uid="{00000000-0005-0000-0000-000099B70000}"/>
    <cellStyle name="汇总 3 2 3 2" xfId="47002" xr:uid="{00000000-0005-0000-0000-00009AB70000}"/>
    <cellStyle name="汇总 3 2 3 3" xfId="47003" xr:uid="{00000000-0005-0000-0000-00009BB70000}"/>
    <cellStyle name="汇总 3 2 3 3 2" xfId="47004" xr:uid="{00000000-0005-0000-0000-00009CB70000}"/>
    <cellStyle name="汇总 3 2 3 3 2 2" xfId="47005" xr:uid="{00000000-0005-0000-0000-00009DB70000}"/>
    <cellStyle name="汇总 3 2 3 4" xfId="47006" xr:uid="{00000000-0005-0000-0000-00009EB70000}"/>
    <cellStyle name="汇总 3 2 3 4 2" xfId="47007" xr:uid="{00000000-0005-0000-0000-00009FB70000}"/>
    <cellStyle name="汇总 3 2 4" xfId="47008" xr:uid="{00000000-0005-0000-0000-0000A0B70000}"/>
    <cellStyle name="汇总 3 2 4 2" xfId="47009" xr:uid="{00000000-0005-0000-0000-0000A1B70000}"/>
    <cellStyle name="汇总 3 2 4 2 2" xfId="47010" xr:uid="{00000000-0005-0000-0000-0000A2B70000}"/>
    <cellStyle name="汇总 3 2 4 2 2 2" xfId="47011" xr:uid="{00000000-0005-0000-0000-0000A3B70000}"/>
    <cellStyle name="汇总 3 2 4 3" xfId="47012" xr:uid="{00000000-0005-0000-0000-0000A4B70000}"/>
    <cellStyle name="汇总 3 2 4 3 2" xfId="47013" xr:uid="{00000000-0005-0000-0000-0000A5B70000}"/>
    <cellStyle name="汇总 3 2 5" xfId="47014" xr:uid="{00000000-0005-0000-0000-0000A6B70000}"/>
    <cellStyle name="汇总 3 2 6" xfId="47015" xr:uid="{00000000-0005-0000-0000-0000A7B70000}"/>
    <cellStyle name="汇总 3 2 7" xfId="47016" xr:uid="{00000000-0005-0000-0000-0000A8B70000}"/>
    <cellStyle name="汇总 3 3" xfId="47017" xr:uid="{00000000-0005-0000-0000-0000A9B70000}"/>
    <cellStyle name="汇总 3 3 2" xfId="47018" xr:uid="{00000000-0005-0000-0000-0000AAB70000}"/>
    <cellStyle name="汇总 3 3 2 2" xfId="47019" xr:uid="{00000000-0005-0000-0000-0000ABB70000}"/>
    <cellStyle name="汇总 3 3 2 3" xfId="47020" xr:uid="{00000000-0005-0000-0000-0000ACB70000}"/>
    <cellStyle name="汇总 3 3 2 3 2" xfId="47021" xr:uid="{00000000-0005-0000-0000-0000ADB70000}"/>
    <cellStyle name="汇总 3 3 2 3 2 2" xfId="47022" xr:uid="{00000000-0005-0000-0000-0000AEB70000}"/>
    <cellStyle name="汇总 3 3 2 4" xfId="47023" xr:uid="{00000000-0005-0000-0000-0000AFB70000}"/>
    <cellStyle name="汇总 3 3 2 4 2" xfId="47024" xr:uid="{00000000-0005-0000-0000-0000B0B70000}"/>
    <cellStyle name="汇总 3 3 3" xfId="47025" xr:uid="{00000000-0005-0000-0000-0000B1B70000}"/>
    <cellStyle name="汇总 3 3 3 2" xfId="47026" xr:uid="{00000000-0005-0000-0000-0000B2B70000}"/>
    <cellStyle name="汇总 3 3 3 2 2" xfId="47027" xr:uid="{00000000-0005-0000-0000-0000B3B70000}"/>
    <cellStyle name="汇总 3 3 3 2 2 2" xfId="47028" xr:uid="{00000000-0005-0000-0000-0000B4B70000}"/>
    <cellStyle name="汇总 3 3 3 3" xfId="47029" xr:uid="{00000000-0005-0000-0000-0000B5B70000}"/>
    <cellStyle name="汇总 3 3 3 3 2" xfId="47030" xr:uid="{00000000-0005-0000-0000-0000B6B70000}"/>
    <cellStyle name="汇总 3 3 4" xfId="47031" xr:uid="{00000000-0005-0000-0000-0000B7B70000}"/>
    <cellStyle name="汇总 3 3 5" xfId="47032" xr:uid="{00000000-0005-0000-0000-0000B8B70000}"/>
    <cellStyle name="汇总 3 3 6" xfId="47033" xr:uid="{00000000-0005-0000-0000-0000B9B70000}"/>
    <cellStyle name="汇总 3 4" xfId="47034" xr:uid="{00000000-0005-0000-0000-0000BAB70000}"/>
    <cellStyle name="汇总 3 4 2" xfId="47035" xr:uid="{00000000-0005-0000-0000-0000BBB70000}"/>
    <cellStyle name="汇总 3 4 2 2" xfId="47036" xr:uid="{00000000-0005-0000-0000-0000BCB70000}"/>
    <cellStyle name="汇总 3 4 2 3" xfId="47037" xr:uid="{00000000-0005-0000-0000-0000BDB70000}"/>
    <cellStyle name="汇总 3 4 2 3 2" xfId="47038" xr:uid="{00000000-0005-0000-0000-0000BEB70000}"/>
    <cellStyle name="汇总 3 4 2 3 2 2" xfId="47039" xr:uid="{00000000-0005-0000-0000-0000BFB70000}"/>
    <cellStyle name="汇总 3 4 2 4" xfId="47040" xr:uid="{00000000-0005-0000-0000-0000C0B70000}"/>
    <cellStyle name="汇总 3 4 2 4 2" xfId="47041" xr:uid="{00000000-0005-0000-0000-0000C1B70000}"/>
    <cellStyle name="汇总 3 4 3" xfId="47042" xr:uid="{00000000-0005-0000-0000-0000C2B70000}"/>
    <cellStyle name="汇总 3 4 4" xfId="47043" xr:uid="{00000000-0005-0000-0000-0000C3B70000}"/>
    <cellStyle name="汇总 3 4 5" xfId="47044" xr:uid="{00000000-0005-0000-0000-0000C4B70000}"/>
    <cellStyle name="汇总 3 4 6" xfId="47045" xr:uid="{00000000-0005-0000-0000-0000C5B70000}"/>
    <cellStyle name="汇总 3 5" xfId="47046" xr:uid="{00000000-0005-0000-0000-0000C6B70000}"/>
    <cellStyle name="汇总 3 5 2" xfId="47047" xr:uid="{00000000-0005-0000-0000-0000C7B70000}"/>
    <cellStyle name="汇总 3 5 2 2" xfId="47048" xr:uid="{00000000-0005-0000-0000-0000C8B70000}"/>
    <cellStyle name="汇总 3 5 2 2 2" xfId="47049" xr:uid="{00000000-0005-0000-0000-0000C9B70000}"/>
    <cellStyle name="汇总 3 5 2 2 2 2" xfId="47050" xr:uid="{00000000-0005-0000-0000-0000CAB70000}"/>
    <cellStyle name="汇总 3 5 2 3" xfId="47051" xr:uid="{00000000-0005-0000-0000-0000CBB70000}"/>
    <cellStyle name="汇总 3 5 2 3 2" xfId="47052" xr:uid="{00000000-0005-0000-0000-0000CCB70000}"/>
    <cellStyle name="汇总 3 5 3" xfId="47053" xr:uid="{00000000-0005-0000-0000-0000CDB70000}"/>
    <cellStyle name="汇总 3 5 3 2" xfId="47054" xr:uid="{00000000-0005-0000-0000-0000CEB70000}"/>
    <cellStyle name="汇总 3 5 3 2 2" xfId="47055" xr:uid="{00000000-0005-0000-0000-0000CFB70000}"/>
    <cellStyle name="汇总 3 5 4" xfId="47056" xr:uid="{00000000-0005-0000-0000-0000D0B70000}"/>
    <cellStyle name="汇总 3 5 4 2" xfId="47057" xr:uid="{00000000-0005-0000-0000-0000D1B70000}"/>
    <cellStyle name="汇总 3 6" xfId="47058" xr:uid="{00000000-0005-0000-0000-0000D2B70000}"/>
    <cellStyle name="汇总 3 6 2" xfId="47059" xr:uid="{00000000-0005-0000-0000-0000D3B70000}"/>
    <cellStyle name="汇总 3 6 2 2" xfId="47060" xr:uid="{00000000-0005-0000-0000-0000D4B70000}"/>
    <cellStyle name="汇总 3 6 2 2 2" xfId="47061" xr:uid="{00000000-0005-0000-0000-0000D5B70000}"/>
    <cellStyle name="汇总 3 6 3" xfId="47062" xr:uid="{00000000-0005-0000-0000-0000D6B70000}"/>
    <cellStyle name="汇总 3 6 3 2" xfId="47063" xr:uid="{00000000-0005-0000-0000-0000D7B70000}"/>
    <cellStyle name="汇总 3 7" xfId="47064" xr:uid="{00000000-0005-0000-0000-0000D8B70000}"/>
    <cellStyle name="汇总 3 8" xfId="47065" xr:uid="{00000000-0005-0000-0000-0000D9B70000}"/>
    <cellStyle name="注释 2" xfId="47066" xr:uid="{00000000-0005-0000-0000-0000DAB70000}"/>
    <cellStyle name="注释 2 10" xfId="47067" xr:uid="{00000000-0005-0000-0000-0000DBB70000}"/>
    <cellStyle name="注释 2 10 2" xfId="47068" xr:uid="{00000000-0005-0000-0000-0000DCB70000}"/>
    <cellStyle name="注释 2 11" xfId="47069" xr:uid="{00000000-0005-0000-0000-0000DDB70000}"/>
    <cellStyle name="注释 2 11 2" xfId="47070" xr:uid="{00000000-0005-0000-0000-0000DEB70000}"/>
    <cellStyle name="注释 2 2" xfId="47071" xr:uid="{00000000-0005-0000-0000-0000DFB70000}"/>
    <cellStyle name="注释 2 2 10" xfId="47072" xr:uid="{00000000-0005-0000-0000-0000E0B70000}"/>
    <cellStyle name="注释 2 2 10 2" xfId="47073" xr:uid="{00000000-0005-0000-0000-0000E1B70000}"/>
    <cellStyle name="注释 2 2 11" xfId="47074" xr:uid="{00000000-0005-0000-0000-0000E2B70000}"/>
    <cellStyle name="注释 2 2 11 2" xfId="47075" xr:uid="{00000000-0005-0000-0000-0000E3B70000}"/>
    <cellStyle name="注释 2 2 2" xfId="47076" xr:uid="{00000000-0005-0000-0000-0000E4B70000}"/>
    <cellStyle name="注释 2 2 2 10" xfId="47077" xr:uid="{00000000-0005-0000-0000-0000E5B70000}"/>
    <cellStyle name="注释 2 2 2 10 2" xfId="47078" xr:uid="{00000000-0005-0000-0000-0000E6B70000}"/>
    <cellStyle name="注释 2 2 2 2" xfId="47079" xr:uid="{00000000-0005-0000-0000-0000E7B70000}"/>
    <cellStyle name="注释 2 2 2 2 2" xfId="47080" xr:uid="{00000000-0005-0000-0000-0000E8B70000}"/>
    <cellStyle name="注释 2 2 2 2 2 2" xfId="47081" xr:uid="{00000000-0005-0000-0000-0000E9B70000}"/>
    <cellStyle name="注释 2 2 2 2 2 2 2" xfId="47082" xr:uid="{00000000-0005-0000-0000-0000EAB70000}"/>
    <cellStyle name="注释 2 2 2 2 2 2 3" xfId="47083" xr:uid="{00000000-0005-0000-0000-0000EBB70000}"/>
    <cellStyle name="注释 2 2 2 2 2 2 4" xfId="47084" xr:uid="{00000000-0005-0000-0000-0000ECB70000}"/>
    <cellStyle name="注释 2 2 2 2 2 2 4 2" xfId="47085" xr:uid="{00000000-0005-0000-0000-0000EDB70000}"/>
    <cellStyle name="注释 2 2 2 2 2 2 5" xfId="47086" xr:uid="{00000000-0005-0000-0000-0000EEB70000}"/>
    <cellStyle name="注释 2 2 2 2 2 2 5 2" xfId="47087" xr:uid="{00000000-0005-0000-0000-0000EFB70000}"/>
    <cellStyle name="注释 2 2 2 2 2 3" xfId="47088" xr:uid="{00000000-0005-0000-0000-0000F0B70000}"/>
    <cellStyle name="注释 2 2 2 2 2 3 2" xfId="47089" xr:uid="{00000000-0005-0000-0000-0000F1B70000}"/>
    <cellStyle name="注释 2 2 2 2 2 3 2 2" xfId="47090" xr:uid="{00000000-0005-0000-0000-0000F2B70000}"/>
    <cellStyle name="注释 2 2 2 2 2 3 2 2 2" xfId="47091" xr:uid="{00000000-0005-0000-0000-0000F3B70000}"/>
    <cellStyle name="注释 2 2 2 2 2 3 3" xfId="47092" xr:uid="{00000000-0005-0000-0000-0000F4B70000}"/>
    <cellStyle name="注释 2 2 2 2 2 3 3 2" xfId="47093" xr:uid="{00000000-0005-0000-0000-0000F5B70000}"/>
    <cellStyle name="注释 2 2 2 2 2 3 4" xfId="47094" xr:uid="{00000000-0005-0000-0000-0000F6B70000}"/>
    <cellStyle name="注释 2 2 2 2 2 3 4 2" xfId="47095" xr:uid="{00000000-0005-0000-0000-0000F7B70000}"/>
    <cellStyle name="注释 2 2 2 2 2 3 5" xfId="47096" xr:uid="{00000000-0005-0000-0000-0000F8B70000}"/>
    <cellStyle name="注释 2 2 2 2 2 4" xfId="47097" xr:uid="{00000000-0005-0000-0000-0000F9B70000}"/>
    <cellStyle name="注释 2 2 2 2 2 5" xfId="47098" xr:uid="{00000000-0005-0000-0000-0000FAB70000}"/>
    <cellStyle name="注释 2 2 2 2 2 6" xfId="47099" xr:uid="{00000000-0005-0000-0000-0000FBB70000}"/>
    <cellStyle name="注释 2 2 2 2 2 7" xfId="47100" xr:uid="{00000000-0005-0000-0000-0000FCB70000}"/>
    <cellStyle name="注释 2 2 2 2 2 7 2" xfId="47101" xr:uid="{00000000-0005-0000-0000-0000FDB70000}"/>
    <cellStyle name="注释 2 2 2 2 2 8" xfId="47102" xr:uid="{00000000-0005-0000-0000-0000FEB70000}"/>
    <cellStyle name="注释 2 2 2 2 2 8 2" xfId="47103" xr:uid="{00000000-0005-0000-0000-0000FFB70000}"/>
    <cellStyle name="注释 2 2 2 2 3" xfId="47104" xr:uid="{00000000-0005-0000-0000-000000B80000}"/>
    <cellStyle name="注释 2 2 2 2 3 2" xfId="47105" xr:uid="{00000000-0005-0000-0000-000001B80000}"/>
    <cellStyle name="注释 2 2 2 2 3 3" xfId="47106" xr:uid="{00000000-0005-0000-0000-000002B80000}"/>
    <cellStyle name="注释 2 2 2 2 3 4" xfId="47107" xr:uid="{00000000-0005-0000-0000-000003B80000}"/>
    <cellStyle name="注释 2 2 2 2 3 4 2" xfId="47108" xr:uid="{00000000-0005-0000-0000-000004B80000}"/>
    <cellStyle name="注释 2 2 2 2 3 5" xfId="47109" xr:uid="{00000000-0005-0000-0000-000005B80000}"/>
    <cellStyle name="注释 2 2 2 2 3 5 2" xfId="47110" xr:uid="{00000000-0005-0000-0000-000006B80000}"/>
    <cellStyle name="注释 2 2 2 2 4" xfId="47111" xr:uid="{00000000-0005-0000-0000-000007B80000}"/>
    <cellStyle name="注释 2 2 2 2 5" xfId="47112" xr:uid="{00000000-0005-0000-0000-000008B80000}"/>
    <cellStyle name="注释 2 2 2 2 6" xfId="47113" xr:uid="{00000000-0005-0000-0000-000009B80000}"/>
    <cellStyle name="注释 2 2 2 2 7" xfId="47114" xr:uid="{00000000-0005-0000-0000-00000AB80000}"/>
    <cellStyle name="注释 2 2 2 2 8" xfId="47115" xr:uid="{00000000-0005-0000-0000-00000BB80000}"/>
    <cellStyle name="注释 2 2 2 2 8 2" xfId="47116" xr:uid="{00000000-0005-0000-0000-00000CB80000}"/>
    <cellStyle name="注释 2 2 2 2 9" xfId="47117" xr:uid="{00000000-0005-0000-0000-00000DB80000}"/>
    <cellStyle name="注释 2 2 2 2 9 2" xfId="47118" xr:uid="{00000000-0005-0000-0000-00000EB80000}"/>
    <cellStyle name="注释 2 2 2 3" xfId="47119" xr:uid="{00000000-0005-0000-0000-00000FB80000}"/>
    <cellStyle name="注释 2 2 2 3 2" xfId="47120" xr:uid="{00000000-0005-0000-0000-000010B80000}"/>
    <cellStyle name="注释 2 2 2 3 2 2" xfId="47121" xr:uid="{00000000-0005-0000-0000-000011B80000}"/>
    <cellStyle name="注释 2 2 2 3 2 3" xfId="47122" xr:uid="{00000000-0005-0000-0000-000012B80000}"/>
    <cellStyle name="注释 2 2 2 3 2 4" xfId="47123" xr:uid="{00000000-0005-0000-0000-000013B80000}"/>
    <cellStyle name="注释 2 2 2 3 2 4 2" xfId="47124" xr:uid="{00000000-0005-0000-0000-000014B80000}"/>
    <cellStyle name="注释 2 2 2 3 2 5" xfId="47125" xr:uid="{00000000-0005-0000-0000-000015B80000}"/>
    <cellStyle name="注释 2 2 2 3 2 5 2" xfId="47126" xr:uid="{00000000-0005-0000-0000-000016B80000}"/>
    <cellStyle name="注释 2 2 2 3 3" xfId="47127" xr:uid="{00000000-0005-0000-0000-000017B80000}"/>
    <cellStyle name="注释 2 2 2 3 3 2" xfId="47128" xr:uid="{00000000-0005-0000-0000-000018B80000}"/>
    <cellStyle name="注释 2 2 2 3 3 2 2" xfId="47129" xr:uid="{00000000-0005-0000-0000-000019B80000}"/>
    <cellStyle name="注释 2 2 2 3 3 2 2 2" xfId="47130" xr:uid="{00000000-0005-0000-0000-00001AB80000}"/>
    <cellStyle name="注释 2 2 2 3 3 3" xfId="47131" xr:uid="{00000000-0005-0000-0000-00001BB80000}"/>
    <cellStyle name="注释 2 2 2 3 3 3 2" xfId="47132" xr:uid="{00000000-0005-0000-0000-00001CB80000}"/>
    <cellStyle name="注释 2 2 2 3 3 4" xfId="47133" xr:uid="{00000000-0005-0000-0000-00001DB80000}"/>
    <cellStyle name="注释 2 2 2 3 3 4 2" xfId="47134" xr:uid="{00000000-0005-0000-0000-00001EB80000}"/>
    <cellStyle name="注释 2 2 2 3 3 5" xfId="47135" xr:uid="{00000000-0005-0000-0000-00001FB80000}"/>
    <cellStyle name="注释 2 2 2 3 4" xfId="47136" xr:uid="{00000000-0005-0000-0000-000020B80000}"/>
    <cellStyle name="注释 2 2 2 3 5" xfId="47137" xr:uid="{00000000-0005-0000-0000-000021B80000}"/>
    <cellStyle name="注释 2 2 2 3 6" xfId="47138" xr:uid="{00000000-0005-0000-0000-000022B80000}"/>
    <cellStyle name="注释 2 2 2 3 7" xfId="47139" xr:uid="{00000000-0005-0000-0000-000023B80000}"/>
    <cellStyle name="注释 2 2 2 3 7 2" xfId="47140" xr:uid="{00000000-0005-0000-0000-000024B80000}"/>
    <cellStyle name="注释 2 2 2 3 8" xfId="47141" xr:uid="{00000000-0005-0000-0000-000025B80000}"/>
    <cellStyle name="注释 2 2 2 3 8 2" xfId="47142" xr:uid="{00000000-0005-0000-0000-000026B80000}"/>
    <cellStyle name="注释 2 2 2 4" xfId="47143" xr:uid="{00000000-0005-0000-0000-000027B80000}"/>
    <cellStyle name="注释 2 2 2 4 2" xfId="47144" xr:uid="{00000000-0005-0000-0000-000028B80000}"/>
    <cellStyle name="注释 2 2 2 4 3" xfId="47145" xr:uid="{00000000-0005-0000-0000-000029B80000}"/>
    <cellStyle name="注释 2 2 2 4 4" xfId="47146" xr:uid="{00000000-0005-0000-0000-00002AB80000}"/>
    <cellStyle name="注释 2 2 2 4 4 2" xfId="47147" xr:uid="{00000000-0005-0000-0000-00002BB80000}"/>
    <cellStyle name="注释 2 2 2 4 5" xfId="47148" xr:uid="{00000000-0005-0000-0000-00002CB80000}"/>
    <cellStyle name="注释 2 2 2 4 5 2" xfId="47149" xr:uid="{00000000-0005-0000-0000-00002DB80000}"/>
    <cellStyle name="注释 2 2 2 5" xfId="47150" xr:uid="{00000000-0005-0000-0000-00002EB80000}"/>
    <cellStyle name="注释 2 2 2 6" xfId="47151" xr:uid="{00000000-0005-0000-0000-00002FB80000}"/>
    <cellStyle name="注释 2 2 2 7" xfId="47152" xr:uid="{00000000-0005-0000-0000-000030B80000}"/>
    <cellStyle name="注释 2 2 2 8" xfId="47153" xr:uid="{00000000-0005-0000-0000-000031B80000}"/>
    <cellStyle name="注释 2 2 2 9" xfId="47154" xr:uid="{00000000-0005-0000-0000-000032B80000}"/>
    <cellStyle name="注释 2 2 2 9 2" xfId="47155" xr:uid="{00000000-0005-0000-0000-000033B80000}"/>
    <cellStyle name="注释 2 2 3" xfId="47156" xr:uid="{00000000-0005-0000-0000-000034B80000}"/>
    <cellStyle name="注释 2 2 3 2" xfId="47157" xr:uid="{00000000-0005-0000-0000-000035B80000}"/>
    <cellStyle name="注释 2 2 3 2 2" xfId="47158" xr:uid="{00000000-0005-0000-0000-000036B80000}"/>
    <cellStyle name="注释 2 2 3 2 3" xfId="47159" xr:uid="{00000000-0005-0000-0000-000037B80000}"/>
    <cellStyle name="注释 2 2 3 2 4" xfId="47160" xr:uid="{00000000-0005-0000-0000-000038B80000}"/>
    <cellStyle name="注释 2 2 3 2 4 2" xfId="47161" xr:uid="{00000000-0005-0000-0000-000039B80000}"/>
    <cellStyle name="注释 2 2 3 2 5" xfId="47162" xr:uid="{00000000-0005-0000-0000-00003AB80000}"/>
    <cellStyle name="注释 2 2 3 2 5 2" xfId="47163" xr:uid="{00000000-0005-0000-0000-00003BB80000}"/>
    <cellStyle name="注释 2 2 3 3" xfId="47164" xr:uid="{00000000-0005-0000-0000-00003CB80000}"/>
    <cellStyle name="注释 2 2 3 3 2" xfId="47165" xr:uid="{00000000-0005-0000-0000-00003DB80000}"/>
    <cellStyle name="注释 2 2 3 3 2 2" xfId="47166" xr:uid="{00000000-0005-0000-0000-00003EB80000}"/>
    <cellStyle name="注释 2 2 3 3 2 2 2" xfId="47167" xr:uid="{00000000-0005-0000-0000-00003FB80000}"/>
    <cellStyle name="注释 2 2 3 3 3" xfId="47168" xr:uid="{00000000-0005-0000-0000-000040B80000}"/>
    <cellStyle name="注释 2 2 3 3 3 2" xfId="47169" xr:uid="{00000000-0005-0000-0000-000041B80000}"/>
    <cellStyle name="注释 2 2 3 3 4" xfId="47170" xr:uid="{00000000-0005-0000-0000-000042B80000}"/>
    <cellStyle name="注释 2 2 3 3 4 2" xfId="47171" xr:uid="{00000000-0005-0000-0000-000043B80000}"/>
    <cellStyle name="注释 2 2 3 3 5" xfId="47172" xr:uid="{00000000-0005-0000-0000-000044B80000}"/>
    <cellStyle name="注释 2 2 3 4" xfId="47173" xr:uid="{00000000-0005-0000-0000-000045B80000}"/>
    <cellStyle name="注释 2 2 3 5" xfId="47174" xr:uid="{00000000-0005-0000-0000-000046B80000}"/>
    <cellStyle name="注释 2 2 3 6" xfId="47175" xr:uid="{00000000-0005-0000-0000-000047B80000}"/>
    <cellStyle name="注释 2 2 3 7" xfId="47176" xr:uid="{00000000-0005-0000-0000-000048B80000}"/>
    <cellStyle name="注释 2 2 3 7 2" xfId="47177" xr:uid="{00000000-0005-0000-0000-000049B80000}"/>
    <cellStyle name="注释 2 2 3 8" xfId="47178" xr:uid="{00000000-0005-0000-0000-00004AB80000}"/>
    <cellStyle name="注释 2 2 3 8 2" xfId="47179" xr:uid="{00000000-0005-0000-0000-00004BB80000}"/>
    <cellStyle name="注释 2 2 4" xfId="47180" xr:uid="{00000000-0005-0000-0000-00004CB80000}"/>
    <cellStyle name="注释 2 2 4 2" xfId="47181" xr:uid="{00000000-0005-0000-0000-00004DB80000}"/>
    <cellStyle name="注释 2 2 4 2 2" xfId="47182" xr:uid="{00000000-0005-0000-0000-00004EB80000}"/>
    <cellStyle name="注释 2 2 4 2 3" xfId="47183" xr:uid="{00000000-0005-0000-0000-00004FB80000}"/>
    <cellStyle name="注释 2 2 4 2 4" xfId="47184" xr:uid="{00000000-0005-0000-0000-000050B80000}"/>
    <cellStyle name="注释 2 2 4 2 4 2" xfId="47185" xr:uid="{00000000-0005-0000-0000-000051B80000}"/>
    <cellStyle name="注释 2 2 4 2 5" xfId="47186" xr:uid="{00000000-0005-0000-0000-000052B80000}"/>
    <cellStyle name="注释 2 2 4 2 5 2" xfId="47187" xr:uid="{00000000-0005-0000-0000-000053B80000}"/>
    <cellStyle name="注释 2 2 4 3" xfId="47188" xr:uid="{00000000-0005-0000-0000-000054B80000}"/>
    <cellStyle name="注释 2 2 4 4" xfId="47189" xr:uid="{00000000-0005-0000-0000-000055B80000}"/>
    <cellStyle name="注释 2 2 4 5" xfId="47190" xr:uid="{00000000-0005-0000-0000-000056B80000}"/>
    <cellStyle name="注释 2 2 4 6" xfId="47191" xr:uid="{00000000-0005-0000-0000-000057B80000}"/>
    <cellStyle name="注释 2 2 4 7" xfId="47192" xr:uid="{00000000-0005-0000-0000-000058B80000}"/>
    <cellStyle name="注释 2 2 4 7 2" xfId="47193" xr:uid="{00000000-0005-0000-0000-000059B80000}"/>
    <cellStyle name="注释 2 2 4 8" xfId="47194" xr:uid="{00000000-0005-0000-0000-00005AB80000}"/>
    <cellStyle name="注释 2 2 4 8 2" xfId="47195" xr:uid="{00000000-0005-0000-0000-00005BB80000}"/>
    <cellStyle name="注释 2 2 5" xfId="47196" xr:uid="{00000000-0005-0000-0000-00005CB80000}"/>
    <cellStyle name="注释 2 2 5 2" xfId="47197" xr:uid="{00000000-0005-0000-0000-00005DB80000}"/>
    <cellStyle name="注释 2 2 5 2 2" xfId="47198" xr:uid="{00000000-0005-0000-0000-00005EB80000}"/>
    <cellStyle name="注释 2 2 5 2 2 2" xfId="47199" xr:uid="{00000000-0005-0000-0000-00005FB80000}"/>
    <cellStyle name="注释 2 2 5 2 2 2 2" xfId="47200" xr:uid="{00000000-0005-0000-0000-000060B80000}"/>
    <cellStyle name="注释 2 2 5 2 3" xfId="47201" xr:uid="{00000000-0005-0000-0000-000061B80000}"/>
    <cellStyle name="注释 2 2 5 2 3 2" xfId="47202" xr:uid="{00000000-0005-0000-0000-000062B80000}"/>
    <cellStyle name="注释 2 2 5 2 4" xfId="47203" xr:uid="{00000000-0005-0000-0000-000063B80000}"/>
    <cellStyle name="注释 2 2 5 2 4 2" xfId="47204" xr:uid="{00000000-0005-0000-0000-000064B80000}"/>
    <cellStyle name="注释 2 2 5 2 5" xfId="47205" xr:uid="{00000000-0005-0000-0000-000065B80000}"/>
    <cellStyle name="注释 2 2 5 3" xfId="47206" xr:uid="{00000000-0005-0000-0000-000066B80000}"/>
    <cellStyle name="注释 2 2 5 4" xfId="47207" xr:uid="{00000000-0005-0000-0000-000067B80000}"/>
    <cellStyle name="注释 2 2 5 4 2" xfId="47208" xr:uid="{00000000-0005-0000-0000-000068B80000}"/>
    <cellStyle name="注释 2 2 5 5" xfId="47209" xr:uid="{00000000-0005-0000-0000-000069B80000}"/>
    <cellStyle name="注释 2 2 5 5 2" xfId="47210" xr:uid="{00000000-0005-0000-0000-00006AB80000}"/>
    <cellStyle name="注释 2 2 6" xfId="47211" xr:uid="{00000000-0005-0000-0000-00006BB80000}"/>
    <cellStyle name="注释 2 2 6 2" xfId="47212" xr:uid="{00000000-0005-0000-0000-00006CB80000}"/>
    <cellStyle name="注释 2 2 6 2 2" xfId="47213" xr:uid="{00000000-0005-0000-0000-00006DB80000}"/>
    <cellStyle name="注释 2 2 6 2 2 2" xfId="47214" xr:uid="{00000000-0005-0000-0000-00006EB80000}"/>
    <cellStyle name="注释 2 2 6 2 2 2 2" xfId="47215" xr:uid="{00000000-0005-0000-0000-00006FB80000}"/>
    <cellStyle name="注释 2 2 6 2 3" xfId="47216" xr:uid="{00000000-0005-0000-0000-000070B80000}"/>
    <cellStyle name="注释 2 2 6 2 3 2" xfId="47217" xr:uid="{00000000-0005-0000-0000-000071B80000}"/>
    <cellStyle name="注释 2 2 6 2 4" xfId="47218" xr:uid="{00000000-0005-0000-0000-000072B80000}"/>
    <cellStyle name="注释 2 2 6 2 4 2" xfId="47219" xr:uid="{00000000-0005-0000-0000-000073B80000}"/>
    <cellStyle name="注释 2 2 6 2 5" xfId="47220" xr:uid="{00000000-0005-0000-0000-000074B80000}"/>
    <cellStyle name="注释 2 2 6 3" xfId="47221" xr:uid="{00000000-0005-0000-0000-000075B80000}"/>
    <cellStyle name="注释 2 2 6 3 2" xfId="47222" xr:uid="{00000000-0005-0000-0000-000076B80000}"/>
    <cellStyle name="注释 2 2 6 3 2 2" xfId="47223" xr:uid="{00000000-0005-0000-0000-000077B80000}"/>
    <cellStyle name="注释 2 2 6 4" xfId="47224" xr:uid="{00000000-0005-0000-0000-000078B80000}"/>
    <cellStyle name="注释 2 2 6 4 2" xfId="47225" xr:uid="{00000000-0005-0000-0000-000079B80000}"/>
    <cellStyle name="注释 2 2 6 5" xfId="47226" xr:uid="{00000000-0005-0000-0000-00007AB80000}"/>
    <cellStyle name="注释 2 2 6 5 2" xfId="47227" xr:uid="{00000000-0005-0000-0000-00007BB80000}"/>
    <cellStyle name="注释 2 2 6 6" xfId="47228" xr:uid="{00000000-0005-0000-0000-00007CB80000}"/>
    <cellStyle name="注释 2 2 7" xfId="47229" xr:uid="{00000000-0005-0000-0000-00007DB80000}"/>
    <cellStyle name="注释 2 2 7 2" xfId="47230" xr:uid="{00000000-0005-0000-0000-00007EB80000}"/>
    <cellStyle name="注释 2 2 7 2 2" xfId="47231" xr:uid="{00000000-0005-0000-0000-00007FB80000}"/>
    <cellStyle name="注释 2 2 7 2 2 2" xfId="47232" xr:uid="{00000000-0005-0000-0000-000080B80000}"/>
    <cellStyle name="注释 2 2 7 2 2 2 2" xfId="47233" xr:uid="{00000000-0005-0000-0000-000081B80000}"/>
    <cellStyle name="注释 2 2 7 2 3" xfId="47234" xr:uid="{00000000-0005-0000-0000-000082B80000}"/>
    <cellStyle name="注释 2 2 7 2 3 2" xfId="47235" xr:uid="{00000000-0005-0000-0000-000083B80000}"/>
    <cellStyle name="注释 2 2 7 2 4" xfId="47236" xr:uid="{00000000-0005-0000-0000-000084B80000}"/>
    <cellStyle name="注释 2 2 7 2 4 2" xfId="47237" xr:uid="{00000000-0005-0000-0000-000085B80000}"/>
    <cellStyle name="注释 2 2 7 2 5" xfId="47238" xr:uid="{00000000-0005-0000-0000-000086B80000}"/>
    <cellStyle name="注释 2 2 7 3" xfId="47239" xr:uid="{00000000-0005-0000-0000-000087B80000}"/>
    <cellStyle name="注释 2 2 7 3 2" xfId="47240" xr:uid="{00000000-0005-0000-0000-000088B80000}"/>
    <cellStyle name="注释 2 2 7 3 2 2" xfId="47241" xr:uid="{00000000-0005-0000-0000-000089B80000}"/>
    <cellStyle name="注释 2 2 7 4" xfId="47242" xr:uid="{00000000-0005-0000-0000-00008AB80000}"/>
    <cellStyle name="注释 2 2 7 4 2" xfId="47243" xr:uid="{00000000-0005-0000-0000-00008BB80000}"/>
    <cellStyle name="注释 2 2 7 5" xfId="47244" xr:uid="{00000000-0005-0000-0000-00008CB80000}"/>
    <cellStyle name="注释 2 2 7 5 2" xfId="47245" xr:uid="{00000000-0005-0000-0000-00008DB80000}"/>
    <cellStyle name="注释 2 2 7 6" xfId="47246" xr:uid="{00000000-0005-0000-0000-00008EB80000}"/>
    <cellStyle name="注释 2 2 8" xfId="47247" xr:uid="{00000000-0005-0000-0000-00008FB80000}"/>
    <cellStyle name="注释 2 2 8 2" xfId="47248" xr:uid="{00000000-0005-0000-0000-000090B80000}"/>
    <cellStyle name="注释 2 2 8 2 2" xfId="47249" xr:uid="{00000000-0005-0000-0000-000091B80000}"/>
    <cellStyle name="注释 2 2 8 2 2 2" xfId="47250" xr:uid="{00000000-0005-0000-0000-000092B80000}"/>
    <cellStyle name="注释 2 2 8 3" xfId="47251" xr:uid="{00000000-0005-0000-0000-000093B80000}"/>
    <cellStyle name="注释 2 2 8 3 2" xfId="47252" xr:uid="{00000000-0005-0000-0000-000094B80000}"/>
    <cellStyle name="注释 2 2 8 4" xfId="47253" xr:uid="{00000000-0005-0000-0000-000095B80000}"/>
    <cellStyle name="注释 2 2 8 4 2" xfId="47254" xr:uid="{00000000-0005-0000-0000-000096B80000}"/>
    <cellStyle name="注释 2 2 8 5" xfId="47255" xr:uid="{00000000-0005-0000-0000-000097B80000}"/>
    <cellStyle name="注释 2 2 9" xfId="47256" xr:uid="{00000000-0005-0000-0000-000098B80000}"/>
    <cellStyle name="注释 2 3" xfId="47257" xr:uid="{00000000-0005-0000-0000-000099B80000}"/>
    <cellStyle name="注释 2 3 10" xfId="47258" xr:uid="{00000000-0005-0000-0000-00009AB80000}"/>
    <cellStyle name="注释 2 3 10 2" xfId="47259" xr:uid="{00000000-0005-0000-0000-00009BB80000}"/>
    <cellStyle name="注释 2 3 2" xfId="47260" xr:uid="{00000000-0005-0000-0000-00009CB80000}"/>
    <cellStyle name="注释 2 3 2 10" xfId="47261" xr:uid="{00000000-0005-0000-0000-00009DB80000}"/>
    <cellStyle name="注释 2 3 2 10 2" xfId="47262" xr:uid="{00000000-0005-0000-0000-00009EB80000}"/>
    <cellStyle name="注释 2 3 2 2" xfId="47263" xr:uid="{00000000-0005-0000-0000-00009FB80000}"/>
    <cellStyle name="注释 2 3 2 2 2" xfId="47264" xr:uid="{00000000-0005-0000-0000-0000A0B80000}"/>
    <cellStyle name="注释 2 3 2 2 2 2" xfId="47265" xr:uid="{00000000-0005-0000-0000-0000A1B80000}"/>
    <cellStyle name="注释 2 3 2 2 2 2 2" xfId="47266" xr:uid="{00000000-0005-0000-0000-0000A2B80000}"/>
    <cellStyle name="注释 2 3 2 2 2 2 3" xfId="47267" xr:uid="{00000000-0005-0000-0000-0000A3B80000}"/>
    <cellStyle name="注释 2 3 2 2 2 2 4" xfId="47268" xr:uid="{00000000-0005-0000-0000-0000A4B80000}"/>
    <cellStyle name="注释 2 3 2 2 2 2 4 2" xfId="47269" xr:uid="{00000000-0005-0000-0000-0000A5B80000}"/>
    <cellStyle name="注释 2 3 2 2 2 2 5" xfId="47270" xr:uid="{00000000-0005-0000-0000-0000A6B80000}"/>
    <cellStyle name="注释 2 3 2 2 2 2 5 2" xfId="47271" xr:uid="{00000000-0005-0000-0000-0000A7B80000}"/>
    <cellStyle name="注释 2 3 2 2 2 3" xfId="47272" xr:uid="{00000000-0005-0000-0000-0000A8B80000}"/>
    <cellStyle name="注释 2 3 2 2 2 3 2" xfId="47273" xr:uid="{00000000-0005-0000-0000-0000A9B80000}"/>
    <cellStyle name="注释 2 3 2 2 2 3 2 2" xfId="47274" xr:uid="{00000000-0005-0000-0000-0000AAB80000}"/>
    <cellStyle name="注释 2 3 2 2 2 3 2 2 2" xfId="47275" xr:uid="{00000000-0005-0000-0000-0000ABB80000}"/>
    <cellStyle name="注释 2 3 2 2 2 3 3" xfId="47276" xr:uid="{00000000-0005-0000-0000-0000ACB80000}"/>
    <cellStyle name="注释 2 3 2 2 2 3 3 2" xfId="47277" xr:uid="{00000000-0005-0000-0000-0000ADB80000}"/>
    <cellStyle name="注释 2 3 2 2 2 3 4" xfId="47278" xr:uid="{00000000-0005-0000-0000-0000AEB80000}"/>
    <cellStyle name="注释 2 3 2 2 2 3 4 2" xfId="47279" xr:uid="{00000000-0005-0000-0000-0000AFB80000}"/>
    <cellStyle name="注释 2 3 2 2 2 3 5" xfId="47280" xr:uid="{00000000-0005-0000-0000-0000B0B80000}"/>
    <cellStyle name="注释 2 3 2 2 2 4" xfId="47281" xr:uid="{00000000-0005-0000-0000-0000B1B80000}"/>
    <cellStyle name="注释 2 3 2 2 2 5" xfId="47282" xr:uid="{00000000-0005-0000-0000-0000B2B80000}"/>
    <cellStyle name="注释 2 3 2 2 2 6" xfId="47283" xr:uid="{00000000-0005-0000-0000-0000B3B80000}"/>
    <cellStyle name="注释 2 3 2 2 2 7" xfId="47284" xr:uid="{00000000-0005-0000-0000-0000B4B80000}"/>
    <cellStyle name="注释 2 3 2 2 2 7 2" xfId="47285" xr:uid="{00000000-0005-0000-0000-0000B5B80000}"/>
    <cellStyle name="注释 2 3 2 2 2 8" xfId="47286" xr:uid="{00000000-0005-0000-0000-0000B6B80000}"/>
    <cellStyle name="注释 2 3 2 2 2 8 2" xfId="47287" xr:uid="{00000000-0005-0000-0000-0000B7B80000}"/>
    <cellStyle name="注释 2 3 2 2 3" xfId="47288" xr:uid="{00000000-0005-0000-0000-0000B8B80000}"/>
    <cellStyle name="注释 2 3 2 2 3 2" xfId="47289" xr:uid="{00000000-0005-0000-0000-0000B9B80000}"/>
    <cellStyle name="注释 2 3 2 2 3 3" xfId="47290" xr:uid="{00000000-0005-0000-0000-0000BAB80000}"/>
    <cellStyle name="注释 2 3 2 2 3 4" xfId="47291" xr:uid="{00000000-0005-0000-0000-0000BBB80000}"/>
    <cellStyle name="注释 2 3 2 2 3 4 2" xfId="47292" xr:uid="{00000000-0005-0000-0000-0000BCB80000}"/>
    <cellStyle name="注释 2 3 2 2 3 5" xfId="47293" xr:uid="{00000000-0005-0000-0000-0000BDB80000}"/>
    <cellStyle name="注释 2 3 2 2 3 5 2" xfId="47294" xr:uid="{00000000-0005-0000-0000-0000BEB80000}"/>
    <cellStyle name="注释 2 3 2 2 4" xfId="47295" xr:uid="{00000000-0005-0000-0000-0000BFB80000}"/>
    <cellStyle name="注释 2 3 2 2 5" xfId="47296" xr:uid="{00000000-0005-0000-0000-0000C0B80000}"/>
    <cellStyle name="注释 2 3 2 2 6" xfId="47297" xr:uid="{00000000-0005-0000-0000-0000C1B80000}"/>
    <cellStyle name="注释 2 3 2 2 7" xfId="47298" xr:uid="{00000000-0005-0000-0000-0000C2B80000}"/>
    <cellStyle name="注释 2 3 2 2 8" xfId="47299" xr:uid="{00000000-0005-0000-0000-0000C3B80000}"/>
    <cellStyle name="注释 2 3 2 2 8 2" xfId="47300" xr:uid="{00000000-0005-0000-0000-0000C4B80000}"/>
    <cellStyle name="注释 2 3 2 2 9" xfId="47301" xr:uid="{00000000-0005-0000-0000-0000C5B80000}"/>
    <cellStyle name="注释 2 3 2 2 9 2" xfId="47302" xr:uid="{00000000-0005-0000-0000-0000C6B80000}"/>
    <cellStyle name="注释 2 3 2 3" xfId="47303" xr:uid="{00000000-0005-0000-0000-0000C7B80000}"/>
    <cellStyle name="注释 2 3 2 3 2" xfId="47304" xr:uid="{00000000-0005-0000-0000-0000C8B80000}"/>
    <cellStyle name="注释 2 3 2 3 2 2" xfId="47305" xr:uid="{00000000-0005-0000-0000-0000C9B80000}"/>
    <cellStyle name="注释 2 3 2 3 2 3" xfId="47306" xr:uid="{00000000-0005-0000-0000-0000CAB80000}"/>
    <cellStyle name="注释 2 3 2 3 2 4" xfId="47307" xr:uid="{00000000-0005-0000-0000-0000CBB80000}"/>
    <cellStyle name="注释 2 3 2 3 2 4 2" xfId="47308" xr:uid="{00000000-0005-0000-0000-0000CCB80000}"/>
    <cellStyle name="注释 2 3 2 3 2 5" xfId="47309" xr:uid="{00000000-0005-0000-0000-0000CDB80000}"/>
    <cellStyle name="注释 2 3 2 3 2 5 2" xfId="47310" xr:uid="{00000000-0005-0000-0000-0000CEB80000}"/>
    <cellStyle name="注释 2 3 2 3 3" xfId="47311" xr:uid="{00000000-0005-0000-0000-0000CFB80000}"/>
    <cellStyle name="注释 2 3 2 3 3 2" xfId="47312" xr:uid="{00000000-0005-0000-0000-0000D0B80000}"/>
    <cellStyle name="注释 2 3 2 3 3 2 2" xfId="47313" xr:uid="{00000000-0005-0000-0000-0000D1B80000}"/>
    <cellStyle name="注释 2 3 2 3 3 2 2 2" xfId="47314" xr:uid="{00000000-0005-0000-0000-0000D2B80000}"/>
    <cellStyle name="注释 2 3 2 3 3 3" xfId="47315" xr:uid="{00000000-0005-0000-0000-0000D3B80000}"/>
    <cellStyle name="注释 2 3 2 3 3 3 2" xfId="47316" xr:uid="{00000000-0005-0000-0000-0000D4B80000}"/>
    <cellStyle name="注释 2 3 2 3 3 4" xfId="47317" xr:uid="{00000000-0005-0000-0000-0000D5B80000}"/>
    <cellStyle name="注释 2 3 2 3 3 4 2" xfId="47318" xr:uid="{00000000-0005-0000-0000-0000D6B80000}"/>
    <cellStyle name="注释 2 3 2 3 3 5" xfId="47319" xr:uid="{00000000-0005-0000-0000-0000D7B80000}"/>
    <cellStyle name="注释 2 3 2 3 4" xfId="47320" xr:uid="{00000000-0005-0000-0000-0000D8B80000}"/>
    <cellStyle name="注释 2 3 2 3 5" xfId="47321" xr:uid="{00000000-0005-0000-0000-0000D9B80000}"/>
    <cellStyle name="注释 2 3 2 3 6" xfId="47322" xr:uid="{00000000-0005-0000-0000-0000DAB80000}"/>
    <cellStyle name="注释 2 3 2 3 7" xfId="47323" xr:uid="{00000000-0005-0000-0000-0000DBB80000}"/>
    <cellStyle name="注释 2 3 2 3 7 2" xfId="47324" xr:uid="{00000000-0005-0000-0000-0000DCB80000}"/>
    <cellStyle name="注释 2 3 2 3 8" xfId="47325" xr:uid="{00000000-0005-0000-0000-0000DDB80000}"/>
    <cellStyle name="注释 2 3 2 3 8 2" xfId="47326" xr:uid="{00000000-0005-0000-0000-0000DEB80000}"/>
    <cellStyle name="注释 2 3 2 4" xfId="47327" xr:uid="{00000000-0005-0000-0000-0000DFB80000}"/>
    <cellStyle name="注释 2 3 2 4 2" xfId="47328" xr:uid="{00000000-0005-0000-0000-0000E0B80000}"/>
    <cellStyle name="注释 2 3 2 4 3" xfId="47329" xr:uid="{00000000-0005-0000-0000-0000E1B80000}"/>
    <cellStyle name="注释 2 3 2 4 4" xfId="47330" xr:uid="{00000000-0005-0000-0000-0000E2B80000}"/>
    <cellStyle name="注释 2 3 2 4 4 2" xfId="47331" xr:uid="{00000000-0005-0000-0000-0000E3B80000}"/>
    <cellStyle name="注释 2 3 2 4 5" xfId="47332" xr:uid="{00000000-0005-0000-0000-0000E4B80000}"/>
    <cellStyle name="注释 2 3 2 4 5 2" xfId="47333" xr:uid="{00000000-0005-0000-0000-0000E5B80000}"/>
    <cellStyle name="注释 2 3 2 5" xfId="47334" xr:uid="{00000000-0005-0000-0000-0000E6B80000}"/>
    <cellStyle name="注释 2 3 2 6" xfId="47335" xr:uid="{00000000-0005-0000-0000-0000E7B80000}"/>
    <cellStyle name="注释 2 3 2 7" xfId="47336" xr:uid="{00000000-0005-0000-0000-0000E8B80000}"/>
    <cellStyle name="注释 2 3 2 8" xfId="47337" xr:uid="{00000000-0005-0000-0000-0000E9B80000}"/>
    <cellStyle name="注释 2 3 2 9" xfId="47338" xr:uid="{00000000-0005-0000-0000-0000EAB80000}"/>
    <cellStyle name="注释 2 3 2 9 2" xfId="47339" xr:uid="{00000000-0005-0000-0000-0000EBB80000}"/>
    <cellStyle name="注释 2 3 3" xfId="47340" xr:uid="{00000000-0005-0000-0000-0000ECB80000}"/>
    <cellStyle name="注释 2 3 3 2" xfId="47341" xr:uid="{00000000-0005-0000-0000-0000EDB80000}"/>
    <cellStyle name="注释 2 3 3 2 2" xfId="47342" xr:uid="{00000000-0005-0000-0000-0000EEB80000}"/>
    <cellStyle name="注释 2 3 3 2 3" xfId="47343" xr:uid="{00000000-0005-0000-0000-0000EFB80000}"/>
    <cellStyle name="注释 2 3 3 2 4" xfId="47344" xr:uid="{00000000-0005-0000-0000-0000F0B80000}"/>
    <cellStyle name="注释 2 3 3 2 4 2" xfId="47345" xr:uid="{00000000-0005-0000-0000-0000F1B80000}"/>
    <cellStyle name="注释 2 3 3 2 5" xfId="47346" xr:uid="{00000000-0005-0000-0000-0000F2B80000}"/>
    <cellStyle name="注释 2 3 3 2 5 2" xfId="47347" xr:uid="{00000000-0005-0000-0000-0000F3B80000}"/>
    <cellStyle name="注释 2 3 3 3" xfId="47348" xr:uid="{00000000-0005-0000-0000-0000F4B80000}"/>
    <cellStyle name="注释 2 3 3 3 2" xfId="47349" xr:uid="{00000000-0005-0000-0000-0000F5B80000}"/>
    <cellStyle name="注释 2 3 3 3 2 2" xfId="47350" xr:uid="{00000000-0005-0000-0000-0000F6B80000}"/>
    <cellStyle name="注释 2 3 3 3 2 2 2" xfId="47351" xr:uid="{00000000-0005-0000-0000-0000F7B80000}"/>
    <cellStyle name="注释 2 3 3 3 3" xfId="47352" xr:uid="{00000000-0005-0000-0000-0000F8B80000}"/>
    <cellStyle name="注释 2 3 3 3 3 2" xfId="47353" xr:uid="{00000000-0005-0000-0000-0000F9B80000}"/>
    <cellStyle name="注释 2 3 3 3 4" xfId="47354" xr:uid="{00000000-0005-0000-0000-0000FAB80000}"/>
    <cellStyle name="注释 2 3 3 3 4 2" xfId="47355" xr:uid="{00000000-0005-0000-0000-0000FBB80000}"/>
    <cellStyle name="注释 2 3 3 3 5" xfId="47356" xr:uid="{00000000-0005-0000-0000-0000FCB80000}"/>
    <cellStyle name="注释 2 3 3 4" xfId="47357" xr:uid="{00000000-0005-0000-0000-0000FDB80000}"/>
    <cellStyle name="注释 2 3 3 5" xfId="47358" xr:uid="{00000000-0005-0000-0000-0000FEB80000}"/>
    <cellStyle name="注释 2 3 3 6" xfId="47359" xr:uid="{00000000-0005-0000-0000-0000FFB80000}"/>
    <cellStyle name="注释 2 3 3 7" xfId="47360" xr:uid="{00000000-0005-0000-0000-000000B90000}"/>
    <cellStyle name="注释 2 3 3 7 2" xfId="47361" xr:uid="{00000000-0005-0000-0000-000001B90000}"/>
    <cellStyle name="注释 2 3 3 8" xfId="47362" xr:uid="{00000000-0005-0000-0000-000002B90000}"/>
    <cellStyle name="注释 2 3 3 8 2" xfId="47363" xr:uid="{00000000-0005-0000-0000-000003B90000}"/>
    <cellStyle name="注释 2 3 4" xfId="47364" xr:uid="{00000000-0005-0000-0000-000004B90000}"/>
    <cellStyle name="注释 2 3 4 2" xfId="47365" xr:uid="{00000000-0005-0000-0000-000005B90000}"/>
    <cellStyle name="注释 2 3 4 2 2" xfId="47366" xr:uid="{00000000-0005-0000-0000-000006B90000}"/>
    <cellStyle name="注释 2 3 4 2 3" xfId="47367" xr:uid="{00000000-0005-0000-0000-000007B90000}"/>
    <cellStyle name="注释 2 3 4 2 4" xfId="47368" xr:uid="{00000000-0005-0000-0000-000008B90000}"/>
    <cellStyle name="注释 2 3 4 2 4 2" xfId="47369" xr:uid="{00000000-0005-0000-0000-000009B90000}"/>
    <cellStyle name="注释 2 3 4 2 5" xfId="47370" xr:uid="{00000000-0005-0000-0000-00000AB90000}"/>
    <cellStyle name="注释 2 3 4 2 5 2" xfId="47371" xr:uid="{00000000-0005-0000-0000-00000BB90000}"/>
    <cellStyle name="注释 2 3 4 3" xfId="47372" xr:uid="{00000000-0005-0000-0000-00000CB90000}"/>
    <cellStyle name="注释 2 3 4 4" xfId="47373" xr:uid="{00000000-0005-0000-0000-00000DB90000}"/>
    <cellStyle name="注释 2 3 4 5" xfId="47374" xr:uid="{00000000-0005-0000-0000-00000EB90000}"/>
    <cellStyle name="注释 2 3 4 6" xfId="47375" xr:uid="{00000000-0005-0000-0000-00000FB90000}"/>
    <cellStyle name="注释 2 3 4 7" xfId="47376" xr:uid="{00000000-0005-0000-0000-000010B90000}"/>
    <cellStyle name="注释 2 3 4 7 2" xfId="47377" xr:uid="{00000000-0005-0000-0000-000011B90000}"/>
    <cellStyle name="注释 2 3 4 8" xfId="47378" xr:uid="{00000000-0005-0000-0000-000012B90000}"/>
    <cellStyle name="注释 2 3 4 8 2" xfId="47379" xr:uid="{00000000-0005-0000-0000-000013B90000}"/>
    <cellStyle name="注释 2 3 5" xfId="47380" xr:uid="{00000000-0005-0000-0000-000014B90000}"/>
    <cellStyle name="注释 2 3 5 2" xfId="47381" xr:uid="{00000000-0005-0000-0000-000015B90000}"/>
    <cellStyle name="注释 2 3 5 2 2" xfId="47382" xr:uid="{00000000-0005-0000-0000-000016B90000}"/>
    <cellStyle name="注释 2 3 5 2 2 2" xfId="47383" xr:uid="{00000000-0005-0000-0000-000017B90000}"/>
    <cellStyle name="注释 2 3 5 2 2 2 2" xfId="47384" xr:uid="{00000000-0005-0000-0000-000018B90000}"/>
    <cellStyle name="注释 2 3 5 2 3" xfId="47385" xr:uid="{00000000-0005-0000-0000-000019B90000}"/>
    <cellStyle name="注释 2 3 5 2 3 2" xfId="47386" xr:uid="{00000000-0005-0000-0000-00001AB90000}"/>
    <cellStyle name="注释 2 3 5 2 4" xfId="47387" xr:uid="{00000000-0005-0000-0000-00001BB90000}"/>
    <cellStyle name="注释 2 3 5 2 4 2" xfId="47388" xr:uid="{00000000-0005-0000-0000-00001CB90000}"/>
    <cellStyle name="注释 2 3 5 2 5" xfId="47389" xr:uid="{00000000-0005-0000-0000-00001DB90000}"/>
    <cellStyle name="注释 2 3 5 3" xfId="47390" xr:uid="{00000000-0005-0000-0000-00001EB90000}"/>
    <cellStyle name="注释 2 3 5 4" xfId="47391" xr:uid="{00000000-0005-0000-0000-00001FB90000}"/>
    <cellStyle name="注释 2 3 5 4 2" xfId="47392" xr:uid="{00000000-0005-0000-0000-000020B90000}"/>
    <cellStyle name="注释 2 3 5 5" xfId="47393" xr:uid="{00000000-0005-0000-0000-000021B90000}"/>
    <cellStyle name="注释 2 3 5 5 2" xfId="47394" xr:uid="{00000000-0005-0000-0000-000022B90000}"/>
    <cellStyle name="注释 2 3 6" xfId="47395" xr:uid="{00000000-0005-0000-0000-000023B90000}"/>
    <cellStyle name="注释 2 3 6 2" xfId="47396" xr:uid="{00000000-0005-0000-0000-000024B90000}"/>
    <cellStyle name="注释 2 3 6 2 2" xfId="47397" xr:uid="{00000000-0005-0000-0000-000025B90000}"/>
    <cellStyle name="注释 2 3 6 2 2 2" xfId="47398" xr:uid="{00000000-0005-0000-0000-000026B90000}"/>
    <cellStyle name="注释 2 3 6 3" xfId="47399" xr:uid="{00000000-0005-0000-0000-000027B90000}"/>
    <cellStyle name="注释 2 3 6 3 2" xfId="47400" xr:uid="{00000000-0005-0000-0000-000028B90000}"/>
    <cellStyle name="注释 2 3 6 4" xfId="47401" xr:uid="{00000000-0005-0000-0000-000029B90000}"/>
    <cellStyle name="注释 2 3 6 4 2" xfId="47402" xr:uid="{00000000-0005-0000-0000-00002AB90000}"/>
    <cellStyle name="注释 2 3 6 5" xfId="47403" xr:uid="{00000000-0005-0000-0000-00002BB90000}"/>
    <cellStyle name="注释 2 3 7" xfId="47404" xr:uid="{00000000-0005-0000-0000-00002CB90000}"/>
    <cellStyle name="注释 2 3 8" xfId="47405" xr:uid="{00000000-0005-0000-0000-00002DB90000}"/>
    <cellStyle name="注释 2 3 9" xfId="47406" xr:uid="{00000000-0005-0000-0000-00002EB90000}"/>
    <cellStyle name="注释 2 3 9 2" xfId="47407" xr:uid="{00000000-0005-0000-0000-00002FB90000}"/>
    <cellStyle name="注释 2 4" xfId="47408" xr:uid="{00000000-0005-0000-0000-000030B90000}"/>
    <cellStyle name="注释 2 4 2" xfId="47409" xr:uid="{00000000-0005-0000-0000-000031B90000}"/>
    <cellStyle name="注释 2 4 2 2" xfId="47410" xr:uid="{00000000-0005-0000-0000-000032B90000}"/>
    <cellStyle name="注释 2 4 2 3" xfId="47411" xr:uid="{00000000-0005-0000-0000-000033B90000}"/>
    <cellStyle name="注释 2 4 2 4" xfId="47412" xr:uid="{00000000-0005-0000-0000-000034B90000}"/>
    <cellStyle name="注释 2 4 2 4 2" xfId="47413" xr:uid="{00000000-0005-0000-0000-000035B90000}"/>
    <cellStyle name="注释 2 4 2 5" xfId="47414" xr:uid="{00000000-0005-0000-0000-000036B90000}"/>
    <cellStyle name="注释 2 4 2 5 2" xfId="47415" xr:uid="{00000000-0005-0000-0000-000037B90000}"/>
    <cellStyle name="注释 2 4 3" xfId="47416" xr:uid="{00000000-0005-0000-0000-000038B90000}"/>
    <cellStyle name="注释 2 4 3 2" xfId="47417" xr:uid="{00000000-0005-0000-0000-000039B90000}"/>
    <cellStyle name="注释 2 4 3 2 2" xfId="47418" xr:uid="{00000000-0005-0000-0000-00003AB90000}"/>
    <cellStyle name="注释 2 4 3 2 2 2" xfId="47419" xr:uid="{00000000-0005-0000-0000-00003BB90000}"/>
    <cellStyle name="注释 2 4 3 3" xfId="47420" xr:uid="{00000000-0005-0000-0000-00003CB90000}"/>
    <cellStyle name="注释 2 4 3 3 2" xfId="47421" xr:uid="{00000000-0005-0000-0000-00003DB90000}"/>
    <cellStyle name="注释 2 4 3 4" xfId="47422" xr:uid="{00000000-0005-0000-0000-00003EB90000}"/>
    <cellStyle name="注释 2 4 3 4 2" xfId="47423" xr:uid="{00000000-0005-0000-0000-00003FB90000}"/>
    <cellStyle name="注释 2 4 3 5" xfId="47424" xr:uid="{00000000-0005-0000-0000-000040B90000}"/>
    <cellStyle name="注释 2 4 4" xfId="47425" xr:uid="{00000000-0005-0000-0000-000041B90000}"/>
    <cellStyle name="注释 2 4 5" xfId="47426" xr:uid="{00000000-0005-0000-0000-000042B90000}"/>
    <cellStyle name="注释 2 4 6" xfId="47427" xr:uid="{00000000-0005-0000-0000-000043B90000}"/>
    <cellStyle name="注释 2 4 7" xfId="47428" xr:uid="{00000000-0005-0000-0000-000044B90000}"/>
    <cellStyle name="注释 2 4 7 2" xfId="47429" xr:uid="{00000000-0005-0000-0000-000045B90000}"/>
    <cellStyle name="注释 2 4 8" xfId="47430" xr:uid="{00000000-0005-0000-0000-000046B90000}"/>
    <cellStyle name="注释 2 4 8 2" xfId="47431" xr:uid="{00000000-0005-0000-0000-000047B90000}"/>
    <cellStyle name="注释 2 5" xfId="47432" xr:uid="{00000000-0005-0000-0000-000048B90000}"/>
    <cellStyle name="注释 2 5 2" xfId="47433" xr:uid="{00000000-0005-0000-0000-000049B90000}"/>
    <cellStyle name="注释 2 5 2 2" xfId="47434" xr:uid="{00000000-0005-0000-0000-00004AB90000}"/>
    <cellStyle name="注释 2 5 2 3" xfId="47435" xr:uid="{00000000-0005-0000-0000-00004BB90000}"/>
    <cellStyle name="注释 2 5 2 4" xfId="47436" xr:uid="{00000000-0005-0000-0000-00004CB90000}"/>
    <cellStyle name="注释 2 5 2 4 2" xfId="47437" xr:uid="{00000000-0005-0000-0000-00004DB90000}"/>
    <cellStyle name="注释 2 5 2 5" xfId="47438" xr:uid="{00000000-0005-0000-0000-00004EB90000}"/>
    <cellStyle name="注释 2 5 2 5 2" xfId="47439" xr:uid="{00000000-0005-0000-0000-00004FB90000}"/>
    <cellStyle name="注释 2 5 3" xfId="47440" xr:uid="{00000000-0005-0000-0000-000050B90000}"/>
    <cellStyle name="注释 2 5 4" xfId="47441" xr:uid="{00000000-0005-0000-0000-000051B90000}"/>
    <cellStyle name="注释 2 5 5" xfId="47442" xr:uid="{00000000-0005-0000-0000-000052B90000}"/>
    <cellStyle name="注释 2 5 6" xfId="47443" xr:uid="{00000000-0005-0000-0000-000053B90000}"/>
    <cellStyle name="注释 2 5 7" xfId="47444" xr:uid="{00000000-0005-0000-0000-000054B90000}"/>
    <cellStyle name="注释 2 5 7 2" xfId="47445" xr:uid="{00000000-0005-0000-0000-000055B90000}"/>
    <cellStyle name="注释 2 5 8" xfId="47446" xr:uid="{00000000-0005-0000-0000-000056B90000}"/>
    <cellStyle name="注释 2 5 8 2" xfId="47447" xr:uid="{00000000-0005-0000-0000-000057B90000}"/>
    <cellStyle name="注释 2 6" xfId="47448" xr:uid="{00000000-0005-0000-0000-000058B90000}"/>
    <cellStyle name="注释 2 6 2" xfId="47449" xr:uid="{00000000-0005-0000-0000-000059B90000}"/>
    <cellStyle name="注释 2 6 2 2" xfId="47450" xr:uid="{00000000-0005-0000-0000-00005AB90000}"/>
    <cellStyle name="注释 2 6 2 2 2" xfId="47451" xr:uid="{00000000-0005-0000-0000-00005BB90000}"/>
    <cellStyle name="注释 2 6 2 2 2 2" xfId="47452" xr:uid="{00000000-0005-0000-0000-00005CB90000}"/>
    <cellStyle name="注释 2 6 2 3" xfId="47453" xr:uid="{00000000-0005-0000-0000-00005DB90000}"/>
    <cellStyle name="注释 2 6 2 3 2" xfId="47454" xr:uid="{00000000-0005-0000-0000-00005EB90000}"/>
    <cellStyle name="注释 2 6 2 4" xfId="47455" xr:uid="{00000000-0005-0000-0000-00005FB90000}"/>
    <cellStyle name="注释 2 6 2 4 2" xfId="47456" xr:uid="{00000000-0005-0000-0000-000060B90000}"/>
    <cellStyle name="注释 2 6 2 5" xfId="47457" xr:uid="{00000000-0005-0000-0000-000061B90000}"/>
    <cellStyle name="注释 2 6 3" xfId="47458" xr:uid="{00000000-0005-0000-0000-000062B90000}"/>
    <cellStyle name="注释 2 6 4" xfId="47459" xr:uid="{00000000-0005-0000-0000-000063B90000}"/>
    <cellStyle name="注释 2 6 4 2" xfId="47460" xr:uid="{00000000-0005-0000-0000-000064B90000}"/>
    <cellStyle name="注释 2 6 5" xfId="47461" xr:uid="{00000000-0005-0000-0000-000065B90000}"/>
    <cellStyle name="注释 2 6 5 2" xfId="47462" xr:uid="{00000000-0005-0000-0000-000066B90000}"/>
    <cellStyle name="注释 2 7" xfId="47463" xr:uid="{00000000-0005-0000-0000-000067B90000}"/>
    <cellStyle name="注释 2 7 2" xfId="47464" xr:uid="{00000000-0005-0000-0000-000068B90000}"/>
    <cellStyle name="注释 2 7 2 2" xfId="47465" xr:uid="{00000000-0005-0000-0000-000069B90000}"/>
    <cellStyle name="注释 2 7 2 2 2" xfId="47466" xr:uid="{00000000-0005-0000-0000-00006AB90000}"/>
    <cellStyle name="注释 2 7 2 2 2 2" xfId="47467" xr:uid="{00000000-0005-0000-0000-00006BB90000}"/>
    <cellStyle name="注释 2 7 2 3" xfId="47468" xr:uid="{00000000-0005-0000-0000-00006CB90000}"/>
    <cellStyle name="注释 2 7 2 3 2" xfId="47469" xr:uid="{00000000-0005-0000-0000-00006DB90000}"/>
    <cellStyle name="注释 2 7 2 4" xfId="47470" xr:uid="{00000000-0005-0000-0000-00006EB90000}"/>
    <cellStyle name="注释 2 7 2 4 2" xfId="47471" xr:uid="{00000000-0005-0000-0000-00006FB90000}"/>
    <cellStyle name="注释 2 7 2 5" xfId="47472" xr:uid="{00000000-0005-0000-0000-000070B90000}"/>
    <cellStyle name="注释 2 7 3" xfId="47473" xr:uid="{00000000-0005-0000-0000-000071B90000}"/>
    <cellStyle name="注释 2 7 3 2" xfId="47474" xr:uid="{00000000-0005-0000-0000-000072B90000}"/>
    <cellStyle name="注释 2 7 3 2 2" xfId="47475" xr:uid="{00000000-0005-0000-0000-000073B90000}"/>
    <cellStyle name="注释 2 7 4" xfId="47476" xr:uid="{00000000-0005-0000-0000-000074B90000}"/>
    <cellStyle name="注释 2 7 4 2" xfId="47477" xr:uid="{00000000-0005-0000-0000-000075B90000}"/>
    <cellStyle name="注释 2 7 5" xfId="47478" xr:uid="{00000000-0005-0000-0000-000076B90000}"/>
    <cellStyle name="注释 2 7 5 2" xfId="47479" xr:uid="{00000000-0005-0000-0000-000077B90000}"/>
    <cellStyle name="注释 2 7 6" xfId="47480" xr:uid="{00000000-0005-0000-0000-000078B90000}"/>
    <cellStyle name="注释 2 8" xfId="47481" xr:uid="{00000000-0005-0000-0000-000079B90000}"/>
    <cellStyle name="注释 2 8 2" xfId="47482" xr:uid="{00000000-0005-0000-0000-00007AB90000}"/>
    <cellStyle name="注释 2 8 2 2" xfId="47483" xr:uid="{00000000-0005-0000-0000-00007BB90000}"/>
    <cellStyle name="注释 2 8 2 2 2" xfId="47484" xr:uid="{00000000-0005-0000-0000-00007CB90000}"/>
    <cellStyle name="注释 2 8 3" xfId="47485" xr:uid="{00000000-0005-0000-0000-00007DB90000}"/>
    <cellStyle name="注释 2 8 3 2" xfId="47486" xr:uid="{00000000-0005-0000-0000-00007EB90000}"/>
    <cellStyle name="注释 2 8 4" xfId="47487" xr:uid="{00000000-0005-0000-0000-00007FB90000}"/>
    <cellStyle name="注释 2 8 4 2" xfId="47488" xr:uid="{00000000-0005-0000-0000-000080B90000}"/>
    <cellStyle name="注释 2 8 5" xfId="47489" xr:uid="{00000000-0005-0000-0000-000081B90000}"/>
    <cellStyle name="注释 2 9" xfId="47490" xr:uid="{00000000-0005-0000-0000-000082B90000}"/>
    <cellStyle name="注释 3" xfId="47491" xr:uid="{00000000-0005-0000-0000-000083B90000}"/>
    <cellStyle name="注释 3 10" xfId="47492" xr:uid="{00000000-0005-0000-0000-000084B90000}"/>
    <cellStyle name="注释 3 10 2" xfId="47493" xr:uid="{00000000-0005-0000-0000-000085B90000}"/>
    <cellStyle name="注释 3 2" xfId="47494" xr:uid="{00000000-0005-0000-0000-000086B90000}"/>
    <cellStyle name="注释 3 2 10" xfId="47495" xr:uid="{00000000-0005-0000-0000-000087B90000}"/>
    <cellStyle name="注释 3 2 10 2" xfId="47496" xr:uid="{00000000-0005-0000-0000-000088B90000}"/>
    <cellStyle name="注释 3 2 2" xfId="47497" xr:uid="{00000000-0005-0000-0000-000089B90000}"/>
    <cellStyle name="注释 3 2 2 2" xfId="47498" xr:uid="{00000000-0005-0000-0000-00008AB90000}"/>
    <cellStyle name="注释 3 2 2 2 2" xfId="47499" xr:uid="{00000000-0005-0000-0000-00008BB90000}"/>
    <cellStyle name="注释 3 2 2 2 2 2" xfId="47500" xr:uid="{00000000-0005-0000-0000-00008CB90000}"/>
    <cellStyle name="注释 3 2 2 2 2 3" xfId="47501" xr:uid="{00000000-0005-0000-0000-00008DB90000}"/>
    <cellStyle name="注释 3 2 2 2 2 4" xfId="47502" xr:uid="{00000000-0005-0000-0000-00008EB90000}"/>
    <cellStyle name="注释 3 2 2 2 2 4 2" xfId="47503" xr:uid="{00000000-0005-0000-0000-00008FB90000}"/>
    <cellStyle name="注释 3 2 2 2 2 5" xfId="47504" xr:uid="{00000000-0005-0000-0000-000090B90000}"/>
    <cellStyle name="注释 3 2 2 2 2 5 2" xfId="47505" xr:uid="{00000000-0005-0000-0000-000091B90000}"/>
    <cellStyle name="注释 3 2 2 2 3" xfId="47506" xr:uid="{00000000-0005-0000-0000-000092B90000}"/>
    <cellStyle name="注释 3 2 2 2 3 2" xfId="47507" xr:uid="{00000000-0005-0000-0000-000093B90000}"/>
    <cellStyle name="注释 3 2 2 2 3 2 2" xfId="47508" xr:uid="{00000000-0005-0000-0000-000094B90000}"/>
    <cellStyle name="注释 3 2 2 2 3 2 2 2" xfId="47509" xr:uid="{00000000-0005-0000-0000-000095B90000}"/>
    <cellStyle name="注释 3 2 2 2 3 3" xfId="47510" xr:uid="{00000000-0005-0000-0000-000096B90000}"/>
    <cellStyle name="注释 3 2 2 2 3 3 2" xfId="47511" xr:uid="{00000000-0005-0000-0000-000097B90000}"/>
    <cellStyle name="注释 3 2 2 2 3 4" xfId="47512" xr:uid="{00000000-0005-0000-0000-000098B90000}"/>
    <cellStyle name="注释 3 2 2 2 3 4 2" xfId="47513" xr:uid="{00000000-0005-0000-0000-000099B90000}"/>
    <cellStyle name="注释 3 2 2 2 3 5" xfId="47514" xr:uid="{00000000-0005-0000-0000-00009AB90000}"/>
    <cellStyle name="注释 3 2 2 2 4" xfId="47515" xr:uid="{00000000-0005-0000-0000-00009BB90000}"/>
    <cellStyle name="注释 3 2 2 2 5" xfId="47516" xr:uid="{00000000-0005-0000-0000-00009CB90000}"/>
    <cellStyle name="注释 3 2 2 2 6" xfId="47517" xr:uid="{00000000-0005-0000-0000-00009DB90000}"/>
    <cellStyle name="注释 3 2 2 2 7" xfId="47518" xr:uid="{00000000-0005-0000-0000-00009EB90000}"/>
    <cellStyle name="注释 3 2 2 2 7 2" xfId="47519" xr:uid="{00000000-0005-0000-0000-00009FB90000}"/>
    <cellStyle name="注释 3 2 2 2 8" xfId="47520" xr:uid="{00000000-0005-0000-0000-0000A0B90000}"/>
    <cellStyle name="注释 3 2 2 2 8 2" xfId="47521" xr:uid="{00000000-0005-0000-0000-0000A1B90000}"/>
    <cellStyle name="注释 3 2 2 3" xfId="47522" xr:uid="{00000000-0005-0000-0000-0000A2B90000}"/>
    <cellStyle name="注释 3 2 2 3 2" xfId="47523" xr:uid="{00000000-0005-0000-0000-0000A3B90000}"/>
    <cellStyle name="注释 3 2 2 3 3" xfId="47524" xr:uid="{00000000-0005-0000-0000-0000A4B90000}"/>
    <cellStyle name="注释 3 2 2 3 4" xfId="47525" xr:uid="{00000000-0005-0000-0000-0000A5B90000}"/>
    <cellStyle name="注释 3 2 2 3 4 2" xfId="47526" xr:uid="{00000000-0005-0000-0000-0000A6B90000}"/>
    <cellStyle name="注释 3 2 2 3 5" xfId="47527" xr:uid="{00000000-0005-0000-0000-0000A7B90000}"/>
    <cellStyle name="注释 3 2 2 3 5 2" xfId="47528" xr:uid="{00000000-0005-0000-0000-0000A8B90000}"/>
    <cellStyle name="注释 3 2 2 4" xfId="47529" xr:uid="{00000000-0005-0000-0000-0000A9B90000}"/>
    <cellStyle name="注释 3 2 2 5" xfId="47530" xr:uid="{00000000-0005-0000-0000-0000AAB90000}"/>
    <cellStyle name="注释 3 2 2 6" xfId="47531" xr:uid="{00000000-0005-0000-0000-0000ABB90000}"/>
    <cellStyle name="注释 3 2 2 7" xfId="47532" xr:uid="{00000000-0005-0000-0000-0000ACB90000}"/>
    <cellStyle name="注释 3 2 2 8" xfId="47533" xr:uid="{00000000-0005-0000-0000-0000ADB90000}"/>
    <cellStyle name="注释 3 2 2 8 2" xfId="47534" xr:uid="{00000000-0005-0000-0000-0000AEB90000}"/>
    <cellStyle name="注释 3 2 2 9" xfId="47535" xr:uid="{00000000-0005-0000-0000-0000AFB90000}"/>
    <cellStyle name="注释 3 2 2 9 2" xfId="47536" xr:uid="{00000000-0005-0000-0000-0000B0B90000}"/>
    <cellStyle name="注释 3 2 3" xfId="47537" xr:uid="{00000000-0005-0000-0000-0000B1B90000}"/>
    <cellStyle name="注释 3 2 3 2" xfId="47538" xr:uid="{00000000-0005-0000-0000-0000B2B90000}"/>
    <cellStyle name="注释 3 2 3 2 2" xfId="47539" xr:uid="{00000000-0005-0000-0000-0000B3B90000}"/>
    <cellStyle name="注释 3 2 3 2 3" xfId="47540" xr:uid="{00000000-0005-0000-0000-0000B4B90000}"/>
    <cellStyle name="注释 3 2 3 2 4" xfId="47541" xr:uid="{00000000-0005-0000-0000-0000B5B90000}"/>
    <cellStyle name="注释 3 2 3 2 4 2" xfId="47542" xr:uid="{00000000-0005-0000-0000-0000B6B90000}"/>
    <cellStyle name="注释 3 2 3 2 5" xfId="47543" xr:uid="{00000000-0005-0000-0000-0000B7B90000}"/>
    <cellStyle name="注释 3 2 3 2 5 2" xfId="47544" xr:uid="{00000000-0005-0000-0000-0000B8B90000}"/>
    <cellStyle name="注释 3 2 3 3" xfId="47545" xr:uid="{00000000-0005-0000-0000-0000B9B90000}"/>
    <cellStyle name="注释 3 2 3 3 2" xfId="47546" xr:uid="{00000000-0005-0000-0000-0000BAB90000}"/>
    <cellStyle name="注释 3 2 3 3 2 2" xfId="47547" xr:uid="{00000000-0005-0000-0000-0000BBB90000}"/>
    <cellStyle name="注释 3 2 3 3 2 2 2" xfId="47548" xr:uid="{00000000-0005-0000-0000-0000BCB90000}"/>
    <cellStyle name="注释 3 2 3 3 3" xfId="47549" xr:uid="{00000000-0005-0000-0000-0000BDB90000}"/>
    <cellStyle name="注释 3 2 3 3 3 2" xfId="47550" xr:uid="{00000000-0005-0000-0000-0000BEB90000}"/>
    <cellStyle name="注释 3 2 3 3 4" xfId="47551" xr:uid="{00000000-0005-0000-0000-0000BFB90000}"/>
    <cellStyle name="注释 3 2 3 3 4 2" xfId="47552" xr:uid="{00000000-0005-0000-0000-0000C0B90000}"/>
    <cellStyle name="注释 3 2 3 3 5" xfId="47553" xr:uid="{00000000-0005-0000-0000-0000C1B90000}"/>
    <cellStyle name="注释 3 2 3 4" xfId="47554" xr:uid="{00000000-0005-0000-0000-0000C2B90000}"/>
    <cellStyle name="注释 3 2 3 5" xfId="47555" xr:uid="{00000000-0005-0000-0000-0000C3B90000}"/>
    <cellStyle name="注释 3 2 3 6" xfId="47556" xr:uid="{00000000-0005-0000-0000-0000C4B90000}"/>
    <cellStyle name="注释 3 2 3 7" xfId="47557" xr:uid="{00000000-0005-0000-0000-0000C5B90000}"/>
    <cellStyle name="注释 3 2 3 7 2" xfId="47558" xr:uid="{00000000-0005-0000-0000-0000C6B90000}"/>
    <cellStyle name="注释 3 2 3 8" xfId="47559" xr:uid="{00000000-0005-0000-0000-0000C7B90000}"/>
    <cellStyle name="注释 3 2 3 8 2" xfId="47560" xr:uid="{00000000-0005-0000-0000-0000C8B90000}"/>
    <cellStyle name="注释 3 2 4" xfId="47561" xr:uid="{00000000-0005-0000-0000-0000C9B90000}"/>
    <cellStyle name="注释 3 2 4 2" xfId="47562" xr:uid="{00000000-0005-0000-0000-0000CAB90000}"/>
    <cellStyle name="注释 3 2 4 3" xfId="47563" xr:uid="{00000000-0005-0000-0000-0000CBB90000}"/>
    <cellStyle name="注释 3 2 4 4" xfId="47564" xr:uid="{00000000-0005-0000-0000-0000CCB90000}"/>
    <cellStyle name="注释 3 2 4 4 2" xfId="47565" xr:uid="{00000000-0005-0000-0000-0000CDB90000}"/>
    <cellStyle name="注释 3 2 4 5" xfId="47566" xr:uid="{00000000-0005-0000-0000-0000CEB90000}"/>
    <cellStyle name="注释 3 2 4 5 2" xfId="47567" xr:uid="{00000000-0005-0000-0000-0000CFB90000}"/>
    <cellStyle name="注释 3 2 5" xfId="47568" xr:uid="{00000000-0005-0000-0000-0000D0B90000}"/>
    <cellStyle name="注释 3 2 6" xfId="47569" xr:uid="{00000000-0005-0000-0000-0000D1B90000}"/>
    <cellStyle name="注释 3 2 7" xfId="47570" xr:uid="{00000000-0005-0000-0000-0000D2B90000}"/>
    <cellStyle name="注释 3 2 8" xfId="47571" xr:uid="{00000000-0005-0000-0000-0000D3B90000}"/>
    <cellStyle name="注释 3 2 9" xfId="47572" xr:uid="{00000000-0005-0000-0000-0000D4B90000}"/>
    <cellStyle name="注释 3 2 9 2" xfId="47573" xr:uid="{00000000-0005-0000-0000-0000D5B90000}"/>
    <cellStyle name="注释 3 3" xfId="47574" xr:uid="{00000000-0005-0000-0000-0000D6B90000}"/>
    <cellStyle name="注释 3 3 2" xfId="47575" xr:uid="{00000000-0005-0000-0000-0000D7B90000}"/>
    <cellStyle name="注释 3 3 2 2" xfId="47576" xr:uid="{00000000-0005-0000-0000-0000D8B90000}"/>
    <cellStyle name="注释 3 3 2 3" xfId="47577" xr:uid="{00000000-0005-0000-0000-0000D9B90000}"/>
    <cellStyle name="注释 3 3 2 4" xfId="47578" xr:uid="{00000000-0005-0000-0000-0000DAB90000}"/>
    <cellStyle name="注释 3 3 2 4 2" xfId="47579" xr:uid="{00000000-0005-0000-0000-0000DBB90000}"/>
    <cellStyle name="注释 3 3 2 5" xfId="47580" xr:uid="{00000000-0005-0000-0000-0000DCB90000}"/>
    <cellStyle name="注释 3 3 2 5 2" xfId="47581" xr:uid="{00000000-0005-0000-0000-0000DDB90000}"/>
    <cellStyle name="注释 3 3 3" xfId="47582" xr:uid="{00000000-0005-0000-0000-0000DEB90000}"/>
    <cellStyle name="注释 3 3 3 2" xfId="47583" xr:uid="{00000000-0005-0000-0000-0000DFB90000}"/>
    <cellStyle name="注释 3 3 3 2 2" xfId="47584" xr:uid="{00000000-0005-0000-0000-0000E0B90000}"/>
    <cellStyle name="注释 3 3 3 2 2 2" xfId="47585" xr:uid="{00000000-0005-0000-0000-0000E1B90000}"/>
    <cellStyle name="注释 3 3 3 3" xfId="47586" xr:uid="{00000000-0005-0000-0000-0000E2B90000}"/>
    <cellStyle name="注释 3 3 3 3 2" xfId="47587" xr:uid="{00000000-0005-0000-0000-0000E3B90000}"/>
    <cellStyle name="注释 3 3 3 4" xfId="47588" xr:uid="{00000000-0005-0000-0000-0000E4B90000}"/>
    <cellStyle name="注释 3 3 3 4 2" xfId="47589" xr:uid="{00000000-0005-0000-0000-0000E5B90000}"/>
    <cellStyle name="注释 3 3 3 5" xfId="47590" xr:uid="{00000000-0005-0000-0000-0000E6B90000}"/>
    <cellStyle name="注释 3 3 4" xfId="47591" xr:uid="{00000000-0005-0000-0000-0000E7B90000}"/>
    <cellStyle name="注释 3 3 5" xfId="47592" xr:uid="{00000000-0005-0000-0000-0000E8B90000}"/>
    <cellStyle name="注释 3 3 6" xfId="47593" xr:uid="{00000000-0005-0000-0000-0000E9B90000}"/>
    <cellStyle name="注释 3 3 7" xfId="47594" xr:uid="{00000000-0005-0000-0000-0000EAB90000}"/>
    <cellStyle name="注释 3 3 7 2" xfId="47595" xr:uid="{00000000-0005-0000-0000-0000EBB90000}"/>
    <cellStyle name="注释 3 3 8" xfId="47596" xr:uid="{00000000-0005-0000-0000-0000ECB90000}"/>
    <cellStyle name="注释 3 3 8 2" xfId="47597" xr:uid="{00000000-0005-0000-0000-0000EDB90000}"/>
    <cellStyle name="注释 3 4" xfId="47598" xr:uid="{00000000-0005-0000-0000-0000EEB90000}"/>
    <cellStyle name="注释 3 4 2" xfId="47599" xr:uid="{00000000-0005-0000-0000-0000EFB90000}"/>
    <cellStyle name="注释 3 4 2 2" xfId="47600" xr:uid="{00000000-0005-0000-0000-0000F0B90000}"/>
    <cellStyle name="注释 3 4 2 3" xfId="47601" xr:uid="{00000000-0005-0000-0000-0000F1B90000}"/>
    <cellStyle name="注释 3 4 2 4" xfId="47602" xr:uid="{00000000-0005-0000-0000-0000F2B90000}"/>
    <cellStyle name="注释 3 4 2 4 2" xfId="47603" xr:uid="{00000000-0005-0000-0000-0000F3B90000}"/>
    <cellStyle name="注释 3 4 2 5" xfId="47604" xr:uid="{00000000-0005-0000-0000-0000F4B90000}"/>
    <cellStyle name="注释 3 4 2 5 2" xfId="47605" xr:uid="{00000000-0005-0000-0000-0000F5B90000}"/>
    <cellStyle name="注释 3 4 3" xfId="47606" xr:uid="{00000000-0005-0000-0000-0000F6B90000}"/>
    <cellStyle name="注释 3 4 4" xfId="47607" xr:uid="{00000000-0005-0000-0000-0000F7B90000}"/>
    <cellStyle name="注释 3 4 5" xfId="47608" xr:uid="{00000000-0005-0000-0000-0000F8B90000}"/>
    <cellStyle name="注释 3 4 6" xfId="47609" xr:uid="{00000000-0005-0000-0000-0000F9B90000}"/>
    <cellStyle name="注释 3 4 7" xfId="47610" xr:uid="{00000000-0005-0000-0000-0000FAB90000}"/>
    <cellStyle name="注释 3 4 7 2" xfId="47611" xr:uid="{00000000-0005-0000-0000-0000FBB90000}"/>
    <cellStyle name="注释 3 4 8" xfId="47612" xr:uid="{00000000-0005-0000-0000-0000FCB90000}"/>
    <cellStyle name="注释 3 4 8 2" xfId="47613" xr:uid="{00000000-0005-0000-0000-0000FDB90000}"/>
    <cellStyle name="注释 3 5" xfId="47614" xr:uid="{00000000-0005-0000-0000-0000FEB90000}"/>
    <cellStyle name="注释 3 5 2" xfId="47615" xr:uid="{00000000-0005-0000-0000-0000FFB90000}"/>
    <cellStyle name="注释 3 5 2 2" xfId="47616" xr:uid="{00000000-0005-0000-0000-000000BA0000}"/>
    <cellStyle name="注释 3 5 2 2 2" xfId="47617" xr:uid="{00000000-0005-0000-0000-000001BA0000}"/>
    <cellStyle name="注释 3 5 2 2 2 2" xfId="47618" xr:uid="{00000000-0005-0000-0000-000002BA0000}"/>
    <cellStyle name="注释 3 5 2 3" xfId="47619" xr:uid="{00000000-0005-0000-0000-000003BA0000}"/>
    <cellStyle name="注释 3 5 2 3 2" xfId="47620" xr:uid="{00000000-0005-0000-0000-000004BA0000}"/>
    <cellStyle name="注释 3 5 2 4" xfId="47621" xr:uid="{00000000-0005-0000-0000-000005BA0000}"/>
    <cellStyle name="注释 3 5 2 4 2" xfId="47622" xr:uid="{00000000-0005-0000-0000-000006BA0000}"/>
    <cellStyle name="注释 3 5 2 5" xfId="47623" xr:uid="{00000000-0005-0000-0000-000007BA0000}"/>
    <cellStyle name="注释 3 5 3" xfId="47624" xr:uid="{00000000-0005-0000-0000-000008BA0000}"/>
    <cellStyle name="注释 3 5 4" xfId="47625" xr:uid="{00000000-0005-0000-0000-000009BA0000}"/>
    <cellStyle name="注释 3 5 4 2" xfId="47626" xr:uid="{00000000-0005-0000-0000-00000ABA0000}"/>
    <cellStyle name="注释 3 5 5" xfId="47627" xr:uid="{00000000-0005-0000-0000-00000BBA0000}"/>
    <cellStyle name="注释 3 5 5 2" xfId="47628" xr:uid="{00000000-0005-0000-0000-00000CBA0000}"/>
    <cellStyle name="注释 3 6" xfId="47629" xr:uid="{00000000-0005-0000-0000-00000DBA0000}"/>
    <cellStyle name="注释 3 6 2" xfId="47630" xr:uid="{00000000-0005-0000-0000-00000EBA0000}"/>
    <cellStyle name="注释 3 6 2 2" xfId="47631" xr:uid="{00000000-0005-0000-0000-00000FBA0000}"/>
    <cellStyle name="注释 3 6 2 2 2" xfId="47632" xr:uid="{00000000-0005-0000-0000-000010BA0000}"/>
    <cellStyle name="注释 3 6 3" xfId="47633" xr:uid="{00000000-0005-0000-0000-000011BA0000}"/>
    <cellStyle name="注释 3 6 3 2" xfId="47634" xr:uid="{00000000-0005-0000-0000-000012BA0000}"/>
    <cellStyle name="注释 3 6 4" xfId="47635" xr:uid="{00000000-0005-0000-0000-000013BA0000}"/>
    <cellStyle name="注释 3 6 4 2" xfId="47636" xr:uid="{00000000-0005-0000-0000-000014BA0000}"/>
    <cellStyle name="注释 3 6 5" xfId="47637" xr:uid="{00000000-0005-0000-0000-000015BA0000}"/>
    <cellStyle name="注释 3 7" xfId="47638" xr:uid="{00000000-0005-0000-0000-000016BA0000}"/>
    <cellStyle name="注释 3 8" xfId="47639" xr:uid="{00000000-0005-0000-0000-000017BA0000}"/>
    <cellStyle name="注释 3 9" xfId="47640" xr:uid="{00000000-0005-0000-0000-000018BA0000}"/>
    <cellStyle name="注释 3 9 2" xfId="47641" xr:uid="{00000000-0005-0000-0000-000019BA0000}"/>
    <cellStyle name="百分比 10" xfId="47642" xr:uid="{00000000-0005-0000-0000-00001ABA0000}"/>
    <cellStyle name="百分比 2" xfId="47643" xr:uid="{00000000-0005-0000-0000-00001BBA0000}"/>
    <cellStyle name="百分比 2 10" xfId="47644" xr:uid="{00000000-0005-0000-0000-00001CBA0000}"/>
    <cellStyle name="百分比 2 10 2" xfId="47645" xr:uid="{00000000-0005-0000-0000-00001DBA0000}"/>
    <cellStyle name="百分比 2 10 2 2" xfId="47646" xr:uid="{00000000-0005-0000-0000-00001EBA0000}"/>
    <cellStyle name="百分比 2 10 2 3" xfId="47647" xr:uid="{00000000-0005-0000-0000-00001FBA0000}"/>
    <cellStyle name="百分比 2 10 2 4" xfId="47648" xr:uid="{00000000-0005-0000-0000-000020BA0000}"/>
    <cellStyle name="百分比 2 10 3" xfId="47649" xr:uid="{00000000-0005-0000-0000-000021BA0000}"/>
    <cellStyle name="百分比 2 10 4" xfId="47650" xr:uid="{00000000-0005-0000-0000-000022BA0000}"/>
    <cellStyle name="百分比 2 10 5" xfId="47651" xr:uid="{00000000-0005-0000-0000-000023BA0000}"/>
    <cellStyle name="百分比 2 10 6" xfId="47652" xr:uid="{00000000-0005-0000-0000-000024BA0000}"/>
    <cellStyle name="百分比 2 11" xfId="47653" xr:uid="{00000000-0005-0000-0000-000025BA0000}"/>
    <cellStyle name="百分比 2 11 2" xfId="47654" xr:uid="{00000000-0005-0000-0000-000026BA0000}"/>
    <cellStyle name="百分比 2 11 2 2" xfId="47655" xr:uid="{00000000-0005-0000-0000-000027BA0000}"/>
    <cellStyle name="百分比 2 11 2 3" xfId="47656" xr:uid="{00000000-0005-0000-0000-000028BA0000}"/>
    <cellStyle name="百分比 2 11 2 4" xfId="47657" xr:uid="{00000000-0005-0000-0000-000029BA0000}"/>
    <cellStyle name="百分比 2 11 3" xfId="47658" xr:uid="{00000000-0005-0000-0000-00002ABA0000}"/>
    <cellStyle name="百分比 2 11 4" xfId="47659" xr:uid="{00000000-0005-0000-0000-00002BBA0000}"/>
    <cellStyle name="百分比 2 11 5" xfId="47660" xr:uid="{00000000-0005-0000-0000-00002CBA0000}"/>
    <cellStyle name="百分比 2 12" xfId="47661" xr:uid="{00000000-0005-0000-0000-00002DBA0000}"/>
    <cellStyle name="百分比 2 12 2" xfId="47662" xr:uid="{00000000-0005-0000-0000-00002EBA0000}"/>
    <cellStyle name="百分比 2 12 2 2" xfId="47663" xr:uid="{00000000-0005-0000-0000-00002FBA0000}"/>
    <cellStyle name="百分比 2 12 2 3" xfId="47664" xr:uid="{00000000-0005-0000-0000-000030BA0000}"/>
    <cellStyle name="百分比 2 12 2 4" xfId="47665" xr:uid="{00000000-0005-0000-0000-000031BA0000}"/>
    <cellStyle name="百分比 2 12 3" xfId="47666" xr:uid="{00000000-0005-0000-0000-000032BA0000}"/>
    <cellStyle name="百分比 2 12 4" xfId="47667" xr:uid="{00000000-0005-0000-0000-000033BA0000}"/>
    <cellStyle name="百分比 2 12 5" xfId="47668" xr:uid="{00000000-0005-0000-0000-000034BA0000}"/>
    <cellStyle name="百分比 2 13" xfId="47669" xr:uid="{00000000-0005-0000-0000-000035BA0000}"/>
    <cellStyle name="百分比 2 13 2" xfId="47670" xr:uid="{00000000-0005-0000-0000-000036BA0000}"/>
    <cellStyle name="百分比 2 13 3" xfId="47671" xr:uid="{00000000-0005-0000-0000-000037BA0000}"/>
    <cellStyle name="百分比 2 13 4" xfId="47672" xr:uid="{00000000-0005-0000-0000-000038BA0000}"/>
    <cellStyle name="百分比 2 14" xfId="47673" xr:uid="{00000000-0005-0000-0000-000039BA0000}"/>
    <cellStyle name="百分比 2 15" xfId="47674" xr:uid="{00000000-0005-0000-0000-00003ABA0000}"/>
    <cellStyle name="百分比 2 16" xfId="47675" xr:uid="{00000000-0005-0000-0000-00003BBA0000}"/>
    <cellStyle name="百分比 2 17" xfId="47676" xr:uid="{00000000-0005-0000-0000-00003CBA0000}"/>
    <cellStyle name="百分比 2 18" xfId="47677" xr:uid="{00000000-0005-0000-0000-00003DBA0000}"/>
    <cellStyle name="百分比 2 19" xfId="47678" xr:uid="{00000000-0005-0000-0000-00003EBA0000}"/>
    <cellStyle name="百分比 2 19 2" xfId="47679" xr:uid="{00000000-0005-0000-0000-00003FBA0000}"/>
    <cellStyle name="百分比 2 2" xfId="47680" xr:uid="{00000000-0005-0000-0000-000040BA0000}"/>
    <cellStyle name="百分比 2 2 10" xfId="47681" xr:uid="{00000000-0005-0000-0000-000041BA0000}"/>
    <cellStyle name="百分比 2 2 11" xfId="47682" xr:uid="{00000000-0005-0000-0000-000042BA0000}"/>
    <cellStyle name="百分比 2 2 2" xfId="47683" xr:uid="{00000000-0005-0000-0000-000043BA0000}"/>
    <cellStyle name="百分比 2 2 2 10" xfId="47684" xr:uid="{00000000-0005-0000-0000-000044BA0000}"/>
    <cellStyle name="百分比 2 2 2 2" xfId="47685" xr:uid="{00000000-0005-0000-0000-000045BA0000}"/>
    <cellStyle name="百分比 2 2 2 2 2" xfId="47686" xr:uid="{00000000-0005-0000-0000-000046BA0000}"/>
    <cellStyle name="百分比 2 2 2 2 2 2" xfId="47687" xr:uid="{00000000-0005-0000-0000-000047BA0000}"/>
    <cellStyle name="百分比 2 2 2 2 2 2 2" xfId="47688" xr:uid="{00000000-0005-0000-0000-000048BA0000}"/>
    <cellStyle name="百分比 2 2 2 2 2 2 3" xfId="47689" xr:uid="{00000000-0005-0000-0000-000049BA0000}"/>
    <cellStyle name="百分比 2 2 2 2 2 2 4" xfId="47690" xr:uid="{00000000-0005-0000-0000-00004ABA0000}"/>
    <cellStyle name="百分比 2 2 2 2 2 3" xfId="47691" xr:uid="{00000000-0005-0000-0000-00004BBA0000}"/>
    <cellStyle name="百分比 2 2 2 2 2 4" xfId="47692" xr:uid="{00000000-0005-0000-0000-00004CBA0000}"/>
    <cellStyle name="百分比 2 2 2 2 2 5" xfId="47693" xr:uid="{00000000-0005-0000-0000-00004DBA0000}"/>
    <cellStyle name="百分比 2 2 2 2 3" xfId="47694" xr:uid="{00000000-0005-0000-0000-00004EBA0000}"/>
    <cellStyle name="百分比 2 2 2 2 3 2" xfId="47695" xr:uid="{00000000-0005-0000-0000-00004FBA0000}"/>
    <cellStyle name="百分比 2 2 2 2 3 2 2" xfId="47696" xr:uid="{00000000-0005-0000-0000-000050BA0000}"/>
    <cellStyle name="百分比 2 2 2 2 3 2 3" xfId="47697" xr:uid="{00000000-0005-0000-0000-000051BA0000}"/>
    <cellStyle name="百分比 2 2 2 2 3 2 4" xfId="47698" xr:uid="{00000000-0005-0000-0000-000052BA0000}"/>
    <cellStyle name="百分比 2 2 2 2 3 3" xfId="47699" xr:uid="{00000000-0005-0000-0000-000053BA0000}"/>
    <cellStyle name="百分比 2 2 2 2 3 4" xfId="47700" xr:uid="{00000000-0005-0000-0000-000054BA0000}"/>
    <cellStyle name="百分比 2 2 2 2 3 5" xfId="47701" xr:uid="{00000000-0005-0000-0000-000055BA0000}"/>
    <cellStyle name="百分比 2 2 2 2 4" xfId="47702" xr:uid="{00000000-0005-0000-0000-000056BA0000}"/>
    <cellStyle name="百分比 2 2 2 2 4 2" xfId="47703" xr:uid="{00000000-0005-0000-0000-000057BA0000}"/>
    <cellStyle name="百分比 2 2 2 2 4 3" xfId="47704" xr:uid="{00000000-0005-0000-0000-000058BA0000}"/>
    <cellStyle name="百分比 2 2 2 2 4 4" xfId="47705" xr:uid="{00000000-0005-0000-0000-000059BA0000}"/>
    <cellStyle name="百分比 2 2 2 2 5" xfId="47706" xr:uid="{00000000-0005-0000-0000-00005ABA0000}"/>
    <cellStyle name="百分比 2 2 2 2 6" xfId="47707" xr:uid="{00000000-0005-0000-0000-00005BBA0000}"/>
    <cellStyle name="百分比 2 2 2 2 7" xfId="47708" xr:uid="{00000000-0005-0000-0000-00005CBA0000}"/>
    <cellStyle name="百分比 2 2 2 2 8" xfId="47709" xr:uid="{00000000-0005-0000-0000-00005DBA0000}"/>
    <cellStyle name="百分比 2 2 2 2 8 2" xfId="47710" xr:uid="{00000000-0005-0000-0000-00005EBA0000}"/>
    <cellStyle name="百分比 2 2 2 3" xfId="47711" xr:uid="{00000000-0005-0000-0000-00005FBA0000}"/>
    <cellStyle name="百分比 2 2 2 3 2" xfId="47712" xr:uid="{00000000-0005-0000-0000-000060BA0000}"/>
    <cellStyle name="百分比 2 2 2 3 2 2" xfId="47713" xr:uid="{00000000-0005-0000-0000-000061BA0000}"/>
    <cellStyle name="百分比 2 2 2 3 2 3" xfId="47714" xr:uid="{00000000-0005-0000-0000-000062BA0000}"/>
    <cellStyle name="百分比 2 2 2 3 2 4" xfId="47715" xr:uid="{00000000-0005-0000-0000-000063BA0000}"/>
    <cellStyle name="百分比 2 2 2 3 3" xfId="47716" xr:uid="{00000000-0005-0000-0000-000064BA0000}"/>
    <cellStyle name="百分比 2 2 2 3 4" xfId="47717" xr:uid="{00000000-0005-0000-0000-000065BA0000}"/>
    <cellStyle name="百分比 2 2 2 3 5" xfId="47718" xr:uid="{00000000-0005-0000-0000-000066BA0000}"/>
    <cellStyle name="百分比 2 2 2 3 6" xfId="47719" xr:uid="{00000000-0005-0000-0000-000067BA0000}"/>
    <cellStyle name="百分比 2 2 2 3 6 2" xfId="47720" xr:uid="{00000000-0005-0000-0000-000068BA0000}"/>
    <cellStyle name="百分比 2 2 2 4" xfId="47721" xr:uid="{00000000-0005-0000-0000-000069BA0000}"/>
    <cellStyle name="百分比 2 2 2 4 2" xfId="47722" xr:uid="{00000000-0005-0000-0000-00006ABA0000}"/>
    <cellStyle name="百分比 2 2 2 4 2 2" xfId="47723" xr:uid="{00000000-0005-0000-0000-00006BBA0000}"/>
    <cellStyle name="百分比 2 2 2 4 2 3" xfId="47724" xr:uid="{00000000-0005-0000-0000-00006CBA0000}"/>
    <cellStyle name="百分比 2 2 2 4 2 4" xfId="47725" xr:uid="{00000000-0005-0000-0000-00006DBA0000}"/>
    <cellStyle name="百分比 2 2 2 4 2 5" xfId="47726" xr:uid="{00000000-0005-0000-0000-00006EBA0000}"/>
    <cellStyle name="百分比 2 2 2 4 3" xfId="47727" xr:uid="{00000000-0005-0000-0000-00006FBA0000}"/>
    <cellStyle name="百分比 2 2 2 4 4" xfId="47728" xr:uid="{00000000-0005-0000-0000-000070BA0000}"/>
    <cellStyle name="百分比 2 2 2 4 5" xfId="47729" xr:uid="{00000000-0005-0000-0000-000071BA0000}"/>
    <cellStyle name="百分比 2 2 2 4 6" xfId="47730" xr:uid="{00000000-0005-0000-0000-000072BA0000}"/>
    <cellStyle name="百分比 2 2 2 5" xfId="47731" xr:uid="{00000000-0005-0000-0000-000073BA0000}"/>
    <cellStyle name="百分比 2 2 2 5 2" xfId="47732" xr:uid="{00000000-0005-0000-0000-000074BA0000}"/>
    <cellStyle name="百分比 2 2 2 5 2 2" xfId="47733" xr:uid="{00000000-0005-0000-0000-000075BA0000}"/>
    <cellStyle name="百分比 2 2 2 5 3" xfId="47734" xr:uid="{00000000-0005-0000-0000-000076BA0000}"/>
    <cellStyle name="百分比 2 2 2 5 4" xfId="47735" xr:uid="{00000000-0005-0000-0000-000077BA0000}"/>
    <cellStyle name="百分比 2 2 2 5 5" xfId="47736" xr:uid="{00000000-0005-0000-0000-000078BA0000}"/>
    <cellStyle name="百分比 2 2 2 6" xfId="47737" xr:uid="{00000000-0005-0000-0000-000079BA0000}"/>
    <cellStyle name="百分比 2 2 2 7" xfId="47738" xr:uid="{00000000-0005-0000-0000-00007ABA0000}"/>
    <cellStyle name="百分比 2 2 2 8" xfId="47739" xr:uid="{00000000-0005-0000-0000-00007BBA0000}"/>
    <cellStyle name="百分比 2 2 2 9" xfId="47740" xr:uid="{00000000-0005-0000-0000-00007CBA0000}"/>
    <cellStyle name="百分比 2 2 2 9 2" xfId="47741" xr:uid="{00000000-0005-0000-0000-00007DBA0000}"/>
    <cellStyle name="百分比 2 2 3" xfId="47742" xr:uid="{00000000-0005-0000-0000-00007EBA0000}"/>
    <cellStyle name="百分比 2 2 3 2" xfId="47743" xr:uid="{00000000-0005-0000-0000-00007FBA0000}"/>
    <cellStyle name="百分比 2 2 3 2 2" xfId="47744" xr:uid="{00000000-0005-0000-0000-000080BA0000}"/>
    <cellStyle name="百分比 2 2 3 2 3" xfId="47745" xr:uid="{00000000-0005-0000-0000-000081BA0000}"/>
    <cellStyle name="百分比 2 2 3 2 4" xfId="47746" xr:uid="{00000000-0005-0000-0000-000082BA0000}"/>
    <cellStyle name="百分比 2 2 3 3" xfId="47747" xr:uid="{00000000-0005-0000-0000-000083BA0000}"/>
    <cellStyle name="百分比 2 2 3 4" xfId="47748" xr:uid="{00000000-0005-0000-0000-000084BA0000}"/>
    <cellStyle name="百分比 2 2 3 5" xfId="47749" xr:uid="{00000000-0005-0000-0000-000085BA0000}"/>
    <cellStyle name="百分比 2 2 3 6" xfId="47750" xr:uid="{00000000-0005-0000-0000-000086BA0000}"/>
    <cellStyle name="百分比 2 2 3 6 2" xfId="47751" xr:uid="{00000000-0005-0000-0000-000087BA0000}"/>
    <cellStyle name="百分比 2 2 4" xfId="47752" xr:uid="{00000000-0005-0000-0000-000088BA0000}"/>
    <cellStyle name="百分比 2 2 4 2" xfId="47753" xr:uid="{00000000-0005-0000-0000-000089BA0000}"/>
    <cellStyle name="百分比 2 2 4 2 2" xfId="47754" xr:uid="{00000000-0005-0000-0000-00008ABA0000}"/>
    <cellStyle name="百分比 2 2 4 2 3" xfId="47755" xr:uid="{00000000-0005-0000-0000-00008BBA0000}"/>
    <cellStyle name="百分比 2 2 4 2 4" xfId="47756" xr:uid="{00000000-0005-0000-0000-00008CBA0000}"/>
    <cellStyle name="百分比 2 2 4 3" xfId="47757" xr:uid="{00000000-0005-0000-0000-00008DBA0000}"/>
    <cellStyle name="百分比 2 2 4 4" xfId="47758" xr:uid="{00000000-0005-0000-0000-00008EBA0000}"/>
    <cellStyle name="百分比 2 2 4 5" xfId="47759" xr:uid="{00000000-0005-0000-0000-00008FBA0000}"/>
    <cellStyle name="百分比 2 2 4 6" xfId="47760" xr:uid="{00000000-0005-0000-0000-000090BA0000}"/>
    <cellStyle name="百分比 2 2 4 6 2" xfId="47761" xr:uid="{00000000-0005-0000-0000-000091BA0000}"/>
    <cellStyle name="百分比 2 2 5" xfId="47762" xr:uid="{00000000-0005-0000-0000-000092BA0000}"/>
    <cellStyle name="百分比 2 2 5 2" xfId="47763" xr:uid="{00000000-0005-0000-0000-000093BA0000}"/>
    <cellStyle name="百分比 2 2 5 3" xfId="47764" xr:uid="{00000000-0005-0000-0000-000094BA0000}"/>
    <cellStyle name="百分比 2 2 5 4" xfId="47765" xr:uid="{00000000-0005-0000-0000-000095BA0000}"/>
    <cellStyle name="百分比 2 2 5 5" xfId="47766" xr:uid="{00000000-0005-0000-0000-000096BA0000}"/>
    <cellStyle name="百分比 2 2 5 5 2" xfId="47767" xr:uid="{00000000-0005-0000-0000-000097BA0000}"/>
    <cellStyle name="百分比 2 2 6" xfId="47768" xr:uid="{00000000-0005-0000-0000-000098BA0000}"/>
    <cellStyle name="百分比 2 2 6 2" xfId="47769" xr:uid="{00000000-0005-0000-0000-000099BA0000}"/>
    <cellStyle name="百分比 2 2 6 2 2" xfId="47770" xr:uid="{00000000-0005-0000-0000-00009ABA0000}"/>
    <cellStyle name="百分比 2 2 7" xfId="47771" xr:uid="{00000000-0005-0000-0000-00009BBA0000}"/>
    <cellStyle name="百分比 2 2 7 2" xfId="47772" xr:uid="{00000000-0005-0000-0000-00009CBA0000}"/>
    <cellStyle name="百分比 2 2 7 3" xfId="47773" xr:uid="{00000000-0005-0000-0000-00009DBA0000}"/>
    <cellStyle name="百分比 2 2 8" xfId="47774" xr:uid="{00000000-0005-0000-0000-00009EBA0000}"/>
    <cellStyle name="百分比 2 2 9" xfId="47775" xr:uid="{00000000-0005-0000-0000-00009FBA0000}"/>
    <cellStyle name="百分比 2 2 9 2" xfId="47776" xr:uid="{00000000-0005-0000-0000-0000A0BA0000}"/>
    <cellStyle name="百分比 2 20" xfId="47777" xr:uid="{00000000-0005-0000-0000-0000A1BA0000}"/>
    <cellStyle name="百分比 2 3" xfId="47778" xr:uid="{00000000-0005-0000-0000-0000A2BA0000}"/>
    <cellStyle name="百分比 2 3 10" xfId="47779" xr:uid="{00000000-0005-0000-0000-0000A3BA0000}"/>
    <cellStyle name="百分比 2 3 2" xfId="47780" xr:uid="{00000000-0005-0000-0000-0000A4BA0000}"/>
    <cellStyle name="百分比 2 3 2 2" xfId="47781" xr:uid="{00000000-0005-0000-0000-0000A5BA0000}"/>
    <cellStyle name="百分比 2 3 2 2 2" xfId="47782" xr:uid="{00000000-0005-0000-0000-0000A6BA0000}"/>
    <cellStyle name="百分比 2 3 2 2 2 2" xfId="47783" xr:uid="{00000000-0005-0000-0000-0000A7BA0000}"/>
    <cellStyle name="百分比 2 3 2 2 2 2 2" xfId="47784" xr:uid="{00000000-0005-0000-0000-0000A8BA0000}"/>
    <cellStyle name="百分比 2 3 2 2 2 2 3" xfId="47785" xr:uid="{00000000-0005-0000-0000-0000A9BA0000}"/>
    <cellStyle name="百分比 2 3 2 2 2 2 4" xfId="47786" xr:uid="{00000000-0005-0000-0000-0000AABA0000}"/>
    <cellStyle name="百分比 2 3 2 2 2 3" xfId="47787" xr:uid="{00000000-0005-0000-0000-0000ABBA0000}"/>
    <cellStyle name="百分比 2 3 2 2 2 4" xfId="47788" xr:uid="{00000000-0005-0000-0000-0000ACBA0000}"/>
    <cellStyle name="百分比 2 3 2 2 2 5" xfId="47789" xr:uid="{00000000-0005-0000-0000-0000ADBA0000}"/>
    <cellStyle name="百分比 2 3 2 2 3" xfId="47790" xr:uid="{00000000-0005-0000-0000-0000AEBA0000}"/>
    <cellStyle name="百分比 2 3 2 2 3 2" xfId="47791" xr:uid="{00000000-0005-0000-0000-0000AFBA0000}"/>
    <cellStyle name="百分比 2 3 2 2 3 2 2" xfId="47792" xr:uid="{00000000-0005-0000-0000-0000B0BA0000}"/>
    <cellStyle name="百分比 2 3 2 2 3 2 3" xfId="47793" xr:uid="{00000000-0005-0000-0000-0000B1BA0000}"/>
    <cellStyle name="百分比 2 3 2 2 3 2 4" xfId="47794" xr:uid="{00000000-0005-0000-0000-0000B2BA0000}"/>
    <cellStyle name="百分比 2 3 2 2 3 3" xfId="47795" xr:uid="{00000000-0005-0000-0000-0000B3BA0000}"/>
    <cellStyle name="百分比 2 3 2 2 3 4" xfId="47796" xr:uid="{00000000-0005-0000-0000-0000B4BA0000}"/>
    <cellStyle name="百分比 2 3 2 2 3 5" xfId="47797" xr:uid="{00000000-0005-0000-0000-0000B5BA0000}"/>
    <cellStyle name="百分比 2 3 2 2 4" xfId="47798" xr:uid="{00000000-0005-0000-0000-0000B6BA0000}"/>
    <cellStyle name="百分比 2 3 2 2 4 2" xfId="47799" xr:uid="{00000000-0005-0000-0000-0000B7BA0000}"/>
    <cellStyle name="百分比 2 3 2 2 4 3" xfId="47800" xr:uid="{00000000-0005-0000-0000-0000B8BA0000}"/>
    <cellStyle name="百分比 2 3 2 2 4 4" xfId="47801" xr:uid="{00000000-0005-0000-0000-0000B9BA0000}"/>
    <cellStyle name="百分比 2 3 2 2 5" xfId="47802" xr:uid="{00000000-0005-0000-0000-0000BABA0000}"/>
    <cellStyle name="百分比 2 3 2 2 6" xfId="47803" xr:uid="{00000000-0005-0000-0000-0000BBBA0000}"/>
    <cellStyle name="百分比 2 3 2 2 7" xfId="47804" xr:uid="{00000000-0005-0000-0000-0000BCBA0000}"/>
    <cellStyle name="百分比 2 3 2 3" xfId="47805" xr:uid="{00000000-0005-0000-0000-0000BDBA0000}"/>
    <cellStyle name="百分比 2 3 2 3 2" xfId="47806" xr:uid="{00000000-0005-0000-0000-0000BEBA0000}"/>
    <cellStyle name="百分比 2 3 2 3 2 2" xfId="47807" xr:uid="{00000000-0005-0000-0000-0000BFBA0000}"/>
    <cellStyle name="百分比 2 3 2 3 2 3" xfId="47808" xr:uid="{00000000-0005-0000-0000-0000C0BA0000}"/>
    <cellStyle name="百分比 2 3 2 3 2 4" xfId="47809" xr:uid="{00000000-0005-0000-0000-0000C1BA0000}"/>
    <cellStyle name="百分比 2 3 2 3 3" xfId="47810" xr:uid="{00000000-0005-0000-0000-0000C2BA0000}"/>
    <cellStyle name="百分比 2 3 2 3 4" xfId="47811" xr:uid="{00000000-0005-0000-0000-0000C3BA0000}"/>
    <cellStyle name="百分比 2 3 2 3 5" xfId="47812" xr:uid="{00000000-0005-0000-0000-0000C4BA0000}"/>
    <cellStyle name="百分比 2 3 2 4" xfId="47813" xr:uid="{00000000-0005-0000-0000-0000C5BA0000}"/>
    <cellStyle name="百分比 2 3 2 4 2" xfId="47814" xr:uid="{00000000-0005-0000-0000-0000C6BA0000}"/>
    <cellStyle name="百分比 2 3 2 4 2 2" xfId="47815" xr:uid="{00000000-0005-0000-0000-0000C7BA0000}"/>
    <cellStyle name="百分比 2 3 2 4 2 3" xfId="47816" xr:uid="{00000000-0005-0000-0000-0000C8BA0000}"/>
    <cellStyle name="百分比 2 3 2 4 2 4" xfId="47817" xr:uid="{00000000-0005-0000-0000-0000C9BA0000}"/>
    <cellStyle name="百分比 2 3 2 4 3" xfId="47818" xr:uid="{00000000-0005-0000-0000-0000CABA0000}"/>
    <cellStyle name="百分比 2 3 2 4 4" xfId="47819" xr:uid="{00000000-0005-0000-0000-0000CBBA0000}"/>
    <cellStyle name="百分比 2 3 2 4 5" xfId="47820" xr:uid="{00000000-0005-0000-0000-0000CCBA0000}"/>
    <cellStyle name="百分比 2 3 2 5" xfId="47821" xr:uid="{00000000-0005-0000-0000-0000CDBA0000}"/>
    <cellStyle name="百分比 2 3 2 5 2" xfId="47822" xr:uid="{00000000-0005-0000-0000-0000CEBA0000}"/>
    <cellStyle name="百分比 2 3 2 5 3" xfId="47823" xr:uid="{00000000-0005-0000-0000-0000CFBA0000}"/>
    <cellStyle name="百分比 2 3 2 5 4" xfId="47824" xr:uid="{00000000-0005-0000-0000-0000D0BA0000}"/>
    <cellStyle name="百分比 2 3 2 6" xfId="47825" xr:uid="{00000000-0005-0000-0000-0000D1BA0000}"/>
    <cellStyle name="百分比 2 3 2 7" xfId="47826" xr:uid="{00000000-0005-0000-0000-0000D2BA0000}"/>
    <cellStyle name="百分比 2 3 2 8" xfId="47827" xr:uid="{00000000-0005-0000-0000-0000D3BA0000}"/>
    <cellStyle name="百分比 2 3 2 9" xfId="47828" xr:uid="{00000000-0005-0000-0000-0000D4BA0000}"/>
    <cellStyle name="百分比 2 3 2 9 2" xfId="47829" xr:uid="{00000000-0005-0000-0000-0000D5BA0000}"/>
    <cellStyle name="百分比 2 3 3" xfId="47830" xr:uid="{00000000-0005-0000-0000-0000D6BA0000}"/>
    <cellStyle name="百分比 2 3 3 2" xfId="47831" xr:uid="{00000000-0005-0000-0000-0000D7BA0000}"/>
    <cellStyle name="百分比 2 3 3 2 2" xfId="47832" xr:uid="{00000000-0005-0000-0000-0000D8BA0000}"/>
    <cellStyle name="百分比 2 3 3 2 3" xfId="47833" xr:uid="{00000000-0005-0000-0000-0000D9BA0000}"/>
    <cellStyle name="百分比 2 3 3 2 4" xfId="47834" xr:uid="{00000000-0005-0000-0000-0000DABA0000}"/>
    <cellStyle name="百分比 2 3 3 3" xfId="47835" xr:uid="{00000000-0005-0000-0000-0000DBBA0000}"/>
    <cellStyle name="百分比 2 3 3 4" xfId="47836" xr:uid="{00000000-0005-0000-0000-0000DCBA0000}"/>
    <cellStyle name="百分比 2 3 3 5" xfId="47837" xr:uid="{00000000-0005-0000-0000-0000DDBA0000}"/>
    <cellStyle name="百分比 2 3 3 6" xfId="47838" xr:uid="{00000000-0005-0000-0000-0000DEBA0000}"/>
    <cellStyle name="百分比 2 3 3 6 2" xfId="47839" xr:uid="{00000000-0005-0000-0000-0000DFBA0000}"/>
    <cellStyle name="百分比 2 3 4" xfId="47840" xr:uid="{00000000-0005-0000-0000-0000E0BA0000}"/>
    <cellStyle name="百分比 2 3 4 2" xfId="47841" xr:uid="{00000000-0005-0000-0000-0000E1BA0000}"/>
    <cellStyle name="百分比 2 3 4 2 2" xfId="47842" xr:uid="{00000000-0005-0000-0000-0000E2BA0000}"/>
    <cellStyle name="百分比 2 3 4 2 3" xfId="47843" xr:uid="{00000000-0005-0000-0000-0000E3BA0000}"/>
    <cellStyle name="百分比 2 3 4 2 4" xfId="47844" xr:uid="{00000000-0005-0000-0000-0000E4BA0000}"/>
    <cellStyle name="百分比 2 3 4 2 5" xfId="47845" xr:uid="{00000000-0005-0000-0000-0000E5BA0000}"/>
    <cellStyle name="百分比 2 3 4 3" xfId="47846" xr:uid="{00000000-0005-0000-0000-0000E6BA0000}"/>
    <cellStyle name="百分比 2 3 4 4" xfId="47847" xr:uid="{00000000-0005-0000-0000-0000E7BA0000}"/>
    <cellStyle name="百分比 2 3 4 5" xfId="47848" xr:uid="{00000000-0005-0000-0000-0000E8BA0000}"/>
    <cellStyle name="百分比 2 3 4 6" xfId="47849" xr:uid="{00000000-0005-0000-0000-0000E9BA0000}"/>
    <cellStyle name="百分比 2 3 5" xfId="47850" xr:uid="{00000000-0005-0000-0000-0000EABA0000}"/>
    <cellStyle name="百分比 2 3 5 2" xfId="47851" xr:uid="{00000000-0005-0000-0000-0000EBBA0000}"/>
    <cellStyle name="百分比 2 3 5 2 2" xfId="47852" xr:uid="{00000000-0005-0000-0000-0000ECBA0000}"/>
    <cellStyle name="百分比 2 3 5 3" xfId="47853" xr:uid="{00000000-0005-0000-0000-0000EDBA0000}"/>
    <cellStyle name="百分比 2 3 5 4" xfId="47854" xr:uid="{00000000-0005-0000-0000-0000EEBA0000}"/>
    <cellStyle name="百分比 2 3 5 5" xfId="47855" xr:uid="{00000000-0005-0000-0000-0000EFBA0000}"/>
    <cellStyle name="百分比 2 3 6" xfId="47856" xr:uid="{00000000-0005-0000-0000-0000F0BA0000}"/>
    <cellStyle name="百分比 2 3 7" xfId="47857" xr:uid="{00000000-0005-0000-0000-0000F1BA0000}"/>
    <cellStyle name="百分比 2 3 8" xfId="47858" xr:uid="{00000000-0005-0000-0000-0000F2BA0000}"/>
    <cellStyle name="百分比 2 3 9" xfId="47859" xr:uid="{00000000-0005-0000-0000-0000F3BA0000}"/>
    <cellStyle name="百分比 2 3 9 2" xfId="47860" xr:uid="{00000000-0005-0000-0000-0000F4BA0000}"/>
    <cellStyle name="百分比 2 4" xfId="47861" xr:uid="{00000000-0005-0000-0000-0000F5BA0000}"/>
    <cellStyle name="百分比 2 4 2" xfId="47862" xr:uid="{00000000-0005-0000-0000-0000F6BA0000}"/>
    <cellStyle name="百分比 2 4 2 2" xfId="47863" xr:uid="{00000000-0005-0000-0000-0000F7BA0000}"/>
    <cellStyle name="百分比 2 4 2 2 2" xfId="47864" xr:uid="{00000000-0005-0000-0000-0000F8BA0000}"/>
    <cellStyle name="百分比 2 4 2 2 2 2" xfId="47865" xr:uid="{00000000-0005-0000-0000-0000F9BA0000}"/>
    <cellStyle name="百分比 2 4 2 2 2 2 2" xfId="47866" xr:uid="{00000000-0005-0000-0000-0000FABA0000}"/>
    <cellStyle name="百分比 2 4 2 2 2 2 3" xfId="47867" xr:uid="{00000000-0005-0000-0000-0000FBBA0000}"/>
    <cellStyle name="百分比 2 4 2 2 2 2 4" xfId="47868" xr:uid="{00000000-0005-0000-0000-0000FCBA0000}"/>
    <cellStyle name="百分比 2 4 2 2 2 3" xfId="47869" xr:uid="{00000000-0005-0000-0000-0000FDBA0000}"/>
    <cellStyle name="百分比 2 4 2 2 2 4" xfId="47870" xr:uid="{00000000-0005-0000-0000-0000FEBA0000}"/>
    <cellStyle name="百分比 2 4 2 2 2 5" xfId="47871" xr:uid="{00000000-0005-0000-0000-0000FFBA0000}"/>
    <cellStyle name="百分比 2 4 2 2 3" xfId="47872" xr:uid="{00000000-0005-0000-0000-000000BB0000}"/>
    <cellStyle name="百分比 2 4 2 2 3 2" xfId="47873" xr:uid="{00000000-0005-0000-0000-000001BB0000}"/>
    <cellStyle name="百分比 2 4 2 2 3 2 2" xfId="47874" xr:uid="{00000000-0005-0000-0000-000002BB0000}"/>
    <cellStyle name="百分比 2 4 2 2 3 2 3" xfId="47875" xr:uid="{00000000-0005-0000-0000-000003BB0000}"/>
    <cellStyle name="百分比 2 4 2 2 3 2 4" xfId="47876" xr:uid="{00000000-0005-0000-0000-000004BB0000}"/>
    <cellStyle name="百分比 2 4 2 2 3 3" xfId="47877" xr:uid="{00000000-0005-0000-0000-000005BB0000}"/>
    <cellStyle name="百分比 2 4 2 2 3 4" xfId="47878" xr:uid="{00000000-0005-0000-0000-000006BB0000}"/>
    <cellStyle name="百分比 2 4 2 2 3 5" xfId="47879" xr:uid="{00000000-0005-0000-0000-000007BB0000}"/>
    <cellStyle name="百分比 2 4 2 2 4" xfId="47880" xr:uid="{00000000-0005-0000-0000-000008BB0000}"/>
    <cellStyle name="百分比 2 4 2 2 4 2" xfId="47881" xr:uid="{00000000-0005-0000-0000-000009BB0000}"/>
    <cellStyle name="百分比 2 4 2 2 4 3" xfId="47882" xr:uid="{00000000-0005-0000-0000-00000ABB0000}"/>
    <cellStyle name="百分比 2 4 2 2 4 4" xfId="47883" xr:uid="{00000000-0005-0000-0000-00000BBB0000}"/>
    <cellStyle name="百分比 2 4 2 2 5" xfId="47884" xr:uid="{00000000-0005-0000-0000-00000CBB0000}"/>
    <cellStyle name="百分比 2 4 2 2 6" xfId="47885" xr:uid="{00000000-0005-0000-0000-00000DBB0000}"/>
    <cellStyle name="百分比 2 4 2 2 7" xfId="47886" xr:uid="{00000000-0005-0000-0000-00000EBB0000}"/>
    <cellStyle name="百分比 2 4 2 3" xfId="47887" xr:uid="{00000000-0005-0000-0000-00000FBB0000}"/>
    <cellStyle name="百分比 2 4 2 3 2" xfId="47888" xr:uid="{00000000-0005-0000-0000-000010BB0000}"/>
    <cellStyle name="百分比 2 4 2 3 2 2" xfId="47889" xr:uid="{00000000-0005-0000-0000-000011BB0000}"/>
    <cellStyle name="百分比 2 4 2 3 2 3" xfId="47890" xr:uid="{00000000-0005-0000-0000-000012BB0000}"/>
    <cellStyle name="百分比 2 4 2 3 2 4" xfId="47891" xr:uid="{00000000-0005-0000-0000-000013BB0000}"/>
    <cellStyle name="百分比 2 4 2 3 3" xfId="47892" xr:uid="{00000000-0005-0000-0000-000014BB0000}"/>
    <cellStyle name="百分比 2 4 2 3 4" xfId="47893" xr:uid="{00000000-0005-0000-0000-000015BB0000}"/>
    <cellStyle name="百分比 2 4 2 3 5" xfId="47894" xr:uid="{00000000-0005-0000-0000-000016BB0000}"/>
    <cellStyle name="百分比 2 4 2 4" xfId="47895" xr:uid="{00000000-0005-0000-0000-000017BB0000}"/>
    <cellStyle name="百分比 2 4 2 4 2" xfId="47896" xr:uid="{00000000-0005-0000-0000-000018BB0000}"/>
    <cellStyle name="百分比 2 4 2 4 2 2" xfId="47897" xr:uid="{00000000-0005-0000-0000-000019BB0000}"/>
    <cellStyle name="百分比 2 4 2 4 2 3" xfId="47898" xr:uid="{00000000-0005-0000-0000-00001ABB0000}"/>
    <cellStyle name="百分比 2 4 2 4 2 4" xfId="47899" xr:uid="{00000000-0005-0000-0000-00001BBB0000}"/>
    <cellStyle name="百分比 2 4 2 4 3" xfId="47900" xr:uid="{00000000-0005-0000-0000-00001CBB0000}"/>
    <cellStyle name="百分比 2 4 2 4 4" xfId="47901" xr:uid="{00000000-0005-0000-0000-00001DBB0000}"/>
    <cellStyle name="百分比 2 4 2 4 5" xfId="47902" xr:uid="{00000000-0005-0000-0000-00001EBB0000}"/>
    <cellStyle name="百分比 2 4 2 5" xfId="47903" xr:uid="{00000000-0005-0000-0000-00001FBB0000}"/>
    <cellStyle name="百分比 2 4 2 5 2" xfId="47904" xr:uid="{00000000-0005-0000-0000-000020BB0000}"/>
    <cellStyle name="百分比 2 4 2 5 3" xfId="47905" xr:uid="{00000000-0005-0000-0000-000021BB0000}"/>
    <cellStyle name="百分比 2 4 2 5 4" xfId="47906" xr:uid="{00000000-0005-0000-0000-000022BB0000}"/>
    <cellStyle name="百分比 2 4 2 6" xfId="47907" xr:uid="{00000000-0005-0000-0000-000023BB0000}"/>
    <cellStyle name="百分比 2 4 2 7" xfId="47908" xr:uid="{00000000-0005-0000-0000-000024BB0000}"/>
    <cellStyle name="百分比 2 4 2 8" xfId="47909" xr:uid="{00000000-0005-0000-0000-000025BB0000}"/>
    <cellStyle name="百分比 2 4 3" xfId="47910" xr:uid="{00000000-0005-0000-0000-000026BB0000}"/>
    <cellStyle name="百分比 2 4 3 2" xfId="47911" xr:uid="{00000000-0005-0000-0000-000027BB0000}"/>
    <cellStyle name="百分比 2 4 3 2 2" xfId="47912" xr:uid="{00000000-0005-0000-0000-000028BB0000}"/>
    <cellStyle name="百分比 2 4 3 2 3" xfId="47913" xr:uid="{00000000-0005-0000-0000-000029BB0000}"/>
    <cellStyle name="百分比 2 4 3 2 4" xfId="47914" xr:uid="{00000000-0005-0000-0000-00002ABB0000}"/>
    <cellStyle name="百分比 2 4 3 3" xfId="47915" xr:uid="{00000000-0005-0000-0000-00002BBB0000}"/>
    <cellStyle name="百分比 2 4 3 4" xfId="47916" xr:uid="{00000000-0005-0000-0000-00002CBB0000}"/>
    <cellStyle name="百分比 2 4 3 5" xfId="47917" xr:uid="{00000000-0005-0000-0000-00002DBB0000}"/>
    <cellStyle name="百分比 2 4 4" xfId="47918" xr:uid="{00000000-0005-0000-0000-00002EBB0000}"/>
    <cellStyle name="百分比 2 4 4 2" xfId="47919" xr:uid="{00000000-0005-0000-0000-00002FBB0000}"/>
    <cellStyle name="百分比 2 4 4 2 2" xfId="47920" xr:uid="{00000000-0005-0000-0000-000030BB0000}"/>
    <cellStyle name="百分比 2 4 4 2 3" xfId="47921" xr:uid="{00000000-0005-0000-0000-000031BB0000}"/>
    <cellStyle name="百分比 2 4 4 2 4" xfId="47922" xr:uid="{00000000-0005-0000-0000-000032BB0000}"/>
    <cellStyle name="百分比 2 4 4 3" xfId="47923" xr:uid="{00000000-0005-0000-0000-000033BB0000}"/>
    <cellStyle name="百分比 2 4 4 4" xfId="47924" xr:uid="{00000000-0005-0000-0000-000034BB0000}"/>
    <cellStyle name="百分比 2 4 4 5" xfId="47925" xr:uid="{00000000-0005-0000-0000-000035BB0000}"/>
    <cellStyle name="百分比 2 4 5" xfId="47926" xr:uid="{00000000-0005-0000-0000-000036BB0000}"/>
    <cellStyle name="百分比 2 4 5 2" xfId="47927" xr:uid="{00000000-0005-0000-0000-000037BB0000}"/>
    <cellStyle name="百分比 2 4 5 3" xfId="47928" xr:uid="{00000000-0005-0000-0000-000038BB0000}"/>
    <cellStyle name="百分比 2 4 5 4" xfId="47929" xr:uid="{00000000-0005-0000-0000-000039BB0000}"/>
    <cellStyle name="百分比 2 4 6" xfId="47930" xr:uid="{00000000-0005-0000-0000-00003ABB0000}"/>
    <cellStyle name="百分比 2 4 7" xfId="47931" xr:uid="{00000000-0005-0000-0000-00003BBB0000}"/>
    <cellStyle name="百分比 2 4 8" xfId="47932" xr:uid="{00000000-0005-0000-0000-00003CBB0000}"/>
    <cellStyle name="百分比 2 4 9" xfId="47933" xr:uid="{00000000-0005-0000-0000-00003DBB0000}"/>
    <cellStyle name="百分比 2 4 9 2" xfId="47934" xr:uid="{00000000-0005-0000-0000-00003EBB0000}"/>
    <cellStyle name="百分比 2 5" xfId="47935" xr:uid="{00000000-0005-0000-0000-00003FBB0000}"/>
    <cellStyle name="百分比 2 5 2" xfId="47936" xr:uid="{00000000-0005-0000-0000-000040BB0000}"/>
    <cellStyle name="百分比 2 5 2 2" xfId="47937" xr:uid="{00000000-0005-0000-0000-000041BB0000}"/>
    <cellStyle name="百分比 2 5 2 2 2" xfId="47938" xr:uid="{00000000-0005-0000-0000-000042BB0000}"/>
    <cellStyle name="百分比 2 5 2 2 2 2" xfId="47939" xr:uid="{00000000-0005-0000-0000-000043BB0000}"/>
    <cellStyle name="百分比 2 5 2 2 2 2 2" xfId="47940" xr:uid="{00000000-0005-0000-0000-000044BB0000}"/>
    <cellStyle name="百分比 2 5 2 2 2 2 3" xfId="47941" xr:uid="{00000000-0005-0000-0000-000045BB0000}"/>
    <cellStyle name="百分比 2 5 2 2 2 2 4" xfId="47942" xr:uid="{00000000-0005-0000-0000-000046BB0000}"/>
    <cellStyle name="百分比 2 5 2 2 2 3" xfId="47943" xr:uid="{00000000-0005-0000-0000-000047BB0000}"/>
    <cellStyle name="百分比 2 5 2 2 2 4" xfId="47944" xr:uid="{00000000-0005-0000-0000-000048BB0000}"/>
    <cellStyle name="百分比 2 5 2 2 2 5" xfId="47945" xr:uid="{00000000-0005-0000-0000-000049BB0000}"/>
    <cellStyle name="百分比 2 5 2 2 3" xfId="47946" xr:uid="{00000000-0005-0000-0000-00004ABB0000}"/>
    <cellStyle name="百分比 2 5 2 2 3 2" xfId="47947" xr:uid="{00000000-0005-0000-0000-00004BBB0000}"/>
    <cellStyle name="百分比 2 5 2 2 3 2 2" xfId="47948" xr:uid="{00000000-0005-0000-0000-00004CBB0000}"/>
    <cellStyle name="百分比 2 5 2 2 3 2 3" xfId="47949" xr:uid="{00000000-0005-0000-0000-00004DBB0000}"/>
    <cellStyle name="百分比 2 5 2 2 3 2 4" xfId="47950" xr:uid="{00000000-0005-0000-0000-00004EBB0000}"/>
    <cellStyle name="百分比 2 5 2 2 3 3" xfId="47951" xr:uid="{00000000-0005-0000-0000-00004FBB0000}"/>
    <cellStyle name="百分比 2 5 2 2 3 4" xfId="47952" xr:uid="{00000000-0005-0000-0000-000050BB0000}"/>
    <cellStyle name="百分比 2 5 2 2 3 5" xfId="47953" xr:uid="{00000000-0005-0000-0000-000051BB0000}"/>
    <cellStyle name="百分比 2 5 2 2 4" xfId="47954" xr:uid="{00000000-0005-0000-0000-000052BB0000}"/>
    <cellStyle name="百分比 2 5 2 2 4 2" xfId="47955" xr:uid="{00000000-0005-0000-0000-000053BB0000}"/>
    <cellStyle name="百分比 2 5 2 2 4 3" xfId="47956" xr:uid="{00000000-0005-0000-0000-000054BB0000}"/>
    <cellStyle name="百分比 2 5 2 2 4 4" xfId="47957" xr:uid="{00000000-0005-0000-0000-000055BB0000}"/>
    <cellStyle name="百分比 2 5 2 2 5" xfId="47958" xr:uid="{00000000-0005-0000-0000-000056BB0000}"/>
    <cellStyle name="百分比 2 5 2 2 6" xfId="47959" xr:uid="{00000000-0005-0000-0000-000057BB0000}"/>
    <cellStyle name="百分比 2 5 2 2 7" xfId="47960" xr:uid="{00000000-0005-0000-0000-000058BB0000}"/>
    <cellStyle name="百分比 2 5 2 3" xfId="47961" xr:uid="{00000000-0005-0000-0000-000059BB0000}"/>
    <cellStyle name="百分比 2 5 2 3 2" xfId="47962" xr:uid="{00000000-0005-0000-0000-00005ABB0000}"/>
    <cellStyle name="百分比 2 5 2 3 2 2" xfId="47963" xr:uid="{00000000-0005-0000-0000-00005BBB0000}"/>
    <cellStyle name="百分比 2 5 2 3 2 3" xfId="47964" xr:uid="{00000000-0005-0000-0000-00005CBB0000}"/>
    <cellStyle name="百分比 2 5 2 3 2 4" xfId="47965" xr:uid="{00000000-0005-0000-0000-00005DBB0000}"/>
    <cellStyle name="百分比 2 5 2 3 3" xfId="47966" xr:uid="{00000000-0005-0000-0000-00005EBB0000}"/>
    <cellStyle name="百分比 2 5 2 3 4" xfId="47967" xr:uid="{00000000-0005-0000-0000-00005FBB0000}"/>
    <cellStyle name="百分比 2 5 2 3 5" xfId="47968" xr:uid="{00000000-0005-0000-0000-000060BB0000}"/>
    <cellStyle name="百分比 2 5 2 4" xfId="47969" xr:uid="{00000000-0005-0000-0000-000061BB0000}"/>
    <cellStyle name="百分比 2 5 2 4 2" xfId="47970" xr:uid="{00000000-0005-0000-0000-000062BB0000}"/>
    <cellStyle name="百分比 2 5 2 4 2 2" xfId="47971" xr:uid="{00000000-0005-0000-0000-000063BB0000}"/>
    <cellStyle name="百分比 2 5 2 4 2 3" xfId="47972" xr:uid="{00000000-0005-0000-0000-000064BB0000}"/>
    <cellStyle name="百分比 2 5 2 4 2 4" xfId="47973" xr:uid="{00000000-0005-0000-0000-000065BB0000}"/>
    <cellStyle name="百分比 2 5 2 4 3" xfId="47974" xr:uid="{00000000-0005-0000-0000-000066BB0000}"/>
    <cellStyle name="百分比 2 5 2 4 4" xfId="47975" xr:uid="{00000000-0005-0000-0000-000067BB0000}"/>
    <cellStyle name="百分比 2 5 2 4 5" xfId="47976" xr:uid="{00000000-0005-0000-0000-000068BB0000}"/>
    <cellStyle name="百分比 2 5 2 5" xfId="47977" xr:uid="{00000000-0005-0000-0000-000069BB0000}"/>
    <cellStyle name="百分比 2 5 2 5 2" xfId="47978" xr:uid="{00000000-0005-0000-0000-00006ABB0000}"/>
    <cellStyle name="百分比 2 5 2 5 3" xfId="47979" xr:uid="{00000000-0005-0000-0000-00006BBB0000}"/>
    <cellStyle name="百分比 2 5 2 5 4" xfId="47980" xr:uid="{00000000-0005-0000-0000-00006CBB0000}"/>
    <cellStyle name="百分比 2 5 2 6" xfId="47981" xr:uid="{00000000-0005-0000-0000-00006DBB0000}"/>
    <cellStyle name="百分比 2 5 2 7" xfId="47982" xr:uid="{00000000-0005-0000-0000-00006EBB0000}"/>
    <cellStyle name="百分比 2 5 2 8" xfId="47983" xr:uid="{00000000-0005-0000-0000-00006FBB0000}"/>
    <cellStyle name="百分比 2 5 3" xfId="47984" xr:uid="{00000000-0005-0000-0000-000070BB0000}"/>
    <cellStyle name="百分比 2 5 3 2" xfId="47985" xr:uid="{00000000-0005-0000-0000-000071BB0000}"/>
    <cellStyle name="百分比 2 5 3 2 2" xfId="47986" xr:uid="{00000000-0005-0000-0000-000072BB0000}"/>
    <cellStyle name="百分比 2 5 3 2 3" xfId="47987" xr:uid="{00000000-0005-0000-0000-000073BB0000}"/>
    <cellStyle name="百分比 2 5 3 2 4" xfId="47988" xr:uid="{00000000-0005-0000-0000-000074BB0000}"/>
    <cellStyle name="百分比 2 5 3 3" xfId="47989" xr:uid="{00000000-0005-0000-0000-000075BB0000}"/>
    <cellStyle name="百分比 2 5 3 4" xfId="47990" xr:uid="{00000000-0005-0000-0000-000076BB0000}"/>
    <cellStyle name="百分比 2 5 3 5" xfId="47991" xr:uid="{00000000-0005-0000-0000-000077BB0000}"/>
    <cellStyle name="百分比 2 5 4" xfId="47992" xr:uid="{00000000-0005-0000-0000-000078BB0000}"/>
    <cellStyle name="百分比 2 5 4 2" xfId="47993" xr:uid="{00000000-0005-0000-0000-000079BB0000}"/>
    <cellStyle name="百分比 2 5 4 2 2" xfId="47994" xr:uid="{00000000-0005-0000-0000-00007ABB0000}"/>
    <cellStyle name="百分比 2 5 4 2 3" xfId="47995" xr:uid="{00000000-0005-0000-0000-00007BBB0000}"/>
    <cellStyle name="百分比 2 5 4 2 4" xfId="47996" xr:uid="{00000000-0005-0000-0000-00007CBB0000}"/>
    <cellStyle name="百分比 2 5 4 3" xfId="47997" xr:uid="{00000000-0005-0000-0000-00007DBB0000}"/>
    <cellStyle name="百分比 2 5 4 4" xfId="47998" xr:uid="{00000000-0005-0000-0000-00007EBB0000}"/>
    <cellStyle name="百分比 2 5 4 5" xfId="47999" xr:uid="{00000000-0005-0000-0000-00007FBB0000}"/>
    <cellStyle name="百分比 2 5 5" xfId="48000" xr:uid="{00000000-0005-0000-0000-000080BB0000}"/>
    <cellStyle name="百分比 2 5 5 2" xfId="48001" xr:uid="{00000000-0005-0000-0000-000081BB0000}"/>
    <cellStyle name="百分比 2 5 5 3" xfId="48002" xr:uid="{00000000-0005-0000-0000-000082BB0000}"/>
    <cellStyle name="百分比 2 5 5 4" xfId="48003" xr:uid="{00000000-0005-0000-0000-000083BB0000}"/>
    <cellStyle name="百分比 2 5 6" xfId="48004" xr:uid="{00000000-0005-0000-0000-000084BB0000}"/>
    <cellStyle name="百分比 2 5 7" xfId="48005" xr:uid="{00000000-0005-0000-0000-000085BB0000}"/>
    <cellStyle name="百分比 2 5 8" xfId="48006" xr:uid="{00000000-0005-0000-0000-000086BB0000}"/>
    <cellStyle name="百分比 2 5 9" xfId="48007" xr:uid="{00000000-0005-0000-0000-000087BB0000}"/>
    <cellStyle name="百分比 2 5 9 2" xfId="48008" xr:uid="{00000000-0005-0000-0000-000088BB0000}"/>
    <cellStyle name="百分比 2 6" xfId="48009" xr:uid="{00000000-0005-0000-0000-000089BB0000}"/>
    <cellStyle name="百分比 2 6 2" xfId="48010" xr:uid="{00000000-0005-0000-0000-00008ABB0000}"/>
    <cellStyle name="百分比 2 6 2 2" xfId="48011" xr:uid="{00000000-0005-0000-0000-00008BBB0000}"/>
    <cellStyle name="百分比 2 6 2 2 2" xfId="48012" xr:uid="{00000000-0005-0000-0000-00008CBB0000}"/>
    <cellStyle name="百分比 2 6 2 2 2 2" xfId="48013" xr:uid="{00000000-0005-0000-0000-00008DBB0000}"/>
    <cellStyle name="百分比 2 6 2 2 2 2 2" xfId="48014" xr:uid="{00000000-0005-0000-0000-00008EBB0000}"/>
    <cellStyle name="百分比 2 6 2 2 2 2 3" xfId="48015" xr:uid="{00000000-0005-0000-0000-00008FBB0000}"/>
    <cellStyle name="百分比 2 6 2 2 2 2 4" xfId="48016" xr:uid="{00000000-0005-0000-0000-000090BB0000}"/>
    <cellStyle name="百分比 2 6 2 2 2 3" xfId="48017" xr:uid="{00000000-0005-0000-0000-000091BB0000}"/>
    <cellStyle name="百分比 2 6 2 2 2 4" xfId="48018" xr:uid="{00000000-0005-0000-0000-000092BB0000}"/>
    <cellStyle name="百分比 2 6 2 2 2 5" xfId="48019" xr:uid="{00000000-0005-0000-0000-000093BB0000}"/>
    <cellStyle name="百分比 2 6 2 2 3" xfId="48020" xr:uid="{00000000-0005-0000-0000-000094BB0000}"/>
    <cellStyle name="百分比 2 6 2 2 3 2" xfId="48021" xr:uid="{00000000-0005-0000-0000-000095BB0000}"/>
    <cellStyle name="百分比 2 6 2 2 3 2 2" xfId="48022" xr:uid="{00000000-0005-0000-0000-000096BB0000}"/>
    <cellStyle name="百分比 2 6 2 2 3 2 3" xfId="48023" xr:uid="{00000000-0005-0000-0000-000097BB0000}"/>
    <cellStyle name="百分比 2 6 2 2 3 2 4" xfId="48024" xr:uid="{00000000-0005-0000-0000-000098BB0000}"/>
    <cellStyle name="百分比 2 6 2 2 3 3" xfId="48025" xr:uid="{00000000-0005-0000-0000-000099BB0000}"/>
    <cellStyle name="百分比 2 6 2 2 3 4" xfId="48026" xr:uid="{00000000-0005-0000-0000-00009ABB0000}"/>
    <cellStyle name="百分比 2 6 2 2 3 5" xfId="48027" xr:uid="{00000000-0005-0000-0000-00009BBB0000}"/>
    <cellStyle name="百分比 2 6 2 2 4" xfId="48028" xr:uid="{00000000-0005-0000-0000-00009CBB0000}"/>
    <cellStyle name="百分比 2 6 2 2 4 2" xfId="48029" xr:uid="{00000000-0005-0000-0000-00009DBB0000}"/>
    <cellStyle name="百分比 2 6 2 2 4 3" xfId="48030" xr:uid="{00000000-0005-0000-0000-00009EBB0000}"/>
    <cellStyle name="百分比 2 6 2 2 4 4" xfId="48031" xr:uid="{00000000-0005-0000-0000-00009FBB0000}"/>
    <cellStyle name="百分比 2 6 2 2 5" xfId="48032" xr:uid="{00000000-0005-0000-0000-0000A0BB0000}"/>
    <cellStyle name="百分比 2 6 2 2 6" xfId="48033" xr:uid="{00000000-0005-0000-0000-0000A1BB0000}"/>
    <cellStyle name="百分比 2 6 2 2 7" xfId="48034" xr:uid="{00000000-0005-0000-0000-0000A2BB0000}"/>
    <cellStyle name="百分比 2 6 2 3" xfId="48035" xr:uid="{00000000-0005-0000-0000-0000A3BB0000}"/>
    <cellStyle name="百分比 2 6 2 3 2" xfId="48036" xr:uid="{00000000-0005-0000-0000-0000A4BB0000}"/>
    <cellStyle name="百分比 2 6 2 3 2 2" xfId="48037" xr:uid="{00000000-0005-0000-0000-0000A5BB0000}"/>
    <cellStyle name="百分比 2 6 2 3 2 3" xfId="48038" xr:uid="{00000000-0005-0000-0000-0000A6BB0000}"/>
    <cellStyle name="百分比 2 6 2 3 2 4" xfId="48039" xr:uid="{00000000-0005-0000-0000-0000A7BB0000}"/>
    <cellStyle name="百分比 2 6 2 3 3" xfId="48040" xr:uid="{00000000-0005-0000-0000-0000A8BB0000}"/>
    <cellStyle name="百分比 2 6 2 3 4" xfId="48041" xr:uid="{00000000-0005-0000-0000-0000A9BB0000}"/>
    <cellStyle name="百分比 2 6 2 3 5" xfId="48042" xr:uid="{00000000-0005-0000-0000-0000AABB0000}"/>
    <cellStyle name="百分比 2 6 2 4" xfId="48043" xr:uid="{00000000-0005-0000-0000-0000ABBB0000}"/>
    <cellStyle name="百分比 2 6 2 4 2" xfId="48044" xr:uid="{00000000-0005-0000-0000-0000ACBB0000}"/>
    <cellStyle name="百分比 2 6 2 4 2 2" xfId="48045" xr:uid="{00000000-0005-0000-0000-0000ADBB0000}"/>
    <cellStyle name="百分比 2 6 2 4 2 3" xfId="48046" xr:uid="{00000000-0005-0000-0000-0000AEBB0000}"/>
    <cellStyle name="百分比 2 6 2 4 2 4" xfId="48047" xr:uid="{00000000-0005-0000-0000-0000AFBB0000}"/>
    <cellStyle name="百分比 2 6 2 4 3" xfId="48048" xr:uid="{00000000-0005-0000-0000-0000B0BB0000}"/>
    <cellStyle name="百分比 2 6 2 4 4" xfId="48049" xr:uid="{00000000-0005-0000-0000-0000B1BB0000}"/>
    <cellStyle name="百分比 2 6 2 4 5" xfId="48050" xr:uid="{00000000-0005-0000-0000-0000B2BB0000}"/>
    <cellStyle name="百分比 2 6 2 5" xfId="48051" xr:uid="{00000000-0005-0000-0000-0000B3BB0000}"/>
    <cellStyle name="百分比 2 6 2 5 2" xfId="48052" xr:uid="{00000000-0005-0000-0000-0000B4BB0000}"/>
    <cellStyle name="百分比 2 6 2 5 3" xfId="48053" xr:uid="{00000000-0005-0000-0000-0000B5BB0000}"/>
    <cellStyle name="百分比 2 6 2 5 4" xfId="48054" xr:uid="{00000000-0005-0000-0000-0000B6BB0000}"/>
    <cellStyle name="百分比 2 6 2 6" xfId="48055" xr:uid="{00000000-0005-0000-0000-0000B7BB0000}"/>
    <cellStyle name="百分比 2 6 2 7" xfId="48056" xr:uid="{00000000-0005-0000-0000-0000B8BB0000}"/>
    <cellStyle name="百分比 2 6 2 8" xfId="48057" xr:uid="{00000000-0005-0000-0000-0000B9BB0000}"/>
    <cellStyle name="百分比 2 6 3" xfId="48058" xr:uid="{00000000-0005-0000-0000-0000BABB0000}"/>
    <cellStyle name="百分比 2 6 3 2" xfId="48059" xr:uid="{00000000-0005-0000-0000-0000BBBB0000}"/>
    <cellStyle name="百分比 2 6 3 2 2" xfId="48060" xr:uid="{00000000-0005-0000-0000-0000BCBB0000}"/>
    <cellStyle name="百分比 2 6 3 2 3" xfId="48061" xr:uid="{00000000-0005-0000-0000-0000BDBB0000}"/>
    <cellStyle name="百分比 2 6 3 2 4" xfId="48062" xr:uid="{00000000-0005-0000-0000-0000BEBB0000}"/>
    <cellStyle name="百分比 2 6 3 3" xfId="48063" xr:uid="{00000000-0005-0000-0000-0000BFBB0000}"/>
    <cellStyle name="百分比 2 6 3 4" xfId="48064" xr:uid="{00000000-0005-0000-0000-0000C0BB0000}"/>
    <cellStyle name="百分比 2 6 3 5" xfId="48065" xr:uid="{00000000-0005-0000-0000-0000C1BB0000}"/>
    <cellStyle name="百分比 2 6 4" xfId="48066" xr:uid="{00000000-0005-0000-0000-0000C2BB0000}"/>
    <cellStyle name="百分比 2 6 4 2" xfId="48067" xr:uid="{00000000-0005-0000-0000-0000C3BB0000}"/>
    <cellStyle name="百分比 2 6 4 2 2" xfId="48068" xr:uid="{00000000-0005-0000-0000-0000C4BB0000}"/>
    <cellStyle name="百分比 2 6 4 2 3" xfId="48069" xr:uid="{00000000-0005-0000-0000-0000C5BB0000}"/>
    <cellStyle name="百分比 2 6 4 2 4" xfId="48070" xr:uid="{00000000-0005-0000-0000-0000C6BB0000}"/>
    <cellStyle name="百分比 2 6 4 3" xfId="48071" xr:uid="{00000000-0005-0000-0000-0000C7BB0000}"/>
    <cellStyle name="百分比 2 6 4 4" xfId="48072" xr:uid="{00000000-0005-0000-0000-0000C8BB0000}"/>
    <cellStyle name="百分比 2 6 4 5" xfId="48073" xr:uid="{00000000-0005-0000-0000-0000C9BB0000}"/>
    <cellStyle name="百分比 2 6 5" xfId="48074" xr:uid="{00000000-0005-0000-0000-0000CABB0000}"/>
    <cellStyle name="百分比 2 6 5 2" xfId="48075" xr:uid="{00000000-0005-0000-0000-0000CBBB0000}"/>
    <cellStyle name="百分比 2 6 5 3" xfId="48076" xr:uid="{00000000-0005-0000-0000-0000CCBB0000}"/>
    <cellStyle name="百分比 2 6 5 4" xfId="48077" xr:uid="{00000000-0005-0000-0000-0000CDBB0000}"/>
    <cellStyle name="百分比 2 6 6" xfId="48078" xr:uid="{00000000-0005-0000-0000-0000CEBB0000}"/>
    <cellStyle name="百分比 2 6 7" xfId="48079" xr:uid="{00000000-0005-0000-0000-0000CFBB0000}"/>
    <cellStyle name="百分比 2 6 8" xfId="48080" xr:uid="{00000000-0005-0000-0000-0000D0BB0000}"/>
    <cellStyle name="百分比 2 6 9" xfId="48081" xr:uid="{00000000-0005-0000-0000-0000D1BB0000}"/>
    <cellStyle name="百分比 2 6 9 2" xfId="48082" xr:uid="{00000000-0005-0000-0000-0000D2BB0000}"/>
    <cellStyle name="百分比 2 7" xfId="48083" xr:uid="{00000000-0005-0000-0000-0000D3BB0000}"/>
    <cellStyle name="百分比 2 7 2" xfId="48084" xr:uid="{00000000-0005-0000-0000-0000D4BB0000}"/>
    <cellStyle name="百分比 2 7 2 2" xfId="48085" xr:uid="{00000000-0005-0000-0000-0000D5BB0000}"/>
    <cellStyle name="百分比 2 7 2 2 2" xfId="48086" xr:uid="{00000000-0005-0000-0000-0000D6BB0000}"/>
    <cellStyle name="百分比 2 7 2 2 2 2" xfId="48087" xr:uid="{00000000-0005-0000-0000-0000D7BB0000}"/>
    <cellStyle name="百分比 2 7 2 2 2 3" xfId="48088" xr:uid="{00000000-0005-0000-0000-0000D8BB0000}"/>
    <cellStyle name="百分比 2 7 2 2 2 4" xfId="48089" xr:uid="{00000000-0005-0000-0000-0000D9BB0000}"/>
    <cellStyle name="百分比 2 7 2 2 3" xfId="48090" xr:uid="{00000000-0005-0000-0000-0000DABB0000}"/>
    <cellStyle name="百分比 2 7 2 2 4" xfId="48091" xr:uid="{00000000-0005-0000-0000-0000DBBB0000}"/>
    <cellStyle name="百分比 2 7 2 2 5" xfId="48092" xr:uid="{00000000-0005-0000-0000-0000DCBB0000}"/>
    <cellStyle name="百分比 2 7 2 3" xfId="48093" xr:uid="{00000000-0005-0000-0000-0000DDBB0000}"/>
    <cellStyle name="百分比 2 7 2 3 2" xfId="48094" xr:uid="{00000000-0005-0000-0000-0000DEBB0000}"/>
    <cellStyle name="百分比 2 7 2 3 2 2" xfId="48095" xr:uid="{00000000-0005-0000-0000-0000DFBB0000}"/>
    <cellStyle name="百分比 2 7 2 3 2 3" xfId="48096" xr:uid="{00000000-0005-0000-0000-0000E0BB0000}"/>
    <cellStyle name="百分比 2 7 2 3 2 4" xfId="48097" xr:uid="{00000000-0005-0000-0000-0000E1BB0000}"/>
    <cellStyle name="百分比 2 7 2 3 3" xfId="48098" xr:uid="{00000000-0005-0000-0000-0000E2BB0000}"/>
    <cellStyle name="百分比 2 7 2 3 4" xfId="48099" xr:uid="{00000000-0005-0000-0000-0000E3BB0000}"/>
    <cellStyle name="百分比 2 7 2 3 5" xfId="48100" xr:uid="{00000000-0005-0000-0000-0000E4BB0000}"/>
    <cellStyle name="百分比 2 7 2 4" xfId="48101" xr:uid="{00000000-0005-0000-0000-0000E5BB0000}"/>
    <cellStyle name="百分比 2 7 2 4 2" xfId="48102" xr:uid="{00000000-0005-0000-0000-0000E6BB0000}"/>
    <cellStyle name="百分比 2 7 2 4 3" xfId="48103" xr:uid="{00000000-0005-0000-0000-0000E7BB0000}"/>
    <cellStyle name="百分比 2 7 2 4 4" xfId="48104" xr:uid="{00000000-0005-0000-0000-0000E8BB0000}"/>
    <cellStyle name="百分比 2 7 2 5" xfId="48105" xr:uid="{00000000-0005-0000-0000-0000E9BB0000}"/>
    <cellStyle name="百分比 2 7 2 6" xfId="48106" xr:uid="{00000000-0005-0000-0000-0000EABB0000}"/>
    <cellStyle name="百分比 2 7 2 7" xfId="48107" xr:uid="{00000000-0005-0000-0000-0000EBBB0000}"/>
    <cellStyle name="百分比 2 7 2 8" xfId="48108" xr:uid="{00000000-0005-0000-0000-0000ECBB0000}"/>
    <cellStyle name="百分比 2 7 3" xfId="48109" xr:uid="{00000000-0005-0000-0000-0000EDBB0000}"/>
    <cellStyle name="百分比 2 7 3 2" xfId="48110" xr:uid="{00000000-0005-0000-0000-0000EEBB0000}"/>
    <cellStyle name="百分比 2 7 3 2 2" xfId="48111" xr:uid="{00000000-0005-0000-0000-0000EFBB0000}"/>
    <cellStyle name="百分比 2 7 3 2 3" xfId="48112" xr:uid="{00000000-0005-0000-0000-0000F0BB0000}"/>
    <cellStyle name="百分比 2 7 3 2 4" xfId="48113" xr:uid="{00000000-0005-0000-0000-0000F1BB0000}"/>
    <cellStyle name="百分比 2 7 3 3" xfId="48114" xr:uid="{00000000-0005-0000-0000-0000F2BB0000}"/>
    <cellStyle name="百分比 2 7 3 4" xfId="48115" xr:uid="{00000000-0005-0000-0000-0000F3BB0000}"/>
    <cellStyle name="百分比 2 7 3 5" xfId="48116" xr:uid="{00000000-0005-0000-0000-0000F4BB0000}"/>
    <cellStyle name="百分比 2 7 4" xfId="48117" xr:uid="{00000000-0005-0000-0000-0000F5BB0000}"/>
    <cellStyle name="百分比 2 7 4 2" xfId="48118" xr:uid="{00000000-0005-0000-0000-0000F6BB0000}"/>
    <cellStyle name="百分比 2 7 4 2 2" xfId="48119" xr:uid="{00000000-0005-0000-0000-0000F7BB0000}"/>
    <cellStyle name="百分比 2 7 4 2 3" xfId="48120" xr:uid="{00000000-0005-0000-0000-0000F8BB0000}"/>
    <cellStyle name="百分比 2 7 4 2 4" xfId="48121" xr:uid="{00000000-0005-0000-0000-0000F9BB0000}"/>
    <cellStyle name="百分比 2 7 4 3" xfId="48122" xr:uid="{00000000-0005-0000-0000-0000FABB0000}"/>
    <cellStyle name="百分比 2 7 4 4" xfId="48123" xr:uid="{00000000-0005-0000-0000-0000FBBB0000}"/>
    <cellStyle name="百分比 2 7 4 5" xfId="48124" xr:uid="{00000000-0005-0000-0000-0000FCBB0000}"/>
    <cellStyle name="百分比 2 7 5" xfId="48125" xr:uid="{00000000-0005-0000-0000-0000FDBB0000}"/>
    <cellStyle name="百分比 2 7 5 2" xfId="48126" xr:uid="{00000000-0005-0000-0000-0000FEBB0000}"/>
    <cellStyle name="百分比 2 7 5 3" xfId="48127" xr:uid="{00000000-0005-0000-0000-0000FFBB0000}"/>
    <cellStyle name="百分比 2 7 5 4" xfId="48128" xr:uid="{00000000-0005-0000-0000-000000BC0000}"/>
    <cellStyle name="百分比 2 7 6" xfId="48129" xr:uid="{00000000-0005-0000-0000-000001BC0000}"/>
    <cellStyle name="百分比 2 7 7" xfId="48130" xr:uid="{00000000-0005-0000-0000-000002BC0000}"/>
    <cellStyle name="百分比 2 7 8" xfId="48131" xr:uid="{00000000-0005-0000-0000-000003BC0000}"/>
    <cellStyle name="百分比 2 7 9" xfId="48132" xr:uid="{00000000-0005-0000-0000-000004BC0000}"/>
    <cellStyle name="百分比 2 8" xfId="48133" xr:uid="{00000000-0005-0000-0000-000005BC0000}"/>
    <cellStyle name="百分比 2 8 2" xfId="48134" xr:uid="{00000000-0005-0000-0000-000006BC0000}"/>
    <cellStyle name="百分比 2 8 2 2" xfId="48135" xr:uid="{00000000-0005-0000-0000-000007BC0000}"/>
    <cellStyle name="百分比 2 8 2 3" xfId="48136" xr:uid="{00000000-0005-0000-0000-000008BC0000}"/>
    <cellStyle name="百分比 2 8 2 4" xfId="48137" xr:uid="{00000000-0005-0000-0000-000009BC0000}"/>
    <cellStyle name="百分比 2 8 2 5" xfId="48138" xr:uid="{00000000-0005-0000-0000-00000ABC0000}"/>
    <cellStyle name="百分比 2 8 3" xfId="48139" xr:uid="{00000000-0005-0000-0000-00000BBC0000}"/>
    <cellStyle name="百分比 2 8 4" xfId="48140" xr:uid="{00000000-0005-0000-0000-00000CBC0000}"/>
    <cellStyle name="百分比 2 8 5" xfId="48141" xr:uid="{00000000-0005-0000-0000-00000DBC0000}"/>
    <cellStyle name="百分比 2 8 6" xfId="48142" xr:uid="{00000000-0005-0000-0000-00000EBC0000}"/>
    <cellStyle name="百分比 2 9" xfId="48143" xr:uid="{00000000-0005-0000-0000-00000FBC0000}"/>
    <cellStyle name="百分比 2 9 2" xfId="48144" xr:uid="{00000000-0005-0000-0000-000010BC0000}"/>
    <cellStyle name="百分比 2 9 2 2" xfId="48145" xr:uid="{00000000-0005-0000-0000-000011BC0000}"/>
    <cellStyle name="百分比 2 9 2 3" xfId="48146" xr:uid="{00000000-0005-0000-0000-000012BC0000}"/>
    <cellStyle name="百分比 2 9 2 4" xfId="48147" xr:uid="{00000000-0005-0000-0000-000013BC0000}"/>
    <cellStyle name="百分比 2 9 3" xfId="48148" xr:uid="{00000000-0005-0000-0000-000014BC0000}"/>
    <cellStyle name="百分比 2 9 4" xfId="48149" xr:uid="{00000000-0005-0000-0000-000015BC0000}"/>
    <cellStyle name="百分比 2 9 5" xfId="48150" xr:uid="{00000000-0005-0000-0000-000016BC0000}"/>
    <cellStyle name="百分比 3" xfId="48151" xr:uid="{00000000-0005-0000-0000-000017BC0000}"/>
    <cellStyle name="百分比 3 10" xfId="48152" xr:uid="{00000000-0005-0000-0000-000018BC0000}"/>
    <cellStyle name="百分比 3 10 2" xfId="48153" xr:uid="{00000000-0005-0000-0000-000019BC0000}"/>
    <cellStyle name="百分比 3 10 3" xfId="48154" xr:uid="{00000000-0005-0000-0000-00001ABC0000}"/>
    <cellStyle name="百分比 3 10 4" xfId="48155" xr:uid="{00000000-0005-0000-0000-00001BBC0000}"/>
    <cellStyle name="百分比 3 11" xfId="48156" xr:uid="{00000000-0005-0000-0000-00001CBC0000}"/>
    <cellStyle name="百分比 3 12" xfId="48157" xr:uid="{00000000-0005-0000-0000-00001DBC0000}"/>
    <cellStyle name="百分比 3 13" xfId="48158" xr:uid="{00000000-0005-0000-0000-00001EBC0000}"/>
    <cellStyle name="百分比 3 14" xfId="48159" xr:uid="{00000000-0005-0000-0000-00001FBC0000}"/>
    <cellStyle name="百分比 3 15" xfId="48160" xr:uid="{00000000-0005-0000-0000-000020BC0000}"/>
    <cellStyle name="百分比 3 2" xfId="48161" xr:uid="{00000000-0005-0000-0000-000021BC0000}"/>
    <cellStyle name="百分比 3 2 2" xfId="48162" xr:uid="{00000000-0005-0000-0000-000022BC0000}"/>
    <cellStyle name="百分比 3 2 2 2" xfId="48163" xr:uid="{00000000-0005-0000-0000-000023BC0000}"/>
    <cellStyle name="百分比 3 2 2 2 2" xfId="48164" xr:uid="{00000000-0005-0000-0000-000024BC0000}"/>
    <cellStyle name="百分比 3 2 2 2 2 2" xfId="48165" xr:uid="{00000000-0005-0000-0000-000025BC0000}"/>
    <cellStyle name="百分比 3 2 2 2 2 2 2" xfId="48166" xr:uid="{00000000-0005-0000-0000-000026BC0000}"/>
    <cellStyle name="百分比 3 2 2 2 2 2 3" xfId="48167" xr:uid="{00000000-0005-0000-0000-000027BC0000}"/>
    <cellStyle name="百分比 3 2 2 2 2 2 4" xfId="48168" xr:uid="{00000000-0005-0000-0000-000028BC0000}"/>
    <cellStyle name="百分比 3 2 2 2 2 3" xfId="48169" xr:uid="{00000000-0005-0000-0000-000029BC0000}"/>
    <cellStyle name="百分比 3 2 2 2 2 4" xfId="48170" xr:uid="{00000000-0005-0000-0000-00002ABC0000}"/>
    <cellStyle name="百分比 3 2 2 2 2 5" xfId="48171" xr:uid="{00000000-0005-0000-0000-00002BBC0000}"/>
    <cellStyle name="百分比 3 2 2 2 3" xfId="48172" xr:uid="{00000000-0005-0000-0000-00002CBC0000}"/>
    <cellStyle name="百分比 3 2 2 2 3 2" xfId="48173" xr:uid="{00000000-0005-0000-0000-00002DBC0000}"/>
    <cellStyle name="百分比 3 2 2 2 3 2 2" xfId="48174" xr:uid="{00000000-0005-0000-0000-00002EBC0000}"/>
    <cellStyle name="百分比 3 2 2 2 3 2 3" xfId="48175" xr:uid="{00000000-0005-0000-0000-00002FBC0000}"/>
    <cellStyle name="百分比 3 2 2 2 3 2 4" xfId="48176" xr:uid="{00000000-0005-0000-0000-000030BC0000}"/>
    <cellStyle name="百分比 3 2 2 2 3 3" xfId="48177" xr:uid="{00000000-0005-0000-0000-000031BC0000}"/>
    <cellStyle name="百分比 3 2 2 2 3 4" xfId="48178" xr:uid="{00000000-0005-0000-0000-000032BC0000}"/>
    <cellStyle name="百分比 3 2 2 2 3 5" xfId="48179" xr:uid="{00000000-0005-0000-0000-000033BC0000}"/>
    <cellStyle name="百分比 3 2 2 2 4" xfId="48180" xr:uid="{00000000-0005-0000-0000-000034BC0000}"/>
    <cellStyle name="百分比 3 2 2 2 4 2" xfId="48181" xr:uid="{00000000-0005-0000-0000-000035BC0000}"/>
    <cellStyle name="百分比 3 2 2 2 4 3" xfId="48182" xr:uid="{00000000-0005-0000-0000-000036BC0000}"/>
    <cellStyle name="百分比 3 2 2 2 4 4" xfId="48183" xr:uid="{00000000-0005-0000-0000-000037BC0000}"/>
    <cellStyle name="百分比 3 2 2 2 5" xfId="48184" xr:uid="{00000000-0005-0000-0000-000038BC0000}"/>
    <cellStyle name="百分比 3 2 2 2 6" xfId="48185" xr:uid="{00000000-0005-0000-0000-000039BC0000}"/>
    <cellStyle name="百分比 3 2 2 2 7" xfId="48186" xr:uid="{00000000-0005-0000-0000-00003ABC0000}"/>
    <cellStyle name="百分比 3 2 2 3" xfId="48187" xr:uid="{00000000-0005-0000-0000-00003BBC0000}"/>
    <cellStyle name="百分比 3 2 2 3 2" xfId="48188" xr:uid="{00000000-0005-0000-0000-00003CBC0000}"/>
    <cellStyle name="百分比 3 2 2 3 2 2" xfId="48189" xr:uid="{00000000-0005-0000-0000-00003DBC0000}"/>
    <cellStyle name="百分比 3 2 2 3 2 3" xfId="48190" xr:uid="{00000000-0005-0000-0000-00003EBC0000}"/>
    <cellStyle name="百分比 3 2 2 3 2 4" xfId="48191" xr:uid="{00000000-0005-0000-0000-00003FBC0000}"/>
    <cellStyle name="百分比 3 2 2 3 3" xfId="48192" xr:uid="{00000000-0005-0000-0000-000040BC0000}"/>
    <cellStyle name="百分比 3 2 2 3 4" xfId="48193" xr:uid="{00000000-0005-0000-0000-000041BC0000}"/>
    <cellStyle name="百分比 3 2 2 3 5" xfId="48194" xr:uid="{00000000-0005-0000-0000-000042BC0000}"/>
    <cellStyle name="百分比 3 2 2 4" xfId="48195" xr:uid="{00000000-0005-0000-0000-000043BC0000}"/>
    <cellStyle name="百分比 3 2 2 4 2" xfId="48196" xr:uid="{00000000-0005-0000-0000-000044BC0000}"/>
    <cellStyle name="百分比 3 2 2 4 2 2" xfId="48197" xr:uid="{00000000-0005-0000-0000-000045BC0000}"/>
    <cellStyle name="百分比 3 2 2 4 2 3" xfId="48198" xr:uid="{00000000-0005-0000-0000-000046BC0000}"/>
    <cellStyle name="百分比 3 2 2 4 2 4" xfId="48199" xr:uid="{00000000-0005-0000-0000-000047BC0000}"/>
    <cellStyle name="百分比 3 2 2 4 3" xfId="48200" xr:uid="{00000000-0005-0000-0000-000048BC0000}"/>
    <cellStyle name="百分比 3 2 2 4 4" xfId="48201" xr:uid="{00000000-0005-0000-0000-000049BC0000}"/>
    <cellStyle name="百分比 3 2 2 4 5" xfId="48202" xr:uid="{00000000-0005-0000-0000-00004ABC0000}"/>
    <cellStyle name="百分比 3 2 2 5" xfId="48203" xr:uid="{00000000-0005-0000-0000-00004BBC0000}"/>
    <cellStyle name="百分比 3 2 2 5 2" xfId="48204" xr:uid="{00000000-0005-0000-0000-00004CBC0000}"/>
    <cellStyle name="百分比 3 2 2 5 3" xfId="48205" xr:uid="{00000000-0005-0000-0000-00004DBC0000}"/>
    <cellStyle name="百分比 3 2 2 5 4" xfId="48206" xr:uid="{00000000-0005-0000-0000-00004EBC0000}"/>
    <cellStyle name="百分比 3 2 2 6" xfId="48207" xr:uid="{00000000-0005-0000-0000-00004FBC0000}"/>
    <cellStyle name="百分比 3 2 2 7" xfId="48208" xr:uid="{00000000-0005-0000-0000-000050BC0000}"/>
    <cellStyle name="百分比 3 2 2 8" xfId="48209" xr:uid="{00000000-0005-0000-0000-000051BC0000}"/>
    <cellStyle name="百分比 3 2 3" xfId="48210" xr:uid="{00000000-0005-0000-0000-000052BC0000}"/>
    <cellStyle name="百分比 3 2 3 2" xfId="48211" xr:uid="{00000000-0005-0000-0000-000053BC0000}"/>
    <cellStyle name="百分比 3 2 3 2 2" xfId="48212" xr:uid="{00000000-0005-0000-0000-000054BC0000}"/>
    <cellStyle name="百分比 3 2 3 2 3" xfId="48213" xr:uid="{00000000-0005-0000-0000-000055BC0000}"/>
    <cellStyle name="百分比 3 2 3 2 4" xfId="48214" xr:uid="{00000000-0005-0000-0000-000056BC0000}"/>
    <cellStyle name="百分比 3 2 3 3" xfId="48215" xr:uid="{00000000-0005-0000-0000-000057BC0000}"/>
    <cellStyle name="百分比 3 2 3 4" xfId="48216" xr:uid="{00000000-0005-0000-0000-000058BC0000}"/>
    <cellStyle name="百分比 3 2 3 5" xfId="48217" xr:uid="{00000000-0005-0000-0000-000059BC0000}"/>
    <cellStyle name="百分比 3 2 4" xfId="48218" xr:uid="{00000000-0005-0000-0000-00005ABC0000}"/>
    <cellStyle name="百分比 3 2 4 2" xfId="48219" xr:uid="{00000000-0005-0000-0000-00005BBC0000}"/>
    <cellStyle name="百分比 3 2 4 2 2" xfId="48220" xr:uid="{00000000-0005-0000-0000-00005CBC0000}"/>
    <cellStyle name="百分比 3 2 4 2 3" xfId="48221" xr:uid="{00000000-0005-0000-0000-00005DBC0000}"/>
    <cellStyle name="百分比 3 2 4 2 4" xfId="48222" xr:uid="{00000000-0005-0000-0000-00005EBC0000}"/>
    <cellStyle name="百分比 3 2 4 3" xfId="48223" xr:uid="{00000000-0005-0000-0000-00005FBC0000}"/>
    <cellStyle name="百分比 3 2 4 4" xfId="48224" xr:uid="{00000000-0005-0000-0000-000060BC0000}"/>
    <cellStyle name="百分比 3 2 4 5" xfId="48225" xr:uid="{00000000-0005-0000-0000-000061BC0000}"/>
    <cellStyle name="百分比 3 2 5" xfId="48226" xr:uid="{00000000-0005-0000-0000-000062BC0000}"/>
    <cellStyle name="百分比 3 2 5 2" xfId="48227" xr:uid="{00000000-0005-0000-0000-000063BC0000}"/>
    <cellStyle name="百分比 3 2 5 3" xfId="48228" xr:uid="{00000000-0005-0000-0000-000064BC0000}"/>
    <cellStyle name="百分比 3 2 5 4" xfId="48229" xr:uid="{00000000-0005-0000-0000-000065BC0000}"/>
    <cellStyle name="百分比 3 2 6" xfId="48230" xr:uid="{00000000-0005-0000-0000-000066BC0000}"/>
    <cellStyle name="百分比 3 2 7" xfId="48231" xr:uid="{00000000-0005-0000-0000-000067BC0000}"/>
    <cellStyle name="百分比 3 2 8" xfId="48232" xr:uid="{00000000-0005-0000-0000-000068BC0000}"/>
    <cellStyle name="百分比 3 3" xfId="48233" xr:uid="{00000000-0005-0000-0000-000069BC0000}"/>
    <cellStyle name="百分比 3 3 2" xfId="48234" xr:uid="{00000000-0005-0000-0000-00006ABC0000}"/>
    <cellStyle name="百分比 3 3 2 2" xfId="48235" xr:uid="{00000000-0005-0000-0000-00006BBC0000}"/>
    <cellStyle name="百分比 3 3 2 2 2" xfId="48236" xr:uid="{00000000-0005-0000-0000-00006CBC0000}"/>
    <cellStyle name="百分比 3 3 2 2 2 2" xfId="48237" xr:uid="{00000000-0005-0000-0000-00006DBC0000}"/>
    <cellStyle name="百分比 3 3 2 2 2 2 2" xfId="48238" xr:uid="{00000000-0005-0000-0000-00006EBC0000}"/>
    <cellStyle name="百分比 3 3 2 2 2 2 3" xfId="48239" xr:uid="{00000000-0005-0000-0000-00006FBC0000}"/>
    <cellStyle name="百分比 3 3 2 2 2 2 4" xfId="48240" xr:uid="{00000000-0005-0000-0000-000070BC0000}"/>
    <cellStyle name="百分比 3 3 2 2 2 3" xfId="48241" xr:uid="{00000000-0005-0000-0000-000071BC0000}"/>
    <cellStyle name="百分比 3 3 2 2 2 4" xfId="48242" xr:uid="{00000000-0005-0000-0000-000072BC0000}"/>
    <cellStyle name="百分比 3 3 2 2 2 5" xfId="48243" xr:uid="{00000000-0005-0000-0000-000073BC0000}"/>
    <cellStyle name="百分比 3 3 2 2 3" xfId="48244" xr:uid="{00000000-0005-0000-0000-000074BC0000}"/>
    <cellStyle name="百分比 3 3 2 2 3 2" xfId="48245" xr:uid="{00000000-0005-0000-0000-000075BC0000}"/>
    <cellStyle name="百分比 3 3 2 2 3 2 2" xfId="48246" xr:uid="{00000000-0005-0000-0000-000076BC0000}"/>
    <cellStyle name="百分比 3 3 2 2 3 2 3" xfId="48247" xr:uid="{00000000-0005-0000-0000-000077BC0000}"/>
    <cellStyle name="百分比 3 3 2 2 3 2 4" xfId="48248" xr:uid="{00000000-0005-0000-0000-000078BC0000}"/>
    <cellStyle name="百分比 3 3 2 2 3 3" xfId="48249" xr:uid="{00000000-0005-0000-0000-000079BC0000}"/>
    <cellStyle name="百分比 3 3 2 2 3 4" xfId="48250" xr:uid="{00000000-0005-0000-0000-00007ABC0000}"/>
    <cellStyle name="百分比 3 3 2 2 3 5" xfId="48251" xr:uid="{00000000-0005-0000-0000-00007BBC0000}"/>
    <cellStyle name="百分比 3 3 2 2 4" xfId="48252" xr:uid="{00000000-0005-0000-0000-00007CBC0000}"/>
    <cellStyle name="百分比 3 3 2 2 4 2" xfId="48253" xr:uid="{00000000-0005-0000-0000-00007DBC0000}"/>
    <cellStyle name="百分比 3 3 2 2 4 3" xfId="48254" xr:uid="{00000000-0005-0000-0000-00007EBC0000}"/>
    <cellStyle name="百分比 3 3 2 2 4 4" xfId="48255" xr:uid="{00000000-0005-0000-0000-00007FBC0000}"/>
    <cellStyle name="百分比 3 3 2 2 5" xfId="48256" xr:uid="{00000000-0005-0000-0000-000080BC0000}"/>
    <cellStyle name="百分比 3 3 2 2 6" xfId="48257" xr:uid="{00000000-0005-0000-0000-000081BC0000}"/>
    <cellStyle name="百分比 3 3 2 2 7" xfId="48258" xr:uid="{00000000-0005-0000-0000-000082BC0000}"/>
    <cellStyle name="百分比 3 3 2 3" xfId="48259" xr:uid="{00000000-0005-0000-0000-000083BC0000}"/>
    <cellStyle name="百分比 3 3 2 3 2" xfId="48260" xr:uid="{00000000-0005-0000-0000-000084BC0000}"/>
    <cellStyle name="百分比 3 3 2 3 2 2" xfId="48261" xr:uid="{00000000-0005-0000-0000-000085BC0000}"/>
    <cellStyle name="百分比 3 3 2 3 2 3" xfId="48262" xr:uid="{00000000-0005-0000-0000-000086BC0000}"/>
    <cellStyle name="百分比 3 3 2 3 2 4" xfId="48263" xr:uid="{00000000-0005-0000-0000-000087BC0000}"/>
    <cellStyle name="百分比 3 3 2 3 3" xfId="48264" xr:uid="{00000000-0005-0000-0000-000088BC0000}"/>
    <cellStyle name="百分比 3 3 2 3 4" xfId="48265" xr:uid="{00000000-0005-0000-0000-000089BC0000}"/>
    <cellStyle name="百分比 3 3 2 3 5" xfId="48266" xr:uid="{00000000-0005-0000-0000-00008ABC0000}"/>
    <cellStyle name="百分比 3 3 2 4" xfId="48267" xr:uid="{00000000-0005-0000-0000-00008BBC0000}"/>
    <cellStyle name="百分比 3 3 2 4 2" xfId="48268" xr:uid="{00000000-0005-0000-0000-00008CBC0000}"/>
    <cellStyle name="百分比 3 3 2 4 2 2" xfId="48269" xr:uid="{00000000-0005-0000-0000-00008DBC0000}"/>
    <cellStyle name="百分比 3 3 2 4 2 3" xfId="48270" xr:uid="{00000000-0005-0000-0000-00008EBC0000}"/>
    <cellStyle name="百分比 3 3 2 4 2 4" xfId="48271" xr:uid="{00000000-0005-0000-0000-00008FBC0000}"/>
    <cellStyle name="百分比 3 3 2 4 3" xfId="48272" xr:uid="{00000000-0005-0000-0000-000090BC0000}"/>
    <cellStyle name="百分比 3 3 2 4 4" xfId="48273" xr:uid="{00000000-0005-0000-0000-000091BC0000}"/>
    <cellStyle name="百分比 3 3 2 4 5" xfId="48274" xr:uid="{00000000-0005-0000-0000-000092BC0000}"/>
    <cellStyle name="百分比 3 3 2 5" xfId="48275" xr:uid="{00000000-0005-0000-0000-000093BC0000}"/>
    <cellStyle name="百分比 3 3 2 5 2" xfId="48276" xr:uid="{00000000-0005-0000-0000-000094BC0000}"/>
    <cellStyle name="百分比 3 3 2 5 3" xfId="48277" xr:uid="{00000000-0005-0000-0000-000095BC0000}"/>
    <cellStyle name="百分比 3 3 2 5 4" xfId="48278" xr:uid="{00000000-0005-0000-0000-000096BC0000}"/>
    <cellStyle name="百分比 3 3 2 6" xfId="48279" xr:uid="{00000000-0005-0000-0000-000097BC0000}"/>
    <cellStyle name="百分比 3 3 2 7" xfId="48280" xr:uid="{00000000-0005-0000-0000-000098BC0000}"/>
    <cellStyle name="百分比 3 3 2 8" xfId="48281" xr:uid="{00000000-0005-0000-0000-000099BC0000}"/>
    <cellStyle name="百分比 3 3 3" xfId="48282" xr:uid="{00000000-0005-0000-0000-00009ABC0000}"/>
    <cellStyle name="百分比 3 3 3 2" xfId="48283" xr:uid="{00000000-0005-0000-0000-00009BBC0000}"/>
    <cellStyle name="百分比 3 3 3 2 2" xfId="48284" xr:uid="{00000000-0005-0000-0000-00009CBC0000}"/>
    <cellStyle name="百分比 3 3 3 2 3" xfId="48285" xr:uid="{00000000-0005-0000-0000-00009DBC0000}"/>
    <cellStyle name="百分比 3 3 3 2 4" xfId="48286" xr:uid="{00000000-0005-0000-0000-00009EBC0000}"/>
    <cellStyle name="百分比 3 3 3 3" xfId="48287" xr:uid="{00000000-0005-0000-0000-00009FBC0000}"/>
    <cellStyle name="百分比 3 3 3 4" xfId="48288" xr:uid="{00000000-0005-0000-0000-0000A0BC0000}"/>
    <cellStyle name="百分比 3 3 3 5" xfId="48289" xr:uid="{00000000-0005-0000-0000-0000A1BC0000}"/>
    <cellStyle name="百分比 3 3 4" xfId="48290" xr:uid="{00000000-0005-0000-0000-0000A2BC0000}"/>
    <cellStyle name="百分比 3 3 4 2" xfId="48291" xr:uid="{00000000-0005-0000-0000-0000A3BC0000}"/>
    <cellStyle name="百分比 3 3 4 2 2" xfId="48292" xr:uid="{00000000-0005-0000-0000-0000A4BC0000}"/>
    <cellStyle name="百分比 3 3 4 2 3" xfId="48293" xr:uid="{00000000-0005-0000-0000-0000A5BC0000}"/>
    <cellStyle name="百分比 3 3 4 2 4" xfId="48294" xr:uid="{00000000-0005-0000-0000-0000A6BC0000}"/>
    <cellStyle name="百分比 3 3 4 3" xfId="48295" xr:uid="{00000000-0005-0000-0000-0000A7BC0000}"/>
    <cellStyle name="百分比 3 3 4 4" xfId="48296" xr:uid="{00000000-0005-0000-0000-0000A8BC0000}"/>
    <cellStyle name="百分比 3 3 4 5" xfId="48297" xr:uid="{00000000-0005-0000-0000-0000A9BC0000}"/>
    <cellStyle name="百分比 3 3 5" xfId="48298" xr:uid="{00000000-0005-0000-0000-0000AABC0000}"/>
    <cellStyle name="百分比 3 3 5 2" xfId="48299" xr:uid="{00000000-0005-0000-0000-0000ABBC0000}"/>
    <cellStyle name="百分比 3 3 5 3" xfId="48300" xr:uid="{00000000-0005-0000-0000-0000ACBC0000}"/>
    <cellStyle name="百分比 3 3 5 4" xfId="48301" xr:uid="{00000000-0005-0000-0000-0000ADBC0000}"/>
    <cellStyle name="百分比 3 3 6" xfId="48302" xr:uid="{00000000-0005-0000-0000-0000AEBC0000}"/>
    <cellStyle name="百分比 3 3 7" xfId="48303" xr:uid="{00000000-0005-0000-0000-0000AFBC0000}"/>
    <cellStyle name="百分比 3 3 8" xfId="48304" xr:uid="{00000000-0005-0000-0000-0000B0BC0000}"/>
    <cellStyle name="百分比 3 4" xfId="48305" xr:uid="{00000000-0005-0000-0000-0000B1BC0000}"/>
    <cellStyle name="百分比 3 4 2" xfId="48306" xr:uid="{00000000-0005-0000-0000-0000B2BC0000}"/>
    <cellStyle name="百分比 3 4 2 2" xfId="48307" xr:uid="{00000000-0005-0000-0000-0000B3BC0000}"/>
    <cellStyle name="百分比 3 4 2 2 2" xfId="48308" xr:uid="{00000000-0005-0000-0000-0000B4BC0000}"/>
    <cellStyle name="百分比 3 4 2 2 2 2" xfId="48309" xr:uid="{00000000-0005-0000-0000-0000B5BC0000}"/>
    <cellStyle name="百分比 3 4 2 2 2 2 2" xfId="48310" xr:uid="{00000000-0005-0000-0000-0000B6BC0000}"/>
    <cellStyle name="百分比 3 4 2 2 2 2 3" xfId="48311" xr:uid="{00000000-0005-0000-0000-0000B7BC0000}"/>
    <cellStyle name="百分比 3 4 2 2 2 2 4" xfId="48312" xr:uid="{00000000-0005-0000-0000-0000B8BC0000}"/>
    <cellStyle name="百分比 3 4 2 2 2 3" xfId="48313" xr:uid="{00000000-0005-0000-0000-0000B9BC0000}"/>
    <cellStyle name="百分比 3 4 2 2 2 4" xfId="48314" xr:uid="{00000000-0005-0000-0000-0000BABC0000}"/>
    <cellStyle name="百分比 3 4 2 2 2 5" xfId="48315" xr:uid="{00000000-0005-0000-0000-0000BBBC0000}"/>
    <cellStyle name="百分比 3 4 2 2 3" xfId="48316" xr:uid="{00000000-0005-0000-0000-0000BCBC0000}"/>
    <cellStyle name="百分比 3 4 2 2 3 2" xfId="48317" xr:uid="{00000000-0005-0000-0000-0000BDBC0000}"/>
    <cellStyle name="百分比 3 4 2 2 3 2 2" xfId="48318" xr:uid="{00000000-0005-0000-0000-0000BEBC0000}"/>
    <cellStyle name="百分比 3 4 2 2 3 2 3" xfId="48319" xr:uid="{00000000-0005-0000-0000-0000BFBC0000}"/>
    <cellStyle name="百分比 3 4 2 2 3 2 4" xfId="48320" xr:uid="{00000000-0005-0000-0000-0000C0BC0000}"/>
    <cellStyle name="百分比 3 4 2 2 3 3" xfId="48321" xr:uid="{00000000-0005-0000-0000-0000C1BC0000}"/>
    <cellStyle name="百分比 3 4 2 2 3 4" xfId="48322" xr:uid="{00000000-0005-0000-0000-0000C2BC0000}"/>
    <cellStyle name="百分比 3 4 2 2 3 5" xfId="48323" xr:uid="{00000000-0005-0000-0000-0000C3BC0000}"/>
    <cellStyle name="百分比 3 4 2 2 4" xfId="48324" xr:uid="{00000000-0005-0000-0000-0000C4BC0000}"/>
    <cellStyle name="百分比 3 4 2 2 4 2" xfId="48325" xr:uid="{00000000-0005-0000-0000-0000C5BC0000}"/>
    <cellStyle name="百分比 3 4 2 2 4 3" xfId="48326" xr:uid="{00000000-0005-0000-0000-0000C6BC0000}"/>
    <cellStyle name="百分比 3 4 2 2 4 4" xfId="48327" xr:uid="{00000000-0005-0000-0000-0000C7BC0000}"/>
    <cellStyle name="百分比 3 4 2 2 5" xfId="48328" xr:uid="{00000000-0005-0000-0000-0000C8BC0000}"/>
    <cellStyle name="百分比 3 4 2 2 6" xfId="48329" xr:uid="{00000000-0005-0000-0000-0000C9BC0000}"/>
    <cellStyle name="百分比 3 4 2 2 7" xfId="48330" xr:uid="{00000000-0005-0000-0000-0000CABC0000}"/>
    <cellStyle name="百分比 3 4 2 3" xfId="48331" xr:uid="{00000000-0005-0000-0000-0000CBBC0000}"/>
    <cellStyle name="百分比 3 4 2 3 2" xfId="48332" xr:uid="{00000000-0005-0000-0000-0000CCBC0000}"/>
    <cellStyle name="百分比 3 4 2 3 2 2" xfId="48333" xr:uid="{00000000-0005-0000-0000-0000CDBC0000}"/>
    <cellStyle name="百分比 3 4 2 3 2 3" xfId="48334" xr:uid="{00000000-0005-0000-0000-0000CEBC0000}"/>
    <cellStyle name="百分比 3 4 2 3 2 4" xfId="48335" xr:uid="{00000000-0005-0000-0000-0000CFBC0000}"/>
    <cellStyle name="百分比 3 4 2 3 3" xfId="48336" xr:uid="{00000000-0005-0000-0000-0000D0BC0000}"/>
    <cellStyle name="百分比 3 4 2 3 4" xfId="48337" xr:uid="{00000000-0005-0000-0000-0000D1BC0000}"/>
    <cellStyle name="百分比 3 4 2 3 5" xfId="48338" xr:uid="{00000000-0005-0000-0000-0000D2BC0000}"/>
    <cellStyle name="百分比 3 4 2 4" xfId="48339" xr:uid="{00000000-0005-0000-0000-0000D3BC0000}"/>
    <cellStyle name="百分比 3 4 2 4 2" xfId="48340" xr:uid="{00000000-0005-0000-0000-0000D4BC0000}"/>
    <cellStyle name="百分比 3 4 2 4 2 2" xfId="48341" xr:uid="{00000000-0005-0000-0000-0000D5BC0000}"/>
    <cellStyle name="百分比 3 4 2 4 2 3" xfId="48342" xr:uid="{00000000-0005-0000-0000-0000D6BC0000}"/>
    <cellStyle name="百分比 3 4 2 4 2 4" xfId="48343" xr:uid="{00000000-0005-0000-0000-0000D7BC0000}"/>
    <cellStyle name="百分比 3 4 2 4 3" xfId="48344" xr:uid="{00000000-0005-0000-0000-0000D8BC0000}"/>
    <cellStyle name="百分比 3 4 2 4 4" xfId="48345" xr:uid="{00000000-0005-0000-0000-0000D9BC0000}"/>
    <cellStyle name="百分比 3 4 2 4 5" xfId="48346" xr:uid="{00000000-0005-0000-0000-0000DABC0000}"/>
    <cellStyle name="百分比 3 4 2 5" xfId="48347" xr:uid="{00000000-0005-0000-0000-0000DBBC0000}"/>
    <cellStyle name="百分比 3 4 2 5 2" xfId="48348" xr:uid="{00000000-0005-0000-0000-0000DCBC0000}"/>
    <cellStyle name="百分比 3 4 2 5 3" xfId="48349" xr:uid="{00000000-0005-0000-0000-0000DDBC0000}"/>
    <cellStyle name="百分比 3 4 2 5 4" xfId="48350" xr:uid="{00000000-0005-0000-0000-0000DEBC0000}"/>
    <cellStyle name="百分比 3 4 2 6" xfId="48351" xr:uid="{00000000-0005-0000-0000-0000DFBC0000}"/>
    <cellStyle name="百分比 3 4 2 7" xfId="48352" xr:uid="{00000000-0005-0000-0000-0000E0BC0000}"/>
    <cellStyle name="百分比 3 4 2 8" xfId="48353" xr:uid="{00000000-0005-0000-0000-0000E1BC0000}"/>
    <cellStyle name="百分比 3 4 3" xfId="48354" xr:uid="{00000000-0005-0000-0000-0000E2BC0000}"/>
    <cellStyle name="百分比 3 4 3 2" xfId="48355" xr:uid="{00000000-0005-0000-0000-0000E3BC0000}"/>
    <cellStyle name="百分比 3 4 3 2 2" xfId="48356" xr:uid="{00000000-0005-0000-0000-0000E4BC0000}"/>
    <cellStyle name="百分比 3 4 3 2 3" xfId="48357" xr:uid="{00000000-0005-0000-0000-0000E5BC0000}"/>
    <cellStyle name="百分比 3 4 3 2 4" xfId="48358" xr:uid="{00000000-0005-0000-0000-0000E6BC0000}"/>
    <cellStyle name="百分比 3 4 3 3" xfId="48359" xr:uid="{00000000-0005-0000-0000-0000E7BC0000}"/>
    <cellStyle name="百分比 3 4 3 4" xfId="48360" xr:uid="{00000000-0005-0000-0000-0000E8BC0000}"/>
    <cellStyle name="百分比 3 4 3 5" xfId="48361" xr:uid="{00000000-0005-0000-0000-0000E9BC0000}"/>
    <cellStyle name="百分比 3 4 4" xfId="48362" xr:uid="{00000000-0005-0000-0000-0000EABC0000}"/>
    <cellStyle name="百分比 3 4 4 2" xfId="48363" xr:uid="{00000000-0005-0000-0000-0000EBBC0000}"/>
    <cellStyle name="百分比 3 4 4 2 2" xfId="48364" xr:uid="{00000000-0005-0000-0000-0000ECBC0000}"/>
    <cellStyle name="百分比 3 4 4 2 3" xfId="48365" xr:uid="{00000000-0005-0000-0000-0000EDBC0000}"/>
    <cellStyle name="百分比 3 4 4 2 4" xfId="48366" xr:uid="{00000000-0005-0000-0000-0000EEBC0000}"/>
    <cellStyle name="百分比 3 4 4 3" xfId="48367" xr:uid="{00000000-0005-0000-0000-0000EFBC0000}"/>
    <cellStyle name="百分比 3 4 4 4" xfId="48368" xr:uid="{00000000-0005-0000-0000-0000F0BC0000}"/>
    <cellStyle name="百分比 3 4 4 5" xfId="48369" xr:uid="{00000000-0005-0000-0000-0000F1BC0000}"/>
    <cellStyle name="百分比 3 4 5" xfId="48370" xr:uid="{00000000-0005-0000-0000-0000F2BC0000}"/>
    <cellStyle name="百分比 3 4 5 2" xfId="48371" xr:uid="{00000000-0005-0000-0000-0000F3BC0000}"/>
    <cellStyle name="百分比 3 4 5 3" xfId="48372" xr:uid="{00000000-0005-0000-0000-0000F4BC0000}"/>
    <cellStyle name="百分比 3 4 5 4" xfId="48373" xr:uid="{00000000-0005-0000-0000-0000F5BC0000}"/>
    <cellStyle name="百分比 3 4 6" xfId="48374" xr:uid="{00000000-0005-0000-0000-0000F6BC0000}"/>
    <cellStyle name="百分比 3 4 7" xfId="48375" xr:uid="{00000000-0005-0000-0000-0000F7BC0000}"/>
    <cellStyle name="百分比 3 4 8" xfId="48376" xr:uid="{00000000-0005-0000-0000-0000F8BC0000}"/>
    <cellStyle name="百分比 3 5" xfId="48377" xr:uid="{00000000-0005-0000-0000-0000F9BC0000}"/>
    <cellStyle name="百分比 3 5 2" xfId="48378" xr:uid="{00000000-0005-0000-0000-0000FABC0000}"/>
    <cellStyle name="百分比 3 5 2 2" xfId="48379" xr:uid="{00000000-0005-0000-0000-0000FBBC0000}"/>
    <cellStyle name="百分比 3 5 2 2 2" xfId="48380" xr:uid="{00000000-0005-0000-0000-0000FCBC0000}"/>
    <cellStyle name="百分比 3 5 2 2 2 2" xfId="48381" xr:uid="{00000000-0005-0000-0000-0000FDBC0000}"/>
    <cellStyle name="百分比 3 5 2 2 2 2 2" xfId="48382" xr:uid="{00000000-0005-0000-0000-0000FEBC0000}"/>
    <cellStyle name="百分比 3 5 2 2 2 2 3" xfId="48383" xr:uid="{00000000-0005-0000-0000-0000FFBC0000}"/>
    <cellStyle name="百分比 3 5 2 2 2 2 4" xfId="48384" xr:uid="{00000000-0005-0000-0000-000000BD0000}"/>
    <cellStyle name="百分比 3 5 2 2 2 3" xfId="48385" xr:uid="{00000000-0005-0000-0000-000001BD0000}"/>
    <cellStyle name="百分比 3 5 2 2 2 4" xfId="48386" xr:uid="{00000000-0005-0000-0000-000002BD0000}"/>
    <cellStyle name="百分比 3 5 2 2 2 5" xfId="48387" xr:uid="{00000000-0005-0000-0000-000003BD0000}"/>
    <cellStyle name="百分比 3 5 2 2 3" xfId="48388" xr:uid="{00000000-0005-0000-0000-000004BD0000}"/>
    <cellStyle name="百分比 3 5 2 2 3 2" xfId="48389" xr:uid="{00000000-0005-0000-0000-000005BD0000}"/>
    <cellStyle name="百分比 3 5 2 2 3 2 2" xfId="48390" xr:uid="{00000000-0005-0000-0000-000006BD0000}"/>
    <cellStyle name="百分比 3 5 2 2 3 2 3" xfId="48391" xr:uid="{00000000-0005-0000-0000-000007BD0000}"/>
    <cellStyle name="百分比 3 5 2 2 3 2 4" xfId="48392" xr:uid="{00000000-0005-0000-0000-000008BD0000}"/>
    <cellStyle name="百分比 3 5 2 2 3 3" xfId="48393" xr:uid="{00000000-0005-0000-0000-000009BD0000}"/>
    <cellStyle name="百分比 3 5 2 2 3 4" xfId="48394" xr:uid="{00000000-0005-0000-0000-00000ABD0000}"/>
    <cellStyle name="百分比 3 5 2 2 3 5" xfId="48395" xr:uid="{00000000-0005-0000-0000-00000BBD0000}"/>
    <cellStyle name="百分比 3 5 2 2 4" xfId="48396" xr:uid="{00000000-0005-0000-0000-00000CBD0000}"/>
    <cellStyle name="百分比 3 5 2 2 4 2" xfId="48397" xr:uid="{00000000-0005-0000-0000-00000DBD0000}"/>
    <cellStyle name="百分比 3 5 2 2 4 3" xfId="48398" xr:uid="{00000000-0005-0000-0000-00000EBD0000}"/>
    <cellStyle name="百分比 3 5 2 2 4 4" xfId="48399" xr:uid="{00000000-0005-0000-0000-00000FBD0000}"/>
    <cellStyle name="百分比 3 5 2 2 5" xfId="48400" xr:uid="{00000000-0005-0000-0000-000010BD0000}"/>
    <cellStyle name="百分比 3 5 2 2 6" xfId="48401" xr:uid="{00000000-0005-0000-0000-000011BD0000}"/>
    <cellStyle name="百分比 3 5 2 2 7" xfId="48402" xr:uid="{00000000-0005-0000-0000-000012BD0000}"/>
    <cellStyle name="百分比 3 5 2 3" xfId="48403" xr:uid="{00000000-0005-0000-0000-000013BD0000}"/>
    <cellStyle name="百分比 3 5 2 3 2" xfId="48404" xr:uid="{00000000-0005-0000-0000-000014BD0000}"/>
    <cellStyle name="百分比 3 5 2 3 2 2" xfId="48405" xr:uid="{00000000-0005-0000-0000-000015BD0000}"/>
    <cellStyle name="百分比 3 5 2 3 2 3" xfId="48406" xr:uid="{00000000-0005-0000-0000-000016BD0000}"/>
    <cellStyle name="百分比 3 5 2 3 2 4" xfId="48407" xr:uid="{00000000-0005-0000-0000-000017BD0000}"/>
    <cellStyle name="百分比 3 5 2 3 3" xfId="48408" xr:uid="{00000000-0005-0000-0000-000018BD0000}"/>
    <cellStyle name="百分比 3 5 2 3 4" xfId="48409" xr:uid="{00000000-0005-0000-0000-000019BD0000}"/>
    <cellStyle name="百分比 3 5 2 3 5" xfId="48410" xr:uid="{00000000-0005-0000-0000-00001ABD0000}"/>
    <cellStyle name="百分比 3 5 2 4" xfId="48411" xr:uid="{00000000-0005-0000-0000-00001BBD0000}"/>
    <cellStyle name="百分比 3 5 2 4 2" xfId="48412" xr:uid="{00000000-0005-0000-0000-00001CBD0000}"/>
    <cellStyle name="百分比 3 5 2 4 2 2" xfId="48413" xr:uid="{00000000-0005-0000-0000-00001DBD0000}"/>
    <cellStyle name="百分比 3 5 2 4 2 3" xfId="48414" xr:uid="{00000000-0005-0000-0000-00001EBD0000}"/>
    <cellStyle name="百分比 3 5 2 4 2 4" xfId="48415" xr:uid="{00000000-0005-0000-0000-00001FBD0000}"/>
    <cellStyle name="百分比 3 5 2 4 3" xfId="48416" xr:uid="{00000000-0005-0000-0000-000020BD0000}"/>
    <cellStyle name="百分比 3 5 2 4 4" xfId="48417" xr:uid="{00000000-0005-0000-0000-000021BD0000}"/>
    <cellStyle name="百分比 3 5 2 4 5" xfId="48418" xr:uid="{00000000-0005-0000-0000-000022BD0000}"/>
    <cellStyle name="百分比 3 5 2 5" xfId="48419" xr:uid="{00000000-0005-0000-0000-000023BD0000}"/>
    <cellStyle name="百分比 3 5 2 5 2" xfId="48420" xr:uid="{00000000-0005-0000-0000-000024BD0000}"/>
    <cellStyle name="百分比 3 5 2 5 3" xfId="48421" xr:uid="{00000000-0005-0000-0000-000025BD0000}"/>
    <cellStyle name="百分比 3 5 2 5 4" xfId="48422" xr:uid="{00000000-0005-0000-0000-000026BD0000}"/>
    <cellStyle name="百分比 3 5 2 6" xfId="48423" xr:uid="{00000000-0005-0000-0000-000027BD0000}"/>
    <cellStyle name="百分比 3 5 2 7" xfId="48424" xr:uid="{00000000-0005-0000-0000-000028BD0000}"/>
    <cellStyle name="百分比 3 5 2 8" xfId="48425" xr:uid="{00000000-0005-0000-0000-000029BD0000}"/>
    <cellStyle name="百分比 3 5 3" xfId="48426" xr:uid="{00000000-0005-0000-0000-00002ABD0000}"/>
    <cellStyle name="百分比 3 5 3 2" xfId="48427" xr:uid="{00000000-0005-0000-0000-00002BBD0000}"/>
    <cellStyle name="百分比 3 5 3 2 2" xfId="48428" xr:uid="{00000000-0005-0000-0000-00002CBD0000}"/>
    <cellStyle name="百分比 3 5 3 2 3" xfId="48429" xr:uid="{00000000-0005-0000-0000-00002DBD0000}"/>
    <cellStyle name="百分比 3 5 3 2 4" xfId="48430" xr:uid="{00000000-0005-0000-0000-00002EBD0000}"/>
    <cellStyle name="百分比 3 5 3 3" xfId="48431" xr:uid="{00000000-0005-0000-0000-00002FBD0000}"/>
    <cellStyle name="百分比 3 5 3 4" xfId="48432" xr:uid="{00000000-0005-0000-0000-000030BD0000}"/>
    <cellStyle name="百分比 3 5 3 5" xfId="48433" xr:uid="{00000000-0005-0000-0000-000031BD0000}"/>
    <cellStyle name="百分比 3 5 4" xfId="48434" xr:uid="{00000000-0005-0000-0000-000032BD0000}"/>
    <cellStyle name="百分比 3 5 4 2" xfId="48435" xr:uid="{00000000-0005-0000-0000-000033BD0000}"/>
    <cellStyle name="百分比 3 5 4 2 2" xfId="48436" xr:uid="{00000000-0005-0000-0000-000034BD0000}"/>
    <cellStyle name="百分比 3 5 4 2 3" xfId="48437" xr:uid="{00000000-0005-0000-0000-000035BD0000}"/>
    <cellStyle name="百分比 3 5 4 2 4" xfId="48438" xr:uid="{00000000-0005-0000-0000-000036BD0000}"/>
    <cellStyle name="百分比 3 5 4 3" xfId="48439" xr:uid="{00000000-0005-0000-0000-000037BD0000}"/>
    <cellStyle name="百分比 3 5 4 4" xfId="48440" xr:uid="{00000000-0005-0000-0000-000038BD0000}"/>
    <cellStyle name="百分比 3 5 4 5" xfId="48441" xr:uid="{00000000-0005-0000-0000-000039BD0000}"/>
    <cellStyle name="百分比 3 5 5" xfId="48442" xr:uid="{00000000-0005-0000-0000-00003ABD0000}"/>
    <cellStyle name="百分比 3 5 5 2" xfId="48443" xr:uid="{00000000-0005-0000-0000-00003BBD0000}"/>
    <cellStyle name="百分比 3 5 5 3" xfId="48444" xr:uid="{00000000-0005-0000-0000-00003CBD0000}"/>
    <cellStyle name="百分比 3 5 5 4" xfId="48445" xr:uid="{00000000-0005-0000-0000-00003DBD0000}"/>
    <cellStyle name="百分比 3 5 6" xfId="48446" xr:uid="{00000000-0005-0000-0000-00003EBD0000}"/>
    <cellStyle name="百分比 3 5 7" xfId="48447" xr:uid="{00000000-0005-0000-0000-00003FBD0000}"/>
    <cellStyle name="百分比 3 5 8" xfId="48448" xr:uid="{00000000-0005-0000-0000-000040BD0000}"/>
    <cellStyle name="百分比 3 6" xfId="48449" xr:uid="{00000000-0005-0000-0000-000041BD0000}"/>
    <cellStyle name="百分比 3 6 2" xfId="48450" xr:uid="{00000000-0005-0000-0000-000042BD0000}"/>
    <cellStyle name="百分比 3 6 2 2" xfId="48451" xr:uid="{00000000-0005-0000-0000-000043BD0000}"/>
    <cellStyle name="百分比 3 6 2 2 2" xfId="48452" xr:uid="{00000000-0005-0000-0000-000044BD0000}"/>
    <cellStyle name="百分比 3 6 2 2 2 2" xfId="48453" xr:uid="{00000000-0005-0000-0000-000045BD0000}"/>
    <cellStyle name="百分比 3 6 2 2 2 2 2" xfId="48454" xr:uid="{00000000-0005-0000-0000-000046BD0000}"/>
    <cellStyle name="百分比 3 6 2 2 2 2 3" xfId="48455" xr:uid="{00000000-0005-0000-0000-000047BD0000}"/>
    <cellStyle name="百分比 3 6 2 2 2 2 4" xfId="48456" xr:uid="{00000000-0005-0000-0000-000048BD0000}"/>
    <cellStyle name="百分比 3 6 2 2 2 3" xfId="48457" xr:uid="{00000000-0005-0000-0000-000049BD0000}"/>
    <cellStyle name="百分比 3 6 2 2 2 4" xfId="48458" xr:uid="{00000000-0005-0000-0000-00004ABD0000}"/>
    <cellStyle name="百分比 3 6 2 2 2 5" xfId="48459" xr:uid="{00000000-0005-0000-0000-00004BBD0000}"/>
    <cellStyle name="百分比 3 6 2 2 3" xfId="48460" xr:uid="{00000000-0005-0000-0000-00004CBD0000}"/>
    <cellStyle name="百分比 3 6 2 2 3 2" xfId="48461" xr:uid="{00000000-0005-0000-0000-00004DBD0000}"/>
    <cellStyle name="百分比 3 6 2 2 3 2 2" xfId="48462" xr:uid="{00000000-0005-0000-0000-00004EBD0000}"/>
    <cellStyle name="百分比 3 6 2 2 3 2 3" xfId="48463" xr:uid="{00000000-0005-0000-0000-00004FBD0000}"/>
    <cellStyle name="百分比 3 6 2 2 3 2 4" xfId="48464" xr:uid="{00000000-0005-0000-0000-000050BD0000}"/>
    <cellStyle name="百分比 3 6 2 2 3 3" xfId="48465" xr:uid="{00000000-0005-0000-0000-000051BD0000}"/>
    <cellStyle name="百分比 3 6 2 2 3 4" xfId="48466" xr:uid="{00000000-0005-0000-0000-000052BD0000}"/>
    <cellStyle name="百分比 3 6 2 2 3 5" xfId="48467" xr:uid="{00000000-0005-0000-0000-000053BD0000}"/>
    <cellStyle name="百分比 3 6 2 2 4" xfId="48468" xr:uid="{00000000-0005-0000-0000-000054BD0000}"/>
    <cellStyle name="百分比 3 6 2 2 4 2" xfId="48469" xr:uid="{00000000-0005-0000-0000-000055BD0000}"/>
    <cellStyle name="百分比 3 6 2 2 4 3" xfId="48470" xr:uid="{00000000-0005-0000-0000-000056BD0000}"/>
    <cellStyle name="百分比 3 6 2 2 4 4" xfId="48471" xr:uid="{00000000-0005-0000-0000-000057BD0000}"/>
    <cellStyle name="百分比 3 6 2 2 5" xfId="48472" xr:uid="{00000000-0005-0000-0000-000058BD0000}"/>
    <cellStyle name="百分比 3 6 2 2 6" xfId="48473" xr:uid="{00000000-0005-0000-0000-000059BD0000}"/>
    <cellStyle name="百分比 3 6 2 2 7" xfId="48474" xr:uid="{00000000-0005-0000-0000-00005ABD0000}"/>
    <cellStyle name="百分比 3 6 2 3" xfId="48475" xr:uid="{00000000-0005-0000-0000-00005BBD0000}"/>
    <cellStyle name="百分比 3 6 2 3 2" xfId="48476" xr:uid="{00000000-0005-0000-0000-00005CBD0000}"/>
    <cellStyle name="百分比 3 6 2 3 2 2" xfId="48477" xr:uid="{00000000-0005-0000-0000-00005DBD0000}"/>
    <cellStyle name="百分比 3 6 2 3 2 3" xfId="48478" xr:uid="{00000000-0005-0000-0000-00005EBD0000}"/>
    <cellStyle name="百分比 3 6 2 3 2 4" xfId="48479" xr:uid="{00000000-0005-0000-0000-00005FBD0000}"/>
    <cellStyle name="百分比 3 6 2 3 3" xfId="48480" xr:uid="{00000000-0005-0000-0000-000060BD0000}"/>
    <cellStyle name="百分比 3 6 2 3 4" xfId="48481" xr:uid="{00000000-0005-0000-0000-000061BD0000}"/>
    <cellStyle name="百分比 3 6 2 3 5" xfId="48482" xr:uid="{00000000-0005-0000-0000-000062BD0000}"/>
    <cellStyle name="百分比 3 6 2 4" xfId="48483" xr:uid="{00000000-0005-0000-0000-000063BD0000}"/>
    <cellStyle name="百分比 3 6 2 4 2" xfId="48484" xr:uid="{00000000-0005-0000-0000-000064BD0000}"/>
    <cellStyle name="百分比 3 6 2 4 2 2" xfId="48485" xr:uid="{00000000-0005-0000-0000-000065BD0000}"/>
    <cellStyle name="百分比 3 6 2 4 2 3" xfId="48486" xr:uid="{00000000-0005-0000-0000-000066BD0000}"/>
    <cellStyle name="百分比 3 6 2 4 2 4" xfId="48487" xr:uid="{00000000-0005-0000-0000-000067BD0000}"/>
    <cellStyle name="百分比 3 6 2 4 3" xfId="48488" xr:uid="{00000000-0005-0000-0000-000068BD0000}"/>
    <cellStyle name="百分比 3 6 2 4 4" xfId="48489" xr:uid="{00000000-0005-0000-0000-000069BD0000}"/>
    <cellStyle name="百分比 3 6 2 4 5" xfId="48490" xr:uid="{00000000-0005-0000-0000-00006ABD0000}"/>
    <cellStyle name="百分比 3 6 2 5" xfId="48491" xr:uid="{00000000-0005-0000-0000-00006BBD0000}"/>
    <cellStyle name="百分比 3 6 2 5 2" xfId="48492" xr:uid="{00000000-0005-0000-0000-00006CBD0000}"/>
    <cellStyle name="百分比 3 6 2 5 3" xfId="48493" xr:uid="{00000000-0005-0000-0000-00006DBD0000}"/>
    <cellStyle name="百分比 3 6 2 5 4" xfId="48494" xr:uid="{00000000-0005-0000-0000-00006EBD0000}"/>
    <cellStyle name="百分比 3 6 2 6" xfId="48495" xr:uid="{00000000-0005-0000-0000-00006FBD0000}"/>
    <cellStyle name="百分比 3 6 2 7" xfId="48496" xr:uid="{00000000-0005-0000-0000-000070BD0000}"/>
    <cellStyle name="百分比 3 6 2 8" xfId="48497" xr:uid="{00000000-0005-0000-0000-000071BD0000}"/>
    <cellStyle name="百分比 3 6 3" xfId="48498" xr:uid="{00000000-0005-0000-0000-000072BD0000}"/>
    <cellStyle name="百分比 3 6 3 2" xfId="48499" xr:uid="{00000000-0005-0000-0000-000073BD0000}"/>
    <cellStyle name="百分比 3 6 3 2 2" xfId="48500" xr:uid="{00000000-0005-0000-0000-000074BD0000}"/>
    <cellStyle name="百分比 3 6 3 2 3" xfId="48501" xr:uid="{00000000-0005-0000-0000-000075BD0000}"/>
    <cellStyle name="百分比 3 6 3 2 4" xfId="48502" xr:uid="{00000000-0005-0000-0000-000076BD0000}"/>
    <cellStyle name="百分比 3 6 3 3" xfId="48503" xr:uid="{00000000-0005-0000-0000-000077BD0000}"/>
    <cellStyle name="百分比 3 6 3 4" xfId="48504" xr:uid="{00000000-0005-0000-0000-000078BD0000}"/>
    <cellStyle name="百分比 3 6 3 5" xfId="48505" xr:uid="{00000000-0005-0000-0000-000079BD0000}"/>
    <cellStyle name="百分比 3 6 4" xfId="48506" xr:uid="{00000000-0005-0000-0000-00007ABD0000}"/>
    <cellStyle name="百分比 3 6 4 2" xfId="48507" xr:uid="{00000000-0005-0000-0000-00007BBD0000}"/>
    <cellStyle name="百分比 3 6 4 2 2" xfId="48508" xr:uid="{00000000-0005-0000-0000-00007CBD0000}"/>
    <cellStyle name="百分比 3 6 4 2 3" xfId="48509" xr:uid="{00000000-0005-0000-0000-00007DBD0000}"/>
    <cellStyle name="百分比 3 6 4 2 4" xfId="48510" xr:uid="{00000000-0005-0000-0000-00007EBD0000}"/>
    <cellStyle name="百分比 3 6 4 3" xfId="48511" xr:uid="{00000000-0005-0000-0000-00007FBD0000}"/>
    <cellStyle name="百分比 3 6 4 4" xfId="48512" xr:uid="{00000000-0005-0000-0000-000080BD0000}"/>
    <cellStyle name="百分比 3 6 4 5" xfId="48513" xr:uid="{00000000-0005-0000-0000-000081BD0000}"/>
    <cellStyle name="百分比 3 6 5" xfId="48514" xr:uid="{00000000-0005-0000-0000-000082BD0000}"/>
    <cellStyle name="百分比 3 6 5 2" xfId="48515" xr:uid="{00000000-0005-0000-0000-000083BD0000}"/>
    <cellStyle name="百分比 3 6 5 3" xfId="48516" xr:uid="{00000000-0005-0000-0000-000084BD0000}"/>
    <cellStyle name="百分比 3 6 5 4" xfId="48517" xr:uid="{00000000-0005-0000-0000-000085BD0000}"/>
    <cellStyle name="百分比 3 6 6" xfId="48518" xr:uid="{00000000-0005-0000-0000-000086BD0000}"/>
    <cellStyle name="百分比 3 6 7" xfId="48519" xr:uid="{00000000-0005-0000-0000-000087BD0000}"/>
    <cellStyle name="百分比 3 6 8" xfId="48520" xr:uid="{00000000-0005-0000-0000-000088BD0000}"/>
    <cellStyle name="百分比 3 7" xfId="48521" xr:uid="{00000000-0005-0000-0000-000089BD0000}"/>
    <cellStyle name="百分比 3 7 2" xfId="48522" xr:uid="{00000000-0005-0000-0000-00008ABD0000}"/>
    <cellStyle name="百分比 3 7 2 2" xfId="48523" xr:uid="{00000000-0005-0000-0000-00008BBD0000}"/>
    <cellStyle name="百分比 3 7 2 2 2" xfId="48524" xr:uid="{00000000-0005-0000-0000-00008CBD0000}"/>
    <cellStyle name="百分比 3 7 2 2 2 2" xfId="48525" xr:uid="{00000000-0005-0000-0000-00008DBD0000}"/>
    <cellStyle name="百分比 3 7 2 2 2 3" xfId="48526" xr:uid="{00000000-0005-0000-0000-00008EBD0000}"/>
    <cellStyle name="百分比 3 7 2 2 2 4" xfId="48527" xr:uid="{00000000-0005-0000-0000-00008FBD0000}"/>
    <cellStyle name="百分比 3 7 2 2 3" xfId="48528" xr:uid="{00000000-0005-0000-0000-000090BD0000}"/>
    <cellStyle name="百分比 3 7 2 2 4" xfId="48529" xr:uid="{00000000-0005-0000-0000-000091BD0000}"/>
    <cellStyle name="百分比 3 7 2 2 5" xfId="48530" xr:uid="{00000000-0005-0000-0000-000092BD0000}"/>
    <cellStyle name="百分比 3 7 2 3" xfId="48531" xr:uid="{00000000-0005-0000-0000-000093BD0000}"/>
    <cellStyle name="百分比 3 7 2 3 2" xfId="48532" xr:uid="{00000000-0005-0000-0000-000094BD0000}"/>
    <cellStyle name="百分比 3 7 2 3 2 2" xfId="48533" xr:uid="{00000000-0005-0000-0000-000095BD0000}"/>
    <cellStyle name="百分比 3 7 2 3 2 3" xfId="48534" xr:uid="{00000000-0005-0000-0000-000096BD0000}"/>
    <cellStyle name="百分比 3 7 2 3 2 4" xfId="48535" xr:uid="{00000000-0005-0000-0000-000097BD0000}"/>
    <cellStyle name="百分比 3 7 2 3 3" xfId="48536" xr:uid="{00000000-0005-0000-0000-000098BD0000}"/>
    <cellStyle name="百分比 3 7 2 3 4" xfId="48537" xr:uid="{00000000-0005-0000-0000-000099BD0000}"/>
    <cellStyle name="百分比 3 7 2 3 5" xfId="48538" xr:uid="{00000000-0005-0000-0000-00009ABD0000}"/>
    <cellStyle name="百分比 3 7 2 4" xfId="48539" xr:uid="{00000000-0005-0000-0000-00009BBD0000}"/>
    <cellStyle name="百分比 3 7 2 4 2" xfId="48540" xr:uid="{00000000-0005-0000-0000-00009CBD0000}"/>
    <cellStyle name="百分比 3 7 2 4 3" xfId="48541" xr:uid="{00000000-0005-0000-0000-00009DBD0000}"/>
    <cellStyle name="百分比 3 7 2 4 4" xfId="48542" xr:uid="{00000000-0005-0000-0000-00009EBD0000}"/>
    <cellStyle name="百分比 3 7 2 5" xfId="48543" xr:uid="{00000000-0005-0000-0000-00009FBD0000}"/>
    <cellStyle name="百分比 3 7 2 6" xfId="48544" xr:uid="{00000000-0005-0000-0000-0000A0BD0000}"/>
    <cellStyle name="百分比 3 7 2 7" xfId="48545" xr:uid="{00000000-0005-0000-0000-0000A1BD0000}"/>
    <cellStyle name="百分比 3 7 3" xfId="48546" xr:uid="{00000000-0005-0000-0000-0000A2BD0000}"/>
    <cellStyle name="百分比 3 7 3 2" xfId="48547" xr:uid="{00000000-0005-0000-0000-0000A3BD0000}"/>
    <cellStyle name="百分比 3 7 3 2 2" xfId="48548" xr:uid="{00000000-0005-0000-0000-0000A4BD0000}"/>
    <cellStyle name="百分比 3 7 3 2 3" xfId="48549" xr:uid="{00000000-0005-0000-0000-0000A5BD0000}"/>
    <cellStyle name="百分比 3 7 3 2 4" xfId="48550" xr:uid="{00000000-0005-0000-0000-0000A6BD0000}"/>
    <cellStyle name="百分比 3 7 3 3" xfId="48551" xr:uid="{00000000-0005-0000-0000-0000A7BD0000}"/>
    <cellStyle name="百分比 3 7 3 4" xfId="48552" xr:uid="{00000000-0005-0000-0000-0000A8BD0000}"/>
    <cellStyle name="百分比 3 7 3 5" xfId="48553" xr:uid="{00000000-0005-0000-0000-0000A9BD0000}"/>
    <cellStyle name="百分比 3 7 4" xfId="48554" xr:uid="{00000000-0005-0000-0000-0000AABD0000}"/>
    <cellStyle name="百分比 3 7 4 2" xfId="48555" xr:uid="{00000000-0005-0000-0000-0000ABBD0000}"/>
    <cellStyle name="百分比 3 7 4 2 2" xfId="48556" xr:uid="{00000000-0005-0000-0000-0000ACBD0000}"/>
    <cellStyle name="百分比 3 7 4 2 3" xfId="48557" xr:uid="{00000000-0005-0000-0000-0000ADBD0000}"/>
    <cellStyle name="百分比 3 7 4 2 4" xfId="48558" xr:uid="{00000000-0005-0000-0000-0000AEBD0000}"/>
    <cellStyle name="百分比 3 7 4 3" xfId="48559" xr:uid="{00000000-0005-0000-0000-0000AFBD0000}"/>
    <cellStyle name="百分比 3 7 4 4" xfId="48560" xr:uid="{00000000-0005-0000-0000-0000B0BD0000}"/>
    <cellStyle name="百分比 3 7 4 5" xfId="48561" xr:uid="{00000000-0005-0000-0000-0000B1BD0000}"/>
    <cellStyle name="百分比 3 7 5" xfId="48562" xr:uid="{00000000-0005-0000-0000-0000B2BD0000}"/>
    <cellStyle name="百分比 3 7 5 2" xfId="48563" xr:uid="{00000000-0005-0000-0000-0000B3BD0000}"/>
    <cellStyle name="百分比 3 7 5 3" xfId="48564" xr:uid="{00000000-0005-0000-0000-0000B4BD0000}"/>
    <cellStyle name="百分比 3 7 5 4" xfId="48565" xr:uid="{00000000-0005-0000-0000-0000B5BD0000}"/>
    <cellStyle name="百分比 3 7 6" xfId="48566" xr:uid="{00000000-0005-0000-0000-0000B6BD0000}"/>
    <cellStyle name="百分比 3 7 7" xfId="48567" xr:uid="{00000000-0005-0000-0000-0000B7BD0000}"/>
    <cellStyle name="百分比 3 7 8" xfId="48568" xr:uid="{00000000-0005-0000-0000-0000B8BD0000}"/>
    <cellStyle name="百分比 3 8" xfId="48569" xr:uid="{00000000-0005-0000-0000-0000B9BD0000}"/>
    <cellStyle name="百分比 3 8 2" xfId="48570" xr:uid="{00000000-0005-0000-0000-0000BABD0000}"/>
    <cellStyle name="百分比 3 8 2 2" xfId="48571" xr:uid="{00000000-0005-0000-0000-0000BBBD0000}"/>
    <cellStyle name="百分比 3 8 2 3" xfId="48572" xr:uid="{00000000-0005-0000-0000-0000BCBD0000}"/>
    <cellStyle name="百分比 3 8 2 4" xfId="48573" xr:uid="{00000000-0005-0000-0000-0000BDBD0000}"/>
    <cellStyle name="百分比 3 8 3" xfId="48574" xr:uid="{00000000-0005-0000-0000-0000BEBD0000}"/>
    <cellStyle name="百分比 3 8 4" xfId="48575" xr:uid="{00000000-0005-0000-0000-0000BFBD0000}"/>
    <cellStyle name="百分比 3 8 5" xfId="48576" xr:uid="{00000000-0005-0000-0000-0000C0BD0000}"/>
    <cellStyle name="百分比 3 9" xfId="48577" xr:uid="{00000000-0005-0000-0000-0000C1BD0000}"/>
    <cellStyle name="百分比 3 9 2" xfId="48578" xr:uid="{00000000-0005-0000-0000-0000C2BD0000}"/>
    <cellStyle name="百分比 3 9 2 2" xfId="48579" xr:uid="{00000000-0005-0000-0000-0000C3BD0000}"/>
    <cellStyle name="百分比 3 9 2 3" xfId="48580" xr:uid="{00000000-0005-0000-0000-0000C4BD0000}"/>
    <cellStyle name="百分比 3 9 2 4" xfId="48581" xr:uid="{00000000-0005-0000-0000-0000C5BD0000}"/>
    <cellStyle name="百分比 3 9 3" xfId="48582" xr:uid="{00000000-0005-0000-0000-0000C6BD0000}"/>
    <cellStyle name="百分比 3 9 4" xfId="48583" xr:uid="{00000000-0005-0000-0000-0000C7BD0000}"/>
    <cellStyle name="百分比 3 9 5" xfId="48584" xr:uid="{00000000-0005-0000-0000-0000C8BD0000}"/>
    <cellStyle name="百分比 4" xfId="48585" xr:uid="{00000000-0005-0000-0000-0000C9BD0000}"/>
    <cellStyle name="百分比 4 10" xfId="48586" xr:uid="{00000000-0005-0000-0000-0000CABD0000}"/>
    <cellStyle name="百分比 4 10 2" xfId="48587" xr:uid="{00000000-0005-0000-0000-0000CBBD0000}"/>
    <cellStyle name="百分比 4 10 3" xfId="48588" xr:uid="{00000000-0005-0000-0000-0000CCBD0000}"/>
    <cellStyle name="百分比 4 10 4" xfId="48589" xr:uid="{00000000-0005-0000-0000-0000CDBD0000}"/>
    <cellStyle name="百分比 4 11" xfId="48590" xr:uid="{00000000-0005-0000-0000-0000CEBD0000}"/>
    <cellStyle name="百分比 4 12" xfId="48591" xr:uid="{00000000-0005-0000-0000-0000CFBD0000}"/>
    <cellStyle name="百分比 4 13" xfId="48592" xr:uid="{00000000-0005-0000-0000-0000D0BD0000}"/>
    <cellStyle name="百分比 4 2" xfId="48593" xr:uid="{00000000-0005-0000-0000-0000D1BD0000}"/>
    <cellStyle name="百分比 4 2 2" xfId="48594" xr:uid="{00000000-0005-0000-0000-0000D2BD0000}"/>
    <cellStyle name="百分比 4 2 2 2" xfId="48595" xr:uid="{00000000-0005-0000-0000-0000D3BD0000}"/>
    <cellStyle name="百分比 4 2 2 2 2" xfId="48596" xr:uid="{00000000-0005-0000-0000-0000D4BD0000}"/>
    <cellStyle name="百分比 4 2 2 2 2 2" xfId="48597" xr:uid="{00000000-0005-0000-0000-0000D5BD0000}"/>
    <cellStyle name="百分比 4 2 2 2 2 2 2" xfId="48598" xr:uid="{00000000-0005-0000-0000-0000D6BD0000}"/>
    <cellStyle name="百分比 4 2 2 2 2 2 3" xfId="48599" xr:uid="{00000000-0005-0000-0000-0000D7BD0000}"/>
    <cellStyle name="百分比 4 2 2 2 2 2 4" xfId="48600" xr:uid="{00000000-0005-0000-0000-0000D8BD0000}"/>
    <cellStyle name="百分比 4 2 2 2 2 3" xfId="48601" xr:uid="{00000000-0005-0000-0000-0000D9BD0000}"/>
    <cellStyle name="百分比 4 2 2 2 2 4" xfId="48602" xr:uid="{00000000-0005-0000-0000-0000DABD0000}"/>
    <cellStyle name="百分比 4 2 2 2 2 5" xfId="48603" xr:uid="{00000000-0005-0000-0000-0000DBBD0000}"/>
    <cellStyle name="百分比 4 2 2 2 3" xfId="48604" xr:uid="{00000000-0005-0000-0000-0000DCBD0000}"/>
    <cellStyle name="百分比 4 2 2 2 3 2" xfId="48605" xr:uid="{00000000-0005-0000-0000-0000DDBD0000}"/>
    <cellStyle name="百分比 4 2 2 2 3 2 2" xfId="48606" xr:uid="{00000000-0005-0000-0000-0000DEBD0000}"/>
    <cellStyle name="百分比 4 2 2 2 3 2 3" xfId="48607" xr:uid="{00000000-0005-0000-0000-0000DFBD0000}"/>
    <cellStyle name="百分比 4 2 2 2 3 2 4" xfId="48608" xr:uid="{00000000-0005-0000-0000-0000E0BD0000}"/>
    <cellStyle name="百分比 4 2 2 2 3 3" xfId="48609" xr:uid="{00000000-0005-0000-0000-0000E1BD0000}"/>
    <cellStyle name="百分比 4 2 2 2 3 4" xfId="48610" xr:uid="{00000000-0005-0000-0000-0000E2BD0000}"/>
    <cellStyle name="百分比 4 2 2 2 3 5" xfId="48611" xr:uid="{00000000-0005-0000-0000-0000E3BD0000}"/>
    <cellStyle name="百分比 4 2 2 2 4" xfId="48612" xr:uid="{00000000-0005-0000-0000-0000E4BD0000}"/>
    <cellStyle name="百分比 4 2 2 2 4 2" xfId="48613" xr:uid="{00000000-0005-0000-0000-0000E5BD0000}"/>
    <cellStyle name="百分比 4 2 2 2 4 3" xfId="48614" xr:uid="{00000000-0005-0000-0000-0000E6BD0000}"/>
    <cellStyle name="百分比 4 2 2 2 4 4" xfId="48615" xr:uid="{00000000-0005-0000-0000-0000E7BD0000}"/>
    <cellStyle name="百分比 4 2 2 2 5" xfId="48616" xr:uid="{00000000-0005-0000-0000-0000E8BD0000}"/>
    <cellStyle name="百分比 4 2 2 2 6" xfId="48617" xr:uid="{00000000-0005-0000-0000-0000E9BD0000}"/>
    <cellStyle name="百分比 4 2 2 2 7" xfId="48618" xr:uid="{00000000-0005-0000-0000-0000EABD0000}"/>
    <cellStyle name="百分比 4 2 2 3" xfId="48619" xr:uid="{00000000-0005-0000-0000-0000EBBD0000}"/>
    <cellStyle name="百分比 4 2 2 3 2" xfId="48620" xr:uid="{00000000-0005-0000-0000-0000ECBD0000}"/>
    <cellStyle name="百分比 4 2 2 3 2 2" xfId="48621" xr:uid="{00000000-0005-0000-0000-0000EDBD0000}"/>
    <cellStyle name="百分比 4 2 2 3 2 3" xfId="48622" xr:uid="{00000000-0005-0000-0000-0000EEBD0000}"/>
    <cellStyle name="百分比 4 2 2 3 2 4" xfId="48623" xr:uid="{00000000-0005-0000-0000-0000EFBD0000}"/>
    <cellStyle name="百分比 4 2 2 3 3" xfId="48624" xr:uid="{00000000-0005-0000-0000-0000F0BD0000}"/>
    <cellStyle name="百分比 4 2 2 3 4" xfId="48625" xr:uid="{00000000-0005-0000-0000-0000F1BD0000}"/>
    <cellStyle name="百分比 4 2 2 3 5" xfId="48626" xr:uid="{00000000-0005-0000-0000-0000F2BD0000}"/>
    <cellStyle name="百分比 4 2 2 4" xfId="48627" xr:uid="{00000000-0005-0000-0000-0000F3BD0000}"/>
    <cellStyle name="百分比 4 2 2 4 2" xfId="48628" xr:uid="{00000000-0005-0000-0000-0000F4BD0000}"/>
    <cellStyle name="百分比 4 2 2 4 2 2" xfId="48629" xr:uid="{00000000-0005-0000-0000-0000F5BD0000}"/>
    <cellStyle name="百分比 4 2 2 4 2 3" xfId="48630" xr:uid="{00000000-0005-0000-0000-0000F6BD0000}"/>
    <cellStyle name="百分比 4 2 2 4 2 4" xfId="48631" xr:uid="{00000000-0005-0000-0000-0000F7BD0000}"/>
    <cellStyle name="百分比 4 2 2 4 3" xfId="48632" xr:uid="{00000000-0005-0000-0000-0000F8BD0000}"/>
    <cellStyle name="百分比 4 2 2 4 4" xfId="48633" xr:uid="{00000000-0005-0000-0000-0000F9BD0000}"/>
    <cellStyle name="百分比 4 2 2 4 5" xfId="48634" xr:uid="{00000000-0005-0000-0000-0000FABD0000}"/>
    <cellStyle name="百分比 4 2 2 5" xfId="48635" xr:uid="{00000000-0005-0000-0000-0000FBBD0000}"/>
    <cellStyle name="百分比 4 2 2 5 2" xfId="48636" xr:uid="{00000000-0005-0000-0000-0000FCBD0000}"/>
    <cellStyle name="百分比 4 2 2 5 3" xfId="48637" xr:uid="{00000000-0005-0000-0000-0000FDBD0000}"/>
    <cellStyle name="百分比 4 2 2 5 4" xfId="48638" xr:uid="{00000000-0005-0000-0000-0000FEBD0000}"/>
    <cellStyle name="百分比 4 2 2 6" xfId="48639" xr:uid="{00000000-0005-0000-0000-0000FFBD0000}"/>
    <cellStyle name="百分比 4 2 2 7" xfId="48640" xr:uid="{00000000-0005-0000-0000-000000BE0000}"/>
    <cellStyle name="百分比 4 2 2 8" xfId="48641" xr:uid="{00000000-0005-0000-0000-000001BE0000}"/>
    <cellStyle name="百分比 4 2 3" xfId="48642" xr:uid="{00000000-0005-0000-0000-000002BE0000}"/>
    <cellStyle name="百分比 4 2 3 2" xfId="48643" xr:uid="{00000000-0005-0000-0000-000003BE0000}"/>
    <cellStyle name="百分比 4 2 3 2 2" xfId="48644" xr:uid="{00000000-0005-0000-0000-000004BE0000}"/>
    <cellStyle name="百分比 4 2 3 2 3" xfId="48645" xr:uid="{00000000-0005-0000-0000-000005BE0000}"/>
    <cellStyle name="百分比 4 2 3 2 4" xfId="48646" xr:uid="{00000000-0005-0000-0000-000006BE0000}"/>
    <cellStyle name="百分比 4 2 3 3" xfId="48647" xr:uid="{00000000-0005-0000-0000-000007BE0000}"/>
    <cellStyle name="百分比 4 2 3 4" xfId="48648" xr:uid="{00000000-0005-0000-0000-000008BE0000}"/>
    <cellStyle name="百分比 4 2 3 5" xfId="48649" xr:uid="{00000000-0005-0000-0000-000009BE0000}"/>
    <cellStyle name="百分比 4 2 4" xfId="48650" xr:uid="{00000000-0005-0000-0000-00000ABE0000}"/>
    <cellStyle name="百分比 4 2 4 2" xfId="48651" xr:uid="{00000000-0005-0000-0000-00000BBE0000}"/>
    <cellStyle name="百分比 4 2 4 2 2" xfId="48652" xr:uid="{00000000-0005-0000-0000-00000CBE0000}"/>
    <cellStyle name="百分比 4 2 4 2 3" xfId="48653" xr:uid="{00000000-0005-0000-0000-00000DBE0000}"/>
    <cellStyle name="百分比 4 2 4 2 4" xfId="48654" xr:uid="{00000000-0005-0000-0000-00000EBE0000}"/>
    <cellStyle name="百分比 4 2 4 3" xfId="48655" xr:uid="{00000000-0005-0000-0000-00000FBE0000}"/>
    <cellStyle name="百分比 4 2 4 4" xfId="48656" xr:uid="{00000000-0005-0000-0000-000010BE0000}"/>
    <cellStyle name="百分比 4 2 4 5" xfId="48657" xr:uid="{00000000-0005-0000-0000-000011BE0000}"/>
    <cellStyle name="百分比 4 2 5" xfId="48658" xr:uid="{00000000-0005-0000-0000-000012BE0000}"/>
    <cellStyle name="百分比 4 2 5 2" xfId="48659" xr:uid="{00000000-0005-0000-0000-000013BE0000}"/>
    <cellStyle name="百分比 4 2 5 3" xfId="48660" xr:uid="{00000000-0005-0000-0000-000014BE0000}"/>
    <cellStyle name="百分比 4 2 5 4" xfId="48661" xr:uid="{00000000-0005-0000-0000-000015BE0000}"/>
    <cellStyle name="百分比 4 2 6" xfId="48662" xr:uid="{00000000-0005-0000-0000-000016BE0000}"/>
    <cellStyle name="百分比 4 2 7" xfId="48663" xr:uid="{00000000-0005-0000-0000-000017BE0000}"/>
    <cellStyle name="百分比 4 2 8" xfId="48664" xr:uid="{00000000-0005-0000-0000-000018BE0000}"/>
    <cellStyle name="百分比 4 3" xfId="48665" xr:uid="{00000000-0005-0000-0000-000019BE0000}"/>
    <cellStyle name="百分比 4 3 2" xfId="48666" xr:uid="{00000000-0005-0000-0000-00001ABE0000}"/>
    <cellStyle name="百分比 4 3 2 2" xfId="48667" xr:uid="{00000000-0005-0000-0000-00001BBE0000}"/>
    <cellStyle name="百分比 4 3 2 2 2" xfId="48668" xr:uid="{00000000-0005-0000-0000-00001CBE0000}"/>
    <cellStyle name="百分比 4 3 2 2 2 2" xfId="48669" xr:uid="{00000000-0005-0000-0000-00001DBE0000}"/>
    <cellStyle name="百分比 4 3 2 2 2 2 2" xfId="48670" xr:uid="{00000000-0005-0000-0000-00001EBE0000}"/>
    <cellStyle name="百分比 4 3 2 2 2 2 3" xfId="48671" xr:uid="{00000000-0005-0000-0000-00001FBE0000}"/>
    <cellStyle name="百分比 4 3 2 2 2 2 4" xfId="48672" xr:uid="{00000000-0005-0000-0000-000020BE0000}"/>
    <cellStyle name="百分比 4 3 2 2 2 3" xfId="48673" xr:uid="{00000000-0005-0000-0000-000021BE0000}"/>
    <cellStyle name="百分比 4 3 2 2 2 4" xfId="48674" xr:uid="{00000000-0005-0000-0000-000022BE0000}"/>
    <cellStyle name="百分比 4 3 2 2 2 5" xfId="48675" xr:uid="{00000000-0005-0000-0000-000023BE0000}"/>
    <cellStyle name="百分比 4 3 2 2 3" xfId="48676" xr:uid="{00000000-0005-0000-0000-000024BE0000}"/>
    <cellStyle name="百分比 4 3 2 2 3 2" xfId="48677" xr:uid="{00000000-0005-0000-0000-000025BE0000}"/>
    <cellStyle name="百分比 4 3 2 2 3 2 2" xfId="48678" xr:uid="{00000000-0005-0000-0000-000026BE0000}"/>
    <cellStyle name="百分比 4 3 2 2 3 2 3" xfId="48679" xr:uid="{00000000-0005-0000-0000-000027BE0000}"/>
    <cellStyle name="百分比 4 3 2 2 3 2 4" xfId="48680" xr:uid="{00000000-0005-0000-0000-000028BE0000}"/>
    <cellStyle name="百分比 4 3 2 2 3 3" xfId="48681" xr:uid="{00000000-0005-0000-0000-000029BE0000}"/>
    <cellStyle name="百分比 4 3 2 2 3 4" xfId="48682" xr:uid="{00000000-0005-0000-0000-00002ABE0000}"/>
    <cellStyle name="百分比 4 3 2 2 3 5" xfId="48683" xr:uid="{00000000-0005-0000-0000-00002BBE0000}"/>
    <cellStyle name="百分比 4 3 2 2 4" xfId="48684" xr:uid="{00000000-0005-0000-0000-00002CBE0000}"/>
    <cellStyle name="百分比 4 3 2 2 4 2" xfId="48685" xr:uid="{00000000-0005-0000-0000-00002DBE0000}"/>
    <cellStyle name="百分比 4 3 2 2 4 3" xfId="48686" xr:uid="{00000000-0005-0000-0000-00002EBE0000}"/>
    <cellStyle name="百分比 4 3 2 2 4 4" xfId="48687" xr:uid="{00000000-0005-0000-0000-00002FBE0000}"/>
    <cellStyle name="百分比 4 3 2 2 5" xfId="48688" xr:uid="{00000000-0005-0000-0000-000030BE0000}"/>
    <cellStyle name="百分比 4 3 2 2 6" xfId="48689" xr:uid="{00000000-0005-0000-0000-000031BE0000}"/>
    <cellStyle name="百分比 4 3 2 2 7" xfId="48690" xr:uid="{00000000-0005-0000-0000-000032BE0000}"/>
    <cellStyle name="百分比 4 3 2 3" xfId="48691" xr:uid="{00000000-0005-0000-0000-000033BE0000}"/>
    <cellStyle name="百分比 4 3 2 3 2" xfId="48692" xr:uid="{00000000-0005-0000-0000-000034BE0000}"/>
    <cellStyle name="百分比 4 3 2 3 2 2" xfId="48693" xr:uid="{00000000-0005-0000-0000-000035BE0000}"/>
    <cellStyle name="百分比 4 3 2 3 2 3" xfId="48694" xr:uid="{00000000-0005-0000-0000-000036BE0000}"/>
    <cellStyle name="百分比 4 3 2 3 2 4" xfId="48695" xr:uid="{00000000-0005-0000-0000-000037BE0000}"/>
    <cellStyle name="百分比 4 3 2 3 3" xfId="48696" xr:uid="{00000000-0005-0000-0000-000038BE0000}"/>
    <cellStyle name="百分比 4 3 2 3 4" xfId="48697" xr:uid="{00000000-0005-0000-0000-000039BE0000}"/>
    <cellStyle name="百分比 4 3 2 3 5" xfId="48698" xr:uid="{00000000-0005-0000-0000-00003ABE0000}"/>
    <cellStyle name="百分比 4 3 2 4" xfId="48699" xr:uid="{00000000-0005-0000-0000-00003BBE0000}"/>
    <cellStyle name="百分比 4 3 2 4 2" xfId="48700" xr:uid="{00000000-0005-0000-0000-00003CBE0000}"/>
    <cellStyle name="百分比 4 3 2 4 2 2" xfId="48701" xr:uid="{00000000-0005-0000-0000-00003DBE0000}"/>
    <cellStyle name="百分比 4 3 2 4 2 3" xfId="48702" xr:uid="{00000000-0005-0000-0000-00003EBE0000}"/>
    <cellStyle name="百分比 4 3 2 4 2 4" xfId="48703" xr:uid="{00000000-0005-0000-0000-00003FBE0000}"/>
    <cellStyle name="百分比 4 3 2 4 3" xfId="48704" xr:uid="{00000000-0005-0000-0000-000040BE0000}"/>
    <cellStyle name="百分比 4 3 2 4 4" xfId="48705" xr:uid="{00000000-0005-0000-0000-000041BE0000}"/>
    <cellStyle name="百分比 4 3 2 4 5" xfId="48706" xr:uid="{00000000-0005-0000-0000-000042BE0000}"/>
    <cellStyle name="百分比 4 3 2 5" xfId="48707" xr:uid="{00000000-0005-0000-0000-000043BE0000}"/>
    <cellStyle name="百分比 4 3 2 5 2" xfId="48708" xr:uid="{00000000-0005-0000-0000-000044BE0000}"/>
    <cellStyle name="百分比 4 3 2 5 3" xfId="48709" xr:uid="{00000000-0005-0000-0000-000045BE0000}"/>
    <cellStyle name="百分比 4 3 2 5 4" xfId="48710" xr:uid="{00000000-0005-0000-0000-000046BE0000}"/>
    <cellStyle name="百分比 4 3 2 6" xfId="48711" xr:uid="{00000000-0005-0000-0000-000047BE0000}"/>
    <cellStyle name="百分比 4 3 2 7" xfId="48712" xr:uid="{00000000-0005-0000-0000-000048BE0000}"/>
    <cellStyle name="百分比 4 3 2 8" xfId="48713" xr:uid="{00000000-0005-0000-0000-000049BE0000}"/>
    <cellStyle name="百分比 4 3 3" xfId="48714" xr:uid="{00000000-0005-0000-0000-00004ABE0000}"/>
    <cellStyle name="百分比 4 3 3 2" xfId="48715" xr:uid="{00000000-0005-0000-0000-00004BBE0000}"/>
    <cellStyle name="百分比 4 3 3 2 2" xfId="48716" xr:uid="{00000000-0005-0000-0000-00004CBE0000}"/>
    <cellStyle name="百分比 4 3 3 2 3" xfId="48717" xr:uid="{00000000-0005-0000-0000-00004DBE0000}"/>
    <cellStyle name="百分比 4 3 3 2 4" xfId="48718" xr:uid="{00000000-0005-0000-0000-00004EBE0000}"/>
    <cellStyle name="百分比 4 3 3 3" xfId="48719" xr:uid="{00000000-0005-0000-0000-00004FBE0000}"/>
    <cellStyle name="百分比 4 3 3 4" xfId="48720" xr:uid="{00000000-0005-0000-0000-000050BE0000}"/>
    <cellStyle name="百分比 4 3 3 5" xfId="48721" xr:uid="{00000000-0005-0000-0000-000051BE0000}"/>
    <cellStyle name="百分比 4 3 4" xfId="48722" xr:uid="{00000000-0005-0000-0000-000052BE0000}"/>
    <cellStyle name="百分比 4 3 4 2" xfId="48723" xr:uid="{00000000-0005-0000-0000-000053BE0000}"/>
    <cellStyle name="百分比 4 3 4 2 2" xfId="48724" xr:uid="{00000000-0005-0000-0000-000054BE0000}"/>
    <cellStyle name="百分比 4 3 4 2 3" xfId="48725" xr:uid="{00000000-0005-0000-0000-000055BE0000}"/>
    <cellStyle name="百分比 4 3 4 2 4" xfId="48726" xr:uid="{00000000-0005-0000-0000-000056BE0000}"/>
    <cellStyle name="百分比 4 3 4 3" xfId="48727" xr:uid="{00000000-0005-0000-0000-000057BE0000}"/>
    <cellStyle name="百分比 4 3 4 4" xfId="48728" xr:uid="{00000000-0005-0000-0000-000058BE0000}"/>
    <cellStyle name="百分比 4 3 4 5" xfId="48729" xr:uid="{00000000-0005-0000-0000-000059BE0000}"/>
    <cellStyle name="百分比 4 3 5" xfId="48730" xr:uid="{00000000-0005-0000-0000-00005ABE0000}"/>
    <cellStyle name="百分比 4 3 5 2" xfId="48731" xr:uid="{00000000-0005-0000-0000-00005BBE0000}"/>
    <cellStyle name="百分比 4 3 5 3" xfId="48732" xr:uid="{00000000-0005-0000-0000-00005CBE0000}"/>
    <cellStyle name="百分比 4 3 5 4" xfId="48733" xr:uid="{00000000-0005-0000-0000-00005DBE0000}"/>
    <cellStyle name="百分比 4 3 6" xfId="48734" xr:uid="{00000000-0005-0000-0000-00005EBE0000}"/>
    <cellStyle name="百分比 4 3 7" xfId="48735" xr:uid="{00000000-0005-0000-0000-00005FBE0000}"/>
    <cellStyle name="百分比 4 3 8" xfId="48736" xr:uid="{00000000-0005-0000-0000-000060BE0000}"/>
    <cellStyle name="百分比 4 4" xfId="48737" xr:uid="{00000000-0005-0000-0000-000061BE0000}"/>
    <cellStyle name="百分比 4 4 2" xfId="48738" xr:uid="{00000000-0005-0000-0000-000062BE0000}"/>
    <cellStyle name="百分比 4 4 2 2" xfId="48739" xr:uid="{00000000-0005-0000-0000-000063BE0000}"/>
    <cellStyle name="百分比 4 4 2 2 2" xfId="48740" xr:uid="{00000000-0005-0000-0000-000064BE0000}"/>
    <cellStyle name="百分比 4 4 2 2 2 2" xfId="48741" xr:uid="{00000000-0005-0000-0000-000065BE0000}"/>
    <cellStyle name="百分比 4 4 2 2 2 2 2" xfId="48742" xr:uid="{00000000-0005-0000-0000-000066BE0000}"/>
    <cellStyle name="百分比 4 4 2 2 2 2 3" xfId="48743" xr:uid="{00000000-0005-0000-0000-000067BE0000}"/>
    <cellStyle name="百分比 4 4 2 2 2 2 4" xfId="48744" xr:uid="{00000000-0005-0000-0000-000068BE0000}"/>
    <cellStyle name="百分比 4 4 2 2 2 3" xfId="48745" xr:uid="{00000000-0005-0000-0000-000069BE0000}"/>
    <cellStyle name="百分比 4 4 2 2 2 4" xfId="48746" xr:uid="{00000000-0005-0000-0000-00006ABE0000}"/>
    <cellStyle name="百分比 4 4 2 2 2 5" xfId="48747" xr:uid="{00000000-0005-0000-0000-00006BBE0000}"/>
    <cellStyle name="百分比 4 4 2 2 3" xfId="48748" xr:uid="{00000000-0005-0000-0000-00006CBE0000}"/>
    <cellStyle name="百分比 4 4 2 2 3 2" xfId="48749" xr:uid="{00000000-0005-0000-0000-00006DBE0000}"/>
    <cellStyle name="百分比 4 4 2 2 3 2 2" xfId="48750" xr:uid="{00000000-0005-0000-0000-00006EBE0000}"/>
    <cellStyle name="百分比 4 4 2 2 3 2 3" xfId="48751" xr:uid="{00000000-0005-0000-0000-00006FBE0000}"/>
    <cellStyle name="百分比 4 4 2 2 3 2 4" xfId="48752" xr:uid="{00000000-0005-0000-0000-000070BE0000}"/>
    <cellStyle name="百分比 4 4 2 2 3 3" xfId="48753" xr:uid="{00000000-0005-0000-0000-000071BE0000}"/>
    <cellStyle name="百分比 4 4 2 2 3 4" xfId="48754" xr:uid="{00000000-0005-0000-0000-000072BE0000}"/>
    <cellStyle name="百分比 4 4 2 2 3 5" xfId="48755" xr:uid="{00000000-0005-0000-0000-000073BE0000}"/>
    <cellStyle name="百分比 4 4 2 2 4" xfId="48756" xr:uid="{00000000-0005-0000-0000-000074BE0000}"/>
    <cellStyle name="百分比 4 4 2 2 4 2" xfId="48757" xr:uid="{00000000-0005-0000-0000-000075BE0000}"/>
    <cellStyle name="百分比 4 4 2 2 4 3" xfId="48758" xr:uid="{00000000-0005-0000-0000-000076BE0000}"/>
    <cellStyle name="百分比 4 4 2 2 4 4" xfId="48759" xr:uid="{00000000-0005-0000-0000-000077BE0000}"/>
    <cellStyle name="百分比 4 4 2 2 5" xfId="48760" xr:uid="{00000000-0005-0000-0000-000078BE0000}"/>
    <cellStyle name="百分比 4 4 2 2 6" xfId="48761" xr:uid="{00000000-0005-0000-0000-000079BE0000}"/>
    <cellStyle name="百分比 4 4 2 2 7" xfId="48762" xr:uid="{00000000-0005-0000-0000-00007ABE0000}"/>
    <cellStyle name="百分比 4 4 2 3" xfId="48763" xr:uid="{00000000-0005-0000-0000-00007BBE0000}"/>
    <cellStyle name="百分比 4 4 2 3 2" xfId="48764" xr:uid="{00000000-0005-0000-0000-00007CBE0000}"/>
    <cellStyle name="百分比 4 4 2 3 2 2" xfId="48765" xr:uid="{00000000-0005-0000-0000-00007DBE0000}"/>
    <cellStyle name="百分比 4 4 2 3 2 3" xfId="48766" xr:uid="{00000000-0005-0000-0000-00007EBE0000}"/>
    <cellStyle name="百分比 4 4 2 3 2 4" xfId="48767" xr:uid="{00000000-0005-0000-0000-00007FBE0000}"/>
    <cellStyle name="百分比 4 4 2 3 3" xfId="48768" xr:uid="{00000000-0005-0000-0000-000080BE0000}"/>
    <cellStyle name="百分比 4 4 2 3 4" xfId="48769" xr:uid="{00000000-0005-0000-0000-000081BE0000}"/>
    <cellStyle name="百分比 4 4 2 3 5" xfId="48770" xr:uid="{00000000-0005-0000-0000-000082BE0000}"/>
    <cellStyle name="百分比 4 4 2 4" xfId="48771" xr:uid="{00000000-0005-0000-0000-000083BE0000}"/>
    <cellStyle name="百分比 4 4 2 4 2" xfId="48772" xr:uid="{00000000-0005-0000-0000-000084BE0000}"/>
    <cellStyle name="百分比 4 4 2 4 2 2" xfId="48773" xr:uid="{00000000-0005-0000-0000-000085BE0000}"/>
    <cellStyle name="百分比 4 4 2 4 2 3" xfId="48774" xr:uid="{00000000-0005-0000-0000-000086BE0000}"/>
    <cellStyle name="百分比 4 4 2 4 2 4" xfId="48775" xr:uid="{00000000-0005-0000-0000-000087BE0000}"/>
    <cellStyle name="百分比 4 4 2 4 3" xfId="48776" xr:uid="{00000000-0005-0000-0000-000088BE0000}"/>
    <cellStyle name="百分比 4 4 2 4 4" xfId="48777" xr:uid="{00000000-0005-0000-0000-000089BE0000}"/>
    <cellStyle name="百分比 4 4 2 4 5" xfId="48778" xr:uid="{00000000-0005-0000-0000-00008ABE0000}"/>
    <cellStyle name="百分比 4 4 2 5" xfId="48779" xr:uid="{00000000-0005-0000-0000-00008BBE0000}"/>
    <cellStyle name="百分比 4 4 2 5 2" xfId="48780" xr:uid="{00000000-0005-0000-0000-00008CBE0000}"/>
    <cellStyle name="百分比 4 4 2 5 3" xfId="48781" xr:uid="{00000000-0005-0000-0000-00008DBE0000}"/>
    <cellStyle name="百分比 4 4 2 5 4" xfId="48782" xr:uid="{00000000-0005-0000-0000-00008EBE0000}"/>
    <cellStyle name="百分比 4 4 2 6" xfId="48783" xr:uid="{00000000-0005-0000-0000-00008FBE0000}"/>
    <cellStyle name="百分比 4 4 2 7" xfId="48784" xr:uid="{00000000-0005-0000-0000-000090BE0000}"/>
    <cellStyle name="百分比 4 4 2 8" xfId="48785" xr:uid="{00000000-0005-0000-0000-000091BE0000}"/>
    <cellStyle name="百分比 4 4 3" xfId="48786" xr:uid="{00000000-0005-0000-0000-000092BE0000}"/>
    <cellStyle name="百分比 4 4 3 2" xfId="48787" xr:uid="{00000000-0005-0000-0000-000093BE0000}"/>
    <cellStyle name="百分比 4 4 3 2 2" xfId="48788" xr:uid="{00000000-0005-0000-0000-000094BE0000}"/>
    <cellStyle name="百分比 4 4 3 2 3" xfId="48789" xr:uid="{00000000-0005-0000-0000-000095BE0000}"/>
    <cellStyle name="百分比 4 4 3 2 4" xfId="48790" xr:uid="{00000000-0005-0000-0000-000096BE0000}"/>
    <cellStyle name="百分比 4 4 3 3" xfId="48791" xr:uid="{00000000-0005-0000-0000-000097BE0000}"/>
    <cellStyle name="百分比 4 4 3 4" xfId="48792" xr:uid="{00000000-0005-0000-0000-000098BE0000}"/>
    <cellStyle name="百分比 4 4 3 5" xfId="48793" xr:uid="{00000000-0005-0000-0000-000099BE0000}"/>
    <cellStyle name="百分比 4 4 4" xfId="48794" xr:uid="{00000000-0005-0000-0000-00009ABE0000}"/>
    <cellStyle name="百分比 4 4 4 2" xfId="48795" xr:uid="{00000000-0005-0000-0000-00009BBE0000}"/>
    <cellStyle name="百分比 4 4 4 2 2" xfId="48796" xr:uid="{00000000-0005-0000-0000-00009CBE0000}"/>
    <cellStyle name="百分比 4 4 4 2 3" xfId="48797" xr:uid="{00000000-0005-0000-0000-00009DBE0000}"/>
    <cellStyle name="百分比 4 4 4 2 4" xfId="48798" xr:uid="{00000000-0005-0000-0000-00009EBE0000}"/>
    <cellStyle name="百分比 4 4 4 3" xfId="48799" xr:uid="{00000000-0005-0000-0000-00009FBE0000}"/>
    <cellStyle name="百分比 4 4 4 4" xfId="48800" xr:uid="{00000000-0005-0000-0000-0000A0BE0000}"/>
    <cellStyle name="百分比 4 4 4 5" xfId="48801" xr:uid="{00000000-0005-0000-0000-0000A1BE0000}"/>
    <cellStyle name="百分比 4 4 5" xfId="48802" xr:uid="{00000000-0005-0000-0000-0000A2BE0000}"/>
    <cellStyle name="百分比 4 4 5 2" xfId="48803" xr:uid="{00000000-0005-0000-0000-0000A3BE0000}"/>
    <cellStyle name="百分比 4 4 5 3" xfId="48804" xr:uid="{00000000-0005-0000-0000-0000A4BE0000}"/>
    <cellStyle name="百分比 4 4 5 4" xfId="48805" xr:uid="{00000000-0005-0000-0000-0000A5BE0000}"/>
    <cellStyle name="百分比 4 4 6" xfId="48806" xr:uid="{00000000-0005-0000-0000-0000A6BE0000}"/>
    <cellStyle name="百分比 4 4 7" xfId="48807" xr:uid="{00000000-0005-0000-0000-0000A7BE0000}"/>
    <cellStyle name="百分比 4 4 8" xfId="48808" xr:uid="{00000000-0005-0000-0000-0000A8BE0000}"/>
    <cellStyle name="百分比 4 5" xfId="48809" xr:uid="{00000000-0005-0000-0000-0000A9BE0000}"/>
    <cellStyle name="百分比 4 5 2" xfId="48810" xr:uid="{00000000-0005-0000-0000-0000AABE0000}"/>
    <cellStyle name="百分比 4 5 2 2" xfId="48811" xr:uid="{00000000-0005-0000-0000-0000ABBE0000}"/>
    <cellStyle name="百分比 4 5 2 2 2" xfId="48812" xr:uid="{00000000-0005-0000-0000-0000ACBE0000}"/>
    <cellStyle name="百分比 4 5 2 2 2 2" xfId="48813" xr:uid="{00000000-0005-0000-0000-0000ADBE0000}"/>
    <cellStyle name="百分比 4 5 2 2 2 2 2" xfId="48814" xr:uid="{00000000-0005-0000-0000-0000AEBE0000}"/>
    <cellStyle name="百分比 4 5 2 2 2 2 3" xfId="48815" xr:uid="{00000000-0005-0000-0000-0000AFBE0000}"/>
    <cellStyle name="百分比 4 5 2 2 2 2 4" xfId="48816" xr:uid="{00000000-0005-0000-0000-0000B0BE0000}"/>
    <cellStyle name="百分比 4 5 2 2 2 3" xfId="48817" xr:uid="{00000000-0005-0000-0000-0000B1BE0000}"/>
    <cellStyle name="百分比 4 5 2 2 2 4" xfId="48818" xr:uid="{00000000-0005-0000-0000-0000B2BE0000}"/>
    <cellStyle name="百分比 4 5 2 2 2 5" xfId="48819" xr:uid="{00000000-0005-0000-0000-0000B3BE0000}"/>
    <cellStyle name="百分比 4 5 2 2 3" xfId="48820" xr:uid="{00000000-0005-0000-0000-0000B4BE0000}"/>
    <cellStyle name="百分比 4 5 2 2 3 2" xfId="48821" xr:uid="{00000000-0005-0000-0000-0000B5BE0000}"/>
    <cellStyle name="百分比 4 5 2 2 3 2 2" xfId="48822" xr:uid="{00000000-0005-0000-0000-0000B6BE0000}"/>
    <cellStyle name="百分比 4 5 2 2 3 2 3" xfId="48823" xr:uid="{00000000-0005-0000-0000-0000B7BE0000}"/>
    <cellStyle name="百分比 4 5 2 2 3 2 4" xfId="48824" xr:uid="{00000000-0005-0000-0000-0000B8BE0000}"/>
    <cellStyle name="百分比 4 5 2 2 3 3" xfId="48825" xr:uid="{00000000-0005-0000-0000-0000B9BE0000}"/>
    <cellStyle name="百分比 4 5 2 2 3 4" xfId="48826" xr:uid="{00000000-0005-0000-0000-0000BABE0000}"/>
    <cellStyle name="百分比 4 5 2 2 3 5" xfId="48827" xr:uid="{00000000-0005-0000-0000-0000BBBE0000}"/>
    <cellStyle name="百分比 4 5 2 2 4" xfId="48828" xr:uid="{00000000-0005-0000-0000-0000BCBE0000}"/>
    <cellStyle name="百分比 4 5 2 2 4 2" xfId="48829" xr:uid="{00000000-0005-0000-0000-0000BDBE0000}"/>
    <cellStyle name="百分比 4 5 2 2 4 3" xfId="48830" xr:uid="{00000000-0005-0000-0000-0000BEBE0000}"/>
    <cellStyle name="百分比 4 5 2 2 4 4" xfId="48831" xr:uid="{00000000-0005-0000-0000-0000BFBE0000}"/>
    <cellStyle name="百分比 4 5 2 2 5" xfId="48832" xr:uid="{00000000-0005-0000-0000-0000C0BE0000}"/>
    <cellStyle name="百分比 4 5 2 2 6" xfId="48833" xr:uid="{00000000-0005-0000-0000-0000C1BE0000}"/>
    <cellStyle name="百分比 4 5 2 2 7" xfId="48834" xr:uid="{00000000-0005-0000-0000-0000C2BE0000}"/>
    <cellStyle name="百分比 4 5 2 3" xfId="48835" xr:uid="{00000000-0005-0000-0000-0000C3BE0000}"/>
    <cellStyle name="百分比 4 5 2 3 2" xfId="48836" xr:uid="{00000000-0005-0000-0000-0000C4BE0000}"/>
    <cellStyle name="百分比 4 5 2 3 2 2" xfId="48837" xr:uid="{00000000-0005-0000-0000-0000C5BE0000}"/>
    <cellStyle name="百分比 4 5 2 3 2 3" xfId="48838" xr:uid="{00000000-0005-0000-0000-0000C6BE0000}"/>
    <cellStyle name="百分比 4 5 2 3 2 4" xfId="48839" xr:uid="{00000000-0005-0000-0000-0000C7BE0000}"/>
    <cellStyle name="百分比 4 5 2 3 3" xfId="48840" xr:uid="{00000000-0005-0000-0000-0000C8BE0000}"/>
    <cellStyle name="百分比 4 5 2 3 4" xfId="48841" xr:uid="{00000000-0005-0000-0000-0000C9BE0000}"/>
    <cellStyle name="百分比 4 5 2 3 5" xfId="48842" xr:uid="{00000000-0005-0000-0000-0000CABE0000}"/>
    <cellStyle name="百分比 4 5 2 4" xfId="48843" xr:uid="{00000000-0005-0000-0000-0000CBBE0000}"/>
    <cellStyle name="百分比 4 5 2 4 2" xfId="48844" xr:uid="{00000000-0005-0000-0000-0000CCBE0000}"/>
    <cellStyle name="百分比 4 5 2 4 2 2" xfId="48845" xr:uid="{00000000-0005-0000-0000-0000CDBE0000}"/>
    <cellStyle name="百分比 4 5 2 4 2 3" xfId="48846" xr:uid="{00000000-0005-0000-0000-0000CEBE0000}"/>
    <cellStyle name="百分比 4 5 2 4 2 4" xfId="48847" xr:uid="{00000000-0005-0000-0000-0000CFBE0000}"/>
    <cellStyle name="百分比 4 5 2 4 3" xfId="48848" xr:uid="{00000000-0005-0000-0000-0000D0BE0000}"/>
    <cellStyle name="百分比 4 5 2 4 4" xfId="48849" xr:uid="{00000000-0005-0000-0000-0000D1BE0000}"/>
    <cellStyle name="百分比 4 5 2 4 5" xfId="48850" xr:uid="{00000000-0005-0000-0000-0000D2BE0000}"/>
    <cellStyle name="百分比 4 5 2 5" xfId="48851" xr:uid="{00000000-0005-0000-0000-0000D3BE0000}"/>
    <cellStyle name="百分比 4 5 2 5 2" xfId="48852" xr:uid="{00000000-0005-0000-0000-0000D4BE0000}"/>
    <cellStyle name="百分比 4 5 2 5 3" xfId="48853" xr:uid="{00000000-0005-0000-0000-0000D5BE0000}"/>
    <cellStyle name="百分比 4 5 2 5 4" xfId="48854" xr:uid="{00000000-0005-0000-0000-0000D6BE0000}"/>
    <cellStyle name="百分比 4 5 2 6" xfId="48855" xr:uid="{00000000-0005-0000-0000-0000D7BE0000}"/>
    <cellStyle name="百分比 4 5 2 7" xfId="48856" xr:uid="{00000000-0005-0000-0000-0000D8BE0000}"/>
    <cellStyle name="百分比 4 5 2 8" xfId="48857" xr:uid="{00000000-0005-0000-0000-0000D9BE0000}"/>
    <cellStyle name="百分比 4 5 3" xfId="48858" xr:uid="{00000000-0005-0000-0000-0000DABE0000}"/>
    <cellStyle name="百分比 4 5 3 2" xfId="48859" xr:uid="{00000000-0005-0000-0000-0000DBBE0000}"/>
    <cellStyle name="百分比 4 5 3 2 2" xfId="48860" xr:uid="{00000000-0005-0000-0000-0000DCBE0000}"/>
    <cellStyle name="百分比 4 5 3 2 3" xfId="48861" xr:uid="{00000000-0005-0000-0000-0000DDBE0000}"/>
    <cellStyle name="百分比 4 5 3 2 4" xfId="48862" xr:uid="{00000000-0005-0000-0000-0000DEBE0000}"/>
    <cellStyle name="百分比 4 5 3 3" xfId="48863" xr:uid="{00000000-0005-0000-0000-0000DFBE0000}"/>
    <cellStyle name="百分比 4 5 3 4" xfId="48864" xr:uid="{00000000-0005-0000-0000-0000E0BE0000}"/>
    <cellStyle name="百分比 4 5 3 5" xfId="48865" xr:uid="{00000000-0005-0000-0000-0000E1BE0000}"/>
    <cellStyle name="百分比 4 5 4" xfId="48866" xr:uid="{00000000-0005-0000-0000-0000E2BE0000}"/>
    <cellStyle name="百分比 4 5 4 2" xfId="48867" xr:uid="{00000000-0005-0000-0000-0000E3BE0000}"/>
    <cellStyle name="百分比 4 5 4 2 2" xfId="48868" xr:uid="{00000000-0005-0000-0000-0000E4BE0000}"/>
    <cellStyle name="百分比 4 5 4 2 3" xfId="48869" xr:uid="{00000000-0005-0000-0000-0000E5BE0000}"/>
    <cellStyle name="百分比 4 5 4 2 4" xfId="48870" xr:uid="{00000000-0005-0000-0000-0000E6BE0000}"/>
    <cellStyle name="百分比 4 5 4 3" xfId="48871" xr:uid="{00000000-0005-0000-0000-0000E7BE0000}"/>
    <cellStyle name="百分比 4 5 4 4" xfId="48872" xr:uid="{00000000-0005-0000-0000-0000E8BE0000}"/>
    <cellStyle name="百分比 4 5 4 5" xfId="48873" xr:uid="{00000000-0005-0000-0000-0000E9BE0000}"/>
    <cellStyle name="百分比 4 5 5" xfId="48874" xr:uid="{00000000-0005-0000-0000-0000EABE0000}"/>
    <cellStyle name="百分比 4 5 5 2" xfId="48875" xr:uid="{00000000-0005-0000-0000-0000EBBE0000}"/>
    <cellStyle name="百分比 4 5 5 3" xfId="48876" xr:uid="{00000000-0005-0000-0000-0000ECBE0000}"/>
    <cellStyle name="百分比 4 5 5 4" xfId="48877" xr:uid="{00000000-0005-0000-0000-0000EDBE0000}"/>
    <cellStyle name="百分比 4 5 6" xfId="48878" xr:uid="{00000000-0005-0000-0000-0000EEBE0000}"/>
    <cellStyle name="百分比 4 5 7" xfId="48879" xr:uid="{00000000-0005-0000-0000-0000EFBE0000}"/>
    <cellStyle name="百分比 4 5 8" xfId="48880" xr:uid="{00000000-0005-0000-0000-0000F0BE0000}"/>
    <cellStyle name="百分比 4 6" xfId="48881" xr:uid="{00000000-0005-0000-0000-0000F1BE0000}"/>
    <cellStyle name="百分比 4 6 2" xfId="48882" xr:uid="{00000000-0005-0000-0000-0000F2BE0000}"/>
    <cellStyle name="百分比 4 6 2 2" xfId="48883" xr:uid="{00000000-0005-0000-0000-0000F3BE0000}"/>
    <cellStyle name="百分比 4 6 2 2 2" xfId="48884" xr:uid="{00000000-0005-0000-0000-0000F4BE0000}"/>
    <cellStyle name="百分比 4 6 2 2 2 2" xfId="48885" xr:uid="{00000000-0005-0000-0000-0000F5BE0000}"/>
    <cellStyle name="百分比 4 6 2 2 2 2 2" xfId="48886" xr:uid="{00000000-0005-0000-0000-0000F6BE0000}"/>
    <cellStyle name="百分比 4 6 2 2 2 2 3" xfId="48887" xr:uid="{00000000-0005-0000-0000-0000F7BE0000}"/>
    <cellStyle name="百分比 4 6 2 2 2 2 4" xfId="48888" xr:uid="{00000000-0005-0000-0000-0000F8BE0000}"/>
    <cellStyle name="百分比 4 6 2 2 2 3" xfId="48889" xr:uid="{00000000-0005-0000-0000-0000F9BE0000}"/>
    <cellStyle name="百分比 4 6 2 2 2 4" xfId="48890" xr:uid="{00000000-0005-0000-0000-0000FABE0000}"/>
    <cellStyle name="百分比 4 6 2 2 2 5" xfId="48891" xr:uid="{00000000-0005-0000-0000-0000FBBE0000}"/>
    <cellStyle name="百分比 4 6 2 2 3" xfId="48892" xr:uid="{00000000-0005-0000-0000-0000FCBE0000}"/>
    <cellStyle name="百分比 4 6 2 2 3 2" xfId="48893" xr:uid="{00000000-0005-0000-0000-0000FDBE0000}"/>
    <cellStyle name="百分比 4 6 2 2 3 2 2" xfId="48894" xr:uid="{00000000-0005-0000-0000-0000FEBE0000}"/>
    <cellStyle name="百分比 4 6 2 2 3 2 3" xfId="48895" xr:uid="{00000000-0005-0000-0000-0000FFBE0000}"/>
    <cellStyle name="百分比 4 6 2 2 3 2 4" xfId="48896" xr:uid="{00000000-0005-0000-0000-000000BF0000}"/>
    <cellStyle name="百分比 4 6 2 2 3 3" xfId="48897" xr:uid="{00000000-0005-0000-0000-000001BF0000}"/>
    <cellStyle name="百分比 4 6 2 2 3 4" xfId="48898" xr:uid="{00000000-0005-0000-0000-000002BF0000}"/>
    <cellStyle name="百分比 4 6 2 2 3 5" xfId="48899" xr:uid="{00000000-0005-0000-0000-000003BF0000}"/>
    <cellStyle name="百分比 4 6 2 2 4" xfId="48900" xr:uid="{00000000-0005-0000-0000-000004BF0000}"/>
    <cellStyle name="百分比 4 6 2 2 4 2" xfId="48901" xr:uid="{00000000-0005-0000-0000-000005BF0000}"/>
    <cellStyle name="百分比 4 6 2 2 4 3" xfId="48902" xr:uid="{00000000-0005-0000-0000-000006BF0000}"/>
    <cellStyle name="百分比 4 6 2 2 4 4" xfId="48903" xr:uid="{00000000-0005-0000-0000-000007BF0000}"/>
    <cellStyle name="百分比 4 6 2 2 5" xfId="48904" xr:uid="{00000000-0005-0000-0000-000008BF0000}"/>
    <cellStyle name="百分比 4 6 2 2 6" xfId="48905" xr:uid="{00000000-0005-0000-0000-000009BF0000}"/>
    <cellStyle name="百分比 4 6 2 2 7" xfId="48906" xr:uid="{00000000-0005-0000-0000-00000ABF0000}"/>
    <cellStyle name="百分比 4 6 2 3" xfId="48907" xr:uid="{00000000-0005-0000-0000-00000BBF0000}"/>
    <cellStyle name="百分比 4 6 2 3 2" xfId="48908" xr:uid="{00000000-0005-0000-0000-00000CBF0000}"/>
    <cellStyle name="百分比 4 6 2 3 2 2" xfId="48909" xr:uid="{00000000-0005-0000-0000-00000DBF0000}"/>
    <cellStyle name="百分比 4 6 2 3 2 3" xfId="48910" xr:uid="{00000000-0005-0000-0000-00000EBF0000}"/>
    <cellStyle name="百分比 4 6 2 3 2 4" xfId="48911" xr:uid="{00000000-0005-0000-0000-00000FBF0000}"/>
    <cellStyle name="百分比 4 6 2 3 3" xfId="48912" xr:uid="{00000000-0005-0000-0000-000010BF0000}"/>
    <cellStyle name="百分比 4 6 2 3 4" xfId="48913" xr:uid="{00000000-0005-0000-0000-000011BF0000}"/>
    <cellStyle name="百分比 4 6 2 3 5" xfId="48914" xr:uid="{00000000-0005-0000-0000-000012BF0000}"/>
    <cellStyle name="百分比 4 6 2 4" xfId="48915" xr:uid="{00000000-0005-0000-0000-000013BF0000}"/>
    <cellStyle name="百分比 4 6 2 4 2" xfId="48916" xr:uid="{00000000-0005-0000-0000-000014BF0000}"/>
    <cellStyle name="百分比 4 6 2 4 2 2" xfId="48917" xr:uid="{00000000-0005-0000-0000-000015BF0000}"/>
    <cellStyle name="百分比 4 6 2 4 2 3" xfId="48918" xr:uid="{00000000-0005-0000-0000-000016BF0000}"/>
    <cellStyle name="百分比 4 6 2 4 2 4" xfId="48919" xr:uid="{00000000-0005-0000-0000-000017BF0000}"/>
    <cellStyle name="百分比 4 6 2 4 3" xfId="48920" xr:uid="{00000000-0005-0000-0000-000018BF0000}"/>
    <cellStyle name="百分比 4 6 2 4 4" xfId="48921" xr:uid="{00000000-0005-0000-0000-000019BF0000}"/>
    <cellStyle name="百分比 4 6 2 4 5" xfId="48922" xr:uid="{00000000-0005-0000-0000-00001ABF0000}"/>
    <cellStyle name="百分比 4 6 2 5" xfId="48923" xr:uid="{00000000-0005-0000-0000-00001BBF0000}"/>
    <cellStyle name="百分比 4 6 2 5 2" xfId="48924" xr:uid="{00000000-0005-0000-0000-00001CBF0000}"/>
    <cellStyle name="百分比 4 6 2 5 3" xfId="48925" xr:uid="{00000000-0005-0000-0000-00001DBF0000}"/>
    <cellStyle name="百分比 4 6 2 5 4" xfId="48926" xr:uid="{00000000-0005-0000-0000-00001EBF0000}"/>
    <cellStyle name="百分比 4 6 2 6" xfId="48927" xr:uid="{00000000-0005-0000-0000-00001FBF0000}"/>
    <cellStyle name="百分比 4 6 2 7" xfId="48928" xr:uid="{00000000-0005-0000-0000-000020BF0000}"/>
    <cellStyle name="百分比 4 6 2 8" xfId="48929" xr:uid="{00000000-0005-0000-0000-000021BF0000}"/>
    <cellStyle name="百分比 4 6 3" xfId="48930" xr:uid="{00000000-0005-0000-0000-000022BF0000}"/>
    <cellStyle name="百分比 4 6 3 2" xfId="48931" xr:uid="{00000000-0005-0000-0000-000023BF0000}"/>
    <cellStyle name="百分比 4 6 3 2 2" xfId="48932" xr:uid="{00000000-0005-0000-0000-000024BF0000}"/>
    <cellStyle name="百分比 4 6 3 2 3" xfId="48933" xr:uid="{00000000-0005-0000-0000-000025BF0000}"/>
    <cellStyle name="百分比 4 6 3 2 4" xfId="48934" xr:uid="{00000000-0005-0000-0000-000026BF0000}"/>
    <cellStyle name="百分比 4 6 3 3" xfId="48935" xr:uid="{00000000-0005-0000-0000-000027BF0000}"/>
    <cellStyle name="百分比 4 6 3 4" xfId="48936" xr:uid="{00000000-0005-0000-0000-000028BF0000}"/>
    <cellStyle name="百分比 4 6 3 5" xfId="48937" xr:uid="{00000000-0005-0000-0000-000029BF0000}"/>
    <cellStyle name="百分比 4 6 4" xfId="48938" xr:uid="{00000000-0005-0000-0000-00002ABF0000}"/>
    <cellStyle name="百分比 4 6 4 2" xfId="48939" xr:uid="{00000000-0005-0000-0000-00002BBF0000}"/>
    <cellStyle name="百分比 4 6 4 2 2" xfId="48940" xr:uid="{00000000-0005-0000-0000-00002CBF0000}"/>
    <cellStyle name="百分比 4 6 4 2 3" xfId="48941" xr:uid="{00000000-0005-0000-0000-00002DBF0000}"/>
    <cellStyle name="百分比 4 6 4 2 4" xfId="48942" xr:uid="{00000000-0005-0000-0000-00002EBF0000}"/>
    <cellStyle name="百分比 4 6 4 3" xfId="48943" xr:uid="{00000000-0005-0000-0000-00002FBF0000}"/>
    <cellStyle name="百分比 4 6 4 4" xfId="48944" xr:uid="{00000000-0005-0000-0000-000030BF0000}"/>
    <cellStyle name="百分比 4 6 4 5" xfId="48945" xr:uid="{00000000-0005-0000-0000-000031BF0000}"/>
    <cellStyle name="百分比 4 6 5" xfId="48946" xr:uid="{00000000-0005-0000-0000-000032BF0000}"/>
    <cellStyle name="百分比 4 6 5 2" xfId="48947" xr:uid="{00000000-0005-0000-0000-000033BF0000}"/>
    <cellStyle name="百分比 4 6 5 3" xfId="48948" xr:uid="{00000000-0005-0000-0000-000034BF0000}"/>
    <cellStyle name="百分比 4 6 5 4" xfId="48949" xr:uid="{00000000-0005-0000-0000-000035BF0000}"/>
    <cellStyle name="百分比 4 6 6" xfId="48950" xr:uid="{00000000-0005-0000-0000-000036BF0000}"/>
    <cellStyle name="百分比 4 6 7" xfId="48951" xr:uid="{00000000-0005-0000-0000-000037BF0000}"/>
    <cellStyle name="百分比 4 6 8" xfId="48952" xr:uid="{00000000-0005-0000-0000-000038BF0000}"/>
    <cellStyle name="百分比 4 7" xfId="48953" xr:uid="{00000000-0005-0000-0000-000039BF0000}"/>
    <cellStyle name="百分比 4 7 2" xfId="48954" xr:uid="{00000000-0005-0000-0000-00003ABF0000}"/>
    <cellStyle name="百分比 4 7 2 2" xfId="48955" xr:uid="{00000000-0005-0000-0000-00003BBF0000}"/>
    <cellStyle name="百分比 4 7 2 2 2" xfId="48956" xr:uid="{00000000-0005-0000-0000-00003CBF0000}"/>
    <cellStyle name="百分比 4 7 2 2 2 2" xfId="48957" xr:uid="{00000000-0005-0000-0000-00003DBF0000}"/>
    <cellStyle name="百分比 4 7 2 2 2 3" xfId="48958" xr:uid="{00000000-0005-0000-0000-00003EBF0000}"/>
    <cellStyle name="百分比 4 7 2 2 2 4" xfId="48959" xr:uid="{00000000-0005-0000-0000-00003FBF0000}"/>
    <cellStyle name="百分比 4 7 2 2 3" xfId="48960" xr:uid="{00000000-0005-0000-0000-000040BF0000}"/>
    <cellStyle name="百分比 4 7 2 2 4" xfId="48961" xr:uid="{00000000-0005-0000-0000-000041BF0000}"/>
    <cellStyle name="百分比 4 7 2 2 5" xfId="48962" xr:uid="{00000000-0005-0000-0000-000042BF0000}"/>
    <cellStyle name="百分比 4 7 2 3" xfId="48963" xr:uid="{00000000-0005-0000-0000-000043BF0000}"/>
    <cellStyle name="百分比 4 7 2 3 2" xfId="48964" xr:uid="{00000000-0005-0000-0000-000044BF0000}"/>
    <cellStyle name="百分比 4 7 2 3 2 2" xfId="48965" xr:uid="{00000000-0005-0000-0000-000045BF0000}"/>
    <cellStyle name="百分比 4 7 2 3 2 3" xfId="48966" xr:uid="{00000000-0005-0000-0000-000046BF0000}"/>
    <cellStyle name="百分比 4 7 2 3 2 4" xfId="48967" xr:uid="{00000000-0005-0000-0000-000047BF0000}"/>
    <cellStyle name="百分比 4 7 2 3 3" xfId="48968" xr:uid="{00000000-0005-0000-0000-000048BF0000}"/>
    <cellStyle name="百分比 4 7 2 3 4" xfId="48969" xr:uid="{00000000-0005-0000-0000-000049BF0000}"/>
    <cellStyle name="百分比 4 7 2 3 5" xfId="48970" xr:uid="{00000000-0005-0000-0000-00004ABF0000}"/>
    <cellStyle name="百分比 4 7 2 4" xfId="48971" xr:uid="{00000000-0005-0000-0000-00004BBF0000}"/>
    <cellStyle name="百分比 4 7 2 4 2" xfId="48972" xr:uid="{00000000-0005-0000-0000-00004CBF0000}"/>
    <cellStyle name="百分比 4 7 2 4 3" xfId="48973" xr:uid="{00000000-0005-0000-0000-00004DBF0000}"/>
    <cellStyle name="百分比 4 7 2 4 4" xfId="48974" xr:uid="{00000000-0005-0000-0000-00004EBF0000}"/>
    <cellStyle name="百分比 4 7 2 5" xfId="48975" xr:uid="{00000000-0005-0000-0000-00004FBF0000}"/>
    <cellStyle name="百分比 4 7 2 6" xfId="48976" xr:uid="{00000000-0005-0000-0000-000050BF0000}"/>
    <cellStyle name="百分比 4 7 2 7" xfId="48977" xr:uid="{00000000-0005-0000-0000-000051BF0000}"/>
    <cellStyle name="百分比 4 7 3" xfId="48978" xr:uid="{00000000-0005-0000-0000-000052BF0000}"/>
    <cellStyle name="百分比 4 7 3 2" xfId="48979" xr:uid="{00000000-0005-0000-0000-000053BF0000}"/>
    <cellStyle name="百分比 4 7 3 2 2" xfId="48980" xr:uid="{00000000-0005-0000-0000-000054BF0000}"/>
    <cellStyle name="百分比 4 7 3 2 3" xfId="48981" xr:uid="{00000000-0005-0000-0000-000055BF0000}"/>
    <cellStyle name="百分比 4 7 3 2 4" xfId="48982" xr:uid="{00000000-0005-0000-0000-000056BF0000}"/>
    <cellStyle name="百分比 4 7 3 3" xfId="48983" xr:uid="{00000000-0005-0000-0000-000057BF0000}"/>
    <cellStyle name="百分比 4 7 3 4" xfId="48984" xr:uid="{00000000-0005-0000-0000-000058BF0000}"/>
    <cellStyle name="百分比 4 7 3 5" xfId="48985" xr:uid="{00000000-0005-0000-0000-000059BF0000}"/>
    <cellStyle name="百分比 4 7 4" xfId="48986" xr:uid="{00000000-0005-0000-0000-00005ABF0000}"/>
    <cellStyle name="百分比 4 7 4 2" xfId="48987" xr:uid="{00000000-0005-0000-0000-00005BBF0000}"/>
    <cellStyle name="百分比 4 7 4 2 2" xfId="48988" xr:uid="{00000000-0005-0000-0000-00005CBF0000}"/>
    <cellStyle name="百分比 4 7 4 2 3" xfId="48989" xr:uid="{00000000-0005-0000-0000-00005DBF0000}"/>
    <cellStyle name="百分比 4 7 4 2 4" xfId="48990" xr:uid="{00000000-0005-0000-0000-00005EBF0000}"/>
    <cellStyle name="百分比 4 7 4 3" xfId="48991" xr:uid="{00000000-0005-0000-0000-00005FBF0000}"/>
    <cellStyle name="百分比 4 7 4 4" xfId="48992" xr:uid="{00000000-0005-0000-0000-000060BF0000}"/>
    <cellStyle name="百分比 4 7 4 5" xfId="48993" xr:uid="{00000000-0005-0000-0000-000061BF0000}"/>
    <cellStyle name="百分比 4 7 5" xfId="48994" xr:uid="{00000000-0005-0000-0000-000062BF0000}"/>
    <cellStyle name="百分比 4 7 5 2" xfId="48995" xr:uid="{00000000-0005-0000-0000-000063BF0000}"/>
    <cellStyle name="百分比 4 7 5 3" xfId="48996" xr:uid="{00000000-0005-0000-0000-000064BF0000}"/>
    <cellStyle name="百分比 4 7 5 4" xfId="48997" xr:uid="{00000000-0005-0000-0000-000065BF0000}"/>
    <cellStyle name="百分比 4 7 6" xfId="48998" xr:uid="{00000000-0005-0000-0000-000066BF0000}"/>
    <cellStyle name="百分比 4 7 7" xfId="48999" xr:uid="{00000000-0005-0000-0000-000067BF0000}"/>
    <cellStyle name="百分比 4 7 8" xfId="49000" xr:uid="{00000000-0005-0000-0000-000068BF0000}"/>
    <cellStyle name="百分比 4 8" xfId="49001" xr:uid="{00000000-0005-0000-0000-000069BF0000}"/>
    <cellStyle name="百分比 4 8 2" xfId="49002" xr:uid="{00000000-0005-0000-0000-00006ABF0000}"/>
    <cellStyle name="百分比 4 8 2 2" xfId="49003" xr:uid="{00000000-0005-0000-0000-00006BBF0000}"/>
    <cellStyle name="百分比 4 8 2 3" xfId="49004" xr:uid="{00000000-0005-0000-0000-00006CBF0000}"/>
    <cellStyle name="百分比 4 8 2 4" xfId="49005" xr:uid="{00000000-0005-0000-0000-00006DBF0000}"/>
    <cellStyle name="百分比 4 8 3" xfId="49006" xr:uid="{00000000-0005-0000-0000-00006EBF0000}"/>
    <cellStyle name="百分比 4 8 4" xfId="49007" xr:uid="{00000000-0005-0000-0000-00006FBF0000}"/>
    <cellStyle name="百分比 4 8 5" xfId="49008" xr:uid="{00000000-0005-0000-0000-000070BF0000}"/>
    <cellStyle name="百分比 4 9" xfId="49009" xr:uid="{00000000-0005-0000-0000-000071BF0000}"/>
    <cellStyle name="百分比 4 9 2" xfId="49010" xr:uid="{00000000-0005-0000-0000-000072BF0000}"/>
    <cellStyle name="百分比 4 9 2 2" xfId="49011" xr:uid="{00000000-0005-0000-0000-000073BF0000}"/>
    <cellStyle name="百分比 4 9 2 3" xfId="49012" xr:uid="{00000000-0005-0000-0000-000074BF0000}"/>
    <cellStyle name="百分比 4 9 2 4" xfId="49013" xr:uid="{00000000-0005-0000-0000-000075BF0000}"/>
    <cellStyle name="百分比 4 9 3" xfId="49014" xr:uid="{00000000-0005-0000-0000-000076BF0000}"/>
    <cellStyle name="百分比 4 9 4" xfId="49015" xr:uid="{00000000-0005-0000-0000-000077BF0000}"/>
    <cellStyle name="百分比 4 9 5" xfId="49016" xr:uid="{00000000-0005-0000-0000-000078BF0000}"/>
    <cellStyle name="百分比 5" xfId="49017" xr:uid="{00000000-0005-0000-0000-000079BF0000}"/>
    <cellStyle name="百分比 5 2" xfId="49018" xr:uid="{00000000-0005-0000-0000-00007ABF0000}"/>
    <cellStyle name="百分比 5 2 2" xfId="49019" xr:uid="{00000000-0005-0000-0000-00007BBF0000}"/>
    <cellStyle name="百分比 5 2 3" xfId="49020" xr:uid="{00000000-0005-0000-0000-00007CBF0000}"/>
    <cellStyle name="百分比 5 2 4" xfId="49021" xr:uid="{00000000-0005-0000-0000-00007DBF0000}"/>
    <cellStyle name="百分比 5 3" xfId="49022" xr:uid="{00000000-0005-0000-0000-00007EBF0000}"/>
    <cellStyle name="百分比 5 4" xfId="49023" xr:uid="{00000000-0005-0000-0000-00007FBF0000}"/>
    <cellStyle name="百分比 5 5" xfId="49024" xr:uid="{00000000-0005-0000-0000-000080BF0000}"/>
    <cellStyle name="百分比 6" xfId="49025" xr:uid="{00000000-0005-0000-0000-000081BF0000}"/>
    <cellStyle name="百分比 6 2" xfId="49026" xr:uid="{00000000-0005-0000-0000-000082BF0000}"/>
    <cellStyle name="百分比 6 3" xfId="49027" xr:uid="{00000000-0005-0000-0000-000083BF0000}"/>
    <cellStyle name="解释性文本 2" xfId="49028" xr:uid="{00000000-0005-0000-0000-000084BF0000}"/>
    <cellStyle name="解释性文本 2 10" xfId="49029" xr:uid="{00000000-0005-0000-0000-000085BF0000}"/>
    <cellStyle name="解释性文本 2 11" xfId="49030" xr:uid="{00000000-0005-0000-0000-000086BF0000}"/>
    <cellStyle name="解释性文本 2 2" xfId="49031" xr:uid="{00000000-0005-0000-0000-000087BF0000}"/>
    <cellStyle name="解释性文本 2 2 10" xfId="49032" xr:uid="{00000000-0005-0000-0000-000088BF0000}"/>
    <cellStyle name="解释性文本 2 2 11" xfId="49033" xr:uid="{00000000-0005-0000-0000-000089BF0000}"/>
    <cellStyle name="解释性文本 2 2 2" xfId="49034" xr:uid="{00000000-0005-0000-0000-00008ABF0000}"/>
    <cellStyle name="解释性文本 2 2 2 2" xfId="49035" xr:uid="{00000000-0005-0000-0000-00008BBF0000}"/>
    <cellStyle name="解释性文本 2 2 2 2 2" xfId="49036" xr:uid="{00000000-0005-0000-0000-00008CBF0000}"/>
    <cellStyle name="解释性文本 2 2 2 2 2 2" xfId="49037" xr:uid="{00000000-0005-0000-0000-00008DBF0000}"/>
    <cellStyle name="解释性文本 2 2 2 2 2 3" xfId="49038" xr:uid="{00000000-0005-0000-0000-00008EBF0000}"/>
    <cellStyle name="解释性文本 2 2 2 2 2 3 2" xfId="49039" xr:uid="{00000000-0005-0000-0000-00008FBF0000}"/>
    <cellStyle name="解释性文本 2 2 2 2 2 3 2 2" xfId="49040" xr:uid="{00000000-0005-0000-0000-000090BF0000}"/>
    <cellStyle name="解释性文本 2 2 2 2 2 4" xfId="49041" xr:uid="{00000000-0005-0000-0000-000091BF0000}"/>
    <cellStyle name="解释性文本 2 2 2 2 2 4 2" xfId="49042" xr:uid="{00000000-0005-0000-0000-000092BF0000}"/>
    <cellStyle name="解释性文本 2 2 2 2 3" xfId="49043" xr:uid="{00000000-0005-0000-0000-000093BF0000}"/>
    <cellStyle name="解释性文本 2 2 2 2 3 2" xfId="49044" xr:uid="{00000000-0005-0000-0000-000094BF0000}"/>
    <cellStyle name="解释性文本 2 2 2 2 3 2 2" xfId="49045" xr:uid="{00000000-0005-0000-0000-000095BF0000}"/>
    <cellStyle name="解释性文本 2 2 2 2 3 2 2 2" xfId="49046" xr:uid="{00000000-0005-0000-0000-000096BF0000}"/>
    <cellStyle name="解释性文本 2 2 2 2 3 3" xfId="49047" xr:uid="{00000000-0005-0000-0000-000097BF0000}"/>
    <cellStyle name="解释性文本 2 2 2 2 3 3 2" xfId="49048" xr:uid="{00000000-0005-0000-0000-000098BF0000}"/>
    <cellStyle name="解释性文本 2 2 2 2 4" xfId="49049" xr:uid="{00000000-0005-0000-0000-000099BF0000}"/>
    <cellStyle name="解释性文本 2 2 2 2 5" xfId="49050" xr:uid="{00000000-0005-0000-0000-00009ABF0000}"/>
    <cellStyle name="解释性文本 2 2 2 2 6" xfId="49051" xr:uid="{00000000-0005-0000-0000-00009BBF0000}"/>
    <cellStyle name="解释性文本 2 2 2 3" xfId="49052" xr:uid="{00000000-0005-0000-0000-00009CBF0000}"/>
    <cellStyle name="解释性文本 2 2 2 3 2" xfId="49053" xr:uid="{00000000-0005-0000-0000-00009DBF0000}"/>
    <cellStyle name="解释性文本 2 2 2 3 3" xfId="49054" xr:uid="{00000000-0005-0000-0000-00009EBF0000}"/>
    <cellStyle name="解释性文本 2 2 2 3 3 2" xfId="49055" xr:uid="{00000000-0005-0000-0000-00009FBF0000}"/>
    <cellStyle name="解释性文本 2 2 2 3 3 2 2" xfId="49056" xr:uid="{00000000-0005-0000-0000-0000A0BF0000}"/>
    <cellStyle name="解释性文本 2 2 2 3 4" xfId="49057" xr:uid="{00000000-0005-0000-0000-0000A1BF0000}"/>
    <cellStyle name="解释性文本 2 2 2 3 4 2" xfId="49058" xr:uid="{00000000-0005-0000-0000-0000A2BF0000}"/>
    <cellStyle name="解释性文本 2 2 2 4" xfId="49059" xr:uid="{00000000-0005-0000-0000-0000A3BF0000}"/>
    <cellStyle name="解释性文本 2 2 2 4 2" xfId="49060" xr:uid="{00000000-0005-0000-0000-0000A4BF0000}"/>
    <cellStyle name="解释性文本 2 2 2 4 2 2" xfId="49061" xr:uid="{00000000-0005-0000-0000-0000A5BF0000}"/>
    <cellStyle name="解释性文本 2 2 2 4 2 2 2" xfId="49062" xr:uid="{00000000-0005-0000-0000-0000A6BF0000}"/>
    <cellStyle name="解释性文本 2 2 2 4 3" xfId="49063" xr:uid="{00000000-0005-0000-0000-0000A7BF0000}"/>
    <cellStyle name="解释性文本 2 2 2 4 3 2" xfId="49064" xr:uid="{00000000-0005-0000-0000-0000A8BF0000}"/>
    <cellStyle name="解释性文本 2 2 2 5" xfId="49065" xr:uid="{00000000-0005-0000-0000-0000A9BF0000}"/>
    <cellStyle name="解释性文本 2 2 2 6" xfId="49066" xr:uid="{00000000-0005-0000-0000-0000AABF0000}"/>
    <cellStyle name="解释性文本 2 2 2 7" xfId="49067" xr:uid="{00000000-0005-0000-0000-0000ABBF0000}"/>
    <cellStyle name="解释性文本 2 2 3" xfId="49068" xr:uid="{00000000-0005-0000-0000-0000ACBF0000}"/>
    <cellStyle name="解释性文本 2 2 3 2" xfId="49069" xr:uid="{00000000-0005-0000-0000-0000ADBF0000}"/>
    <cellStyle name="解释性文本 2 2 3 2 2" xfId="49070" xr:uid="{00000000-0005-0000-0000-0000AEBF0000}"/>
    <cellStyle name="解释性文本 2 2 3 2 3" xfId="49071" xr:uid="{00000000-0005-0000-0000-0000AFBF0000}"/>
    <cellStyle name="解释性文本 2 2 3 2 3 2" xfId="49072" xr:uid="{00000000-0005-0000-0000-0000B0BF0000}"/>
    <cellStyle name="解释性文本 2 2 3 2 3 2 2" xfId="49073" xr:uid="{00000000-0005-0000-0000-0000B1BF0000}"/>
    <cellStyle name="解释性文本 2 2 3 2 4" xfId="49074" xr:uid="{00000000-0005-0000-0000-0000B2BF0000}"/>
    <cellStyle name="解释性文本 2 2 3 2 4 2" xfId="49075" xr:uid="{00000000-0005-0000-0000-0000B3BF0000}"/>
    <cellStyle name="解释性文本 2 2 3 3" xfId="49076" xr:uid="{00000000-0005-0000-0000-0000B4BF0000}"/>
    <cellStyle name="解释性文本 2 2 3 3 2" xfId="49077" xr:uid="{00000000-0005-0000-0000-0000B5BF0000}"/>
    <cellStyle name="解释性文本 2 2 3 3 2 2" xfId="49078" xr:uid="{00000000-0005-0000-0000-0000B6BF0000}"/>
    <cellStyle name="解释性文本 2 2 3 3 2 2 2" xfId="49079" xr:uid="{00000000-0005-0000-0000-0000B7BF0000}"/>
    <cellStyle name="解释性文本 2 2 3 3 3" xfId="49080" xr:uid="{00000000-0005-0000-0000-0000B8BF0000}"/>
    <cellStyle name="解释性文本 2 2 3 3 3 2" xfId="49081" xr:uid="{00000000-0005-0000-0000-0000B9BF0000}"/>
    <cellStyle name="解释性文本 2 2 3 4" xfId="49082" xr:uid="{00000000-0005-0000-0000-0000BABF0000}"/>
    <cellStyle name="解释性文本 2 2 3 5" xfId="49083" xr:uid="{00000000-0005-0000-0000-0000BBBF0000}"/>
    <cellStyle name="解释性文本 2 2 3 6" xfId="49084" xr:uid="{00000000-0005-0000-0000-0000BCBF0000}"/>
    <cellStyle name="解释性文本 2 2 4" xfId="49085" xr:uid="{00000000-0005-0000-0000-0000BDBF0000}"/>
    <cellStyle name="解释性文本 2 2 4 2" xfId="49086" xr:uid="{00000000-0005-0000-0000-0000BEBF0000}"/>
    <cellStyle name="解释性文本 2 2 4 2 2" xfId="49087" xr:uid="{00000000-0005-0000-0000-0000BFBF0000}"/>
    <cellStyle name="解释性文本 2 2 4 2 3" xfId="49088" xr:uid="{00000000-0005-0000-0000-0000C0BF0000}"/>
    <cellStyle name="解释性文本 2 2 4 2 3 2" xfId="49089" xr:uid="{00000000-0005-0000-0000-0000C1BF0000}"/>
    <cellStyle name="解释性文本 2 2 4 2 3 2 2" xfId="49090" xr:uid="{00000000-0005-0000-0000-0000C2BF0000}"/>
    <cellStyle name="解释性文本 2 2 4 2 4" xfId="49091" xr:uid="{00000000-0005-0000-0000-0000C3BF0000}"/>
    <cellStyle name="解释性文本 2 2 4 2 4 2" xfId="49092" xr:uid="{00000000-0005-0000-0000-0000C4BF0000}"/>
    <cellStyle name="解释性文本 2 2 4 3" xfId="49093" xr:uid="{00000000-0005-0000-0000-0000C5BF0000}"/>
    <cellStyle name="解释性文本 2 2 4 4" xfId="49094" xr:uid="{00000000-0005-0000-0000-0000C6BF0000}"/>
    <cellStyle name="解释性文本 2 2 4 5" xfId="49095" xr:uid="{00000000-0005-0000-0000-0000C7BF0000}"/>
    <cellStyle name="解释性文本 2 2 4 6" xfId="49096" xr:uid="{00000000-0005-0000-0000-0000C8BF0000}"/>
    <cellStyle name="解释性文本 2 2 5" xfId="49097" xr:uid="{00000000-0005-0000-0000-0000C9BF0000}"/>
    <cellStyle name="解释性文本 2 2 5 2" xfId="49098" xr:uid="{00000000-0005-0000-0000-0000CABF0000}"/>
    <cellStyle name="解释性文本 2 2 5 2 2" xfId="49099" xr:uid="{00000000-0005-0000-0000-0000CBBF0000}"/>
    <cellStyle name="解释性文本 2 2 5 2 2 2" xfId="49100" xr:uid="{00000000-0005-0000-0000-0000CCBF0000}"/>
    <cellStyle name="解释性文本 2 2 5 2 2 2 2" xfId="49101" xr:uid="{00000000-0005-0000-0000-0000CDBF0000}"/>
    <cellStyle name="解释性文本 2 2 5 2 3" xfId="49102" xr:uid="{00000000-0005-0000-0000-0000CEBF0000}"/>
    <cellStyle name="解释性文本 2 2 5 2 3 2" xfId="49103" xr:uid="{00000000-0005-0000-0000-0000CFBF0000}"/>
    <cellStyle name="解释性文本 2 2 5 3" xfId="49104" xr:uid="{00000000-0005-0000-0000-0000D0BF0000}"/>
    <cellStyle name="解释性文本 2 2 5 3 2" xfId="49105" xr:uid="{00000000-0005-0000-0000-0000D1BF0000}"/>
    <cellStyle name="解释性文本 2 2 5 3 2 2" xfId="49106" xr:uid="{00000000-0005-0000-0000-0000D2BF0000}"/>
    <cellStyle name="解释性文本 2 2 5 4" xfId="49107" xr:uid="{00000000-0005-0000-0000-0000D3BF0000}"/>
    <cellStyle name="解释性文本 2 2 5 4 2" xfId="49108" xr:uid="{00000000-0005-0000-0000-0000D4BF0000}"/>
    <cellStyle name="解释性文本 2 2 6" xfId="49109" xr:uid="{00000000-0005-0000-0000-0000D5BF0000}"/>
    <cellStyle name="解释性文本 2 2 6 2" xfId="49110" xr:uid="{00000000-0005-0000-0000-0000D6BF0000}"/>
    <cellStyle name="解释性文本 2 2 6 2 2" xfId="49111" xr:uid="{00000000-0005-0000-0000-0000D7BF0000}"/>
    <cellStyle name="解释性文本 2 2 6 2 2 2" xfId="49112" xr:uid="{00000000-0005-0000-0000-0000D8BF0000}"/>
    <cellStyle name="解释性文本 2 2 6 2 2 2 2" xfId="49113" xr:uid="{00000000-0005-0000-0000-0000D9BF0000}"/>
    <cellStyle name="解释性文本 2 2 6 2 3" xfId="49114" xr:uid="{00000000-0005-0000-0000-0000DABF0000}"/>
    <cellStyle name="解释性文本 2 2 6 2 3 2" xfId="49115" xr:uid="{00000000-0005-0000-0000-0000DBBF0000}"/>
    <cellStyle name="解释性文本 2 2 6 3" xfId="49116" xr:uid="{00000000-0005-0000-0000-0000DCBF0000}"/>
    <cellStyle name="解释性文本 2 2 6 3 2" xfId="49117" xr:uid="{00000000-0005-0000-0000-0000DDBF0000}"/>
    <cellStyle name="解释性文本 2 2 6 3 2 2" xfId="49118" xr:uid="{00000000-0005-0000-0000-0000DEBF0000}"/>
    <cellStyle name="解释性文本 2 2 6 4" xfId="49119" xr:uid="{00000000-0005-0000-0000-0000DFBF0000}"/>
    <cellStyle name="解释性文本 2 2 6 4 2" xfId="49120" xr:uid="{00000000-0005-0000-0000-0000E0BF0000}"/>
    <cellStyle name="解释性文本 2 2 7" xfId="49121" xr:uid="{00000000-0005-0000-0000-0000E1BF0000}"/>
    <cellStyle name="解释性文本 2 2 7 2" xfId="49122" xr:uid="{00000000-0005-0000-0000-0000E2BF0000}"/>
    <cellStyle name="解释性文本 2 2 7 2 2" xfId="49123" xr:uid="{00000000-0005-0000-0000-0000E3BF0000}"/>
    <cellStyle name="解释性文本 2 2 7 2 2 2" xfId="49124" xr:uid="{00000000-0005-0000-0000-0000E4BF0000}"/>
    <cellStyle name="解释性文本 2 2 7 2 2 2 2" xfId="49125" xr:uid="{00000000-0005-0000-0000-0000E5BF0000}"/>
    <cellStyle name="解释性文本 2 2 7 2 3" xfId="49126" xr:uid="{00000000-0005-0000-0000-0000E6BF0000}"/>
    <cellStyle name="解释性文本 2 2 7 2 3 2" xfId="49127" xr:uid="{00000000-0005-0000-0000-0000E7BF0000}"/>
    <cellStyle name="解释性文本 2 2 7 3" xfId="49128" xr:uid="{00000000-0005-0000-0000-0000E8BF0000}"/>
    <cellStyle name="解释性文本 2 2 7 3 2" xfId="49129" xr:uid="{00000000-0005-0000-0000-0000E9BF0000}"/>
    <cellStyle name="解释性文本 2 2 7 3 2 2" xfId="49130" xr:uid="{00000000-0005-0000-0000-0000EABF0000}"/>
    <cellStyle name="解释性文本 2 2 7 4" xfId="49131" xr:uid="{00000000-0005-0000-0000-0000EBBF0000}"/>
    <cellStyle name="解释性文本 2 2 7 4 2" xfId="49132" xr:uid="{00000000-0005-0000-0000-0000ECBF0000}"/>
    <cellStyle name="解释性文本 2 2 8" xfId="49133" xr:uid="{00000000-0005-0000-0000-0000EDBF0000}"/>
    <cellStyle name="解释性文本 2 2 8 2" xfId="49134" xr:uid="{00000000-0005-0000-0000-0000EEBF0000}"/>
    <cellStyle name="解释性文本 2 2 8 2 2" xfId="49135" xr:uid="{00000000-0005-0000-0000-0000EFBF0000}"/>
    <cellStyle name="解释性文本 2 2 8 2 2 2" xfId="49136" xr:uid="{00000000-0005-0000-0000-0000F0BF0000}"/>
    <cellStyle name="解释性文本 2 2 8 3" xfId="49137" xr:uid="{00000000-0005-0000-0000-0000F1BF0000}"/>
    <cellStyle name="解释性文本 2 2 8 3 2" xfId="49138" xr:uid="{00000000-0005-0000-0000-0000F2BF0000}"/>
    <cellStyle name="解释性文本 2 2 9" xfId="49139" xr:uid="{00000000-0005-0000-0000-0000F3BF0000}"/>
    <cellStyle name="解释性文本 2 2 9 2" xfId="49140" xr:uid="{00000000-0005-0000-0000-0000F4BF0000}"/>
    <cellStyle name="解释性文本 2 2 9 2 2" xfId="49141" xr:uid="{00000000-0005-0000-0000-0000F5BF0000}"/>
    <cellStyle name="解释性文本 2 2 9 2 2 2" xfId="49142" xr:uid="{00000000-0005-0000-0000-0000F6BF0000}"/>
    <cellStyle name="解释性文本 2 2 9 3" xfId="49143" xr:uid="{00000000-0005-0000-0000-0000F7BF0000}"/>
    <cellStyle name="解释性文本 2 2 9 3 2" xfId="49144" xr:uid="{00000000-0005-0000-0000-0000F8BF0000}"/>
    <cellStyle name="解释性文本 2 3" xfId="49145" xr:uid="{00000000-0005-0000-0000-0000F9BF0000}"/>
    <cellStyle name="解释性文本 2 3 2" xfId="49146" xr:uid="{00000000-0005-0000-0000-0000FABF0000}"/>
    <cellStyle name="解释性文本 2 3 2 2" xfId="49147" xr:uid="{00000000-0005-0000-0000-0000FBBF0000}"/>
    <cellStyle name="解释性文本 2 3 2 2 2" xfId="49148" xr:uid="{00000000-0005-0000-0000-0000FCBF0000}"/>
    <cellStyle name="解释性文本 2 3 2 2 2 2" xfId="49149" xr:uid="{00000000-0005-0000-0000-0000FDBF0000}"/>
    <cellStyle name="解释性文本 2 3 2 2 2 3" xfId="49150" xr:uid="{00000000-0005-0000-0000-0000FEBF0000}"/>
    <cellStyle name="解释性文本 2 3 2 2 2 3 2" xfId="49151" xr:uid="{00000000-0005-0000-0000-0000FFBF0000}"/>
    <cellStyle name="解释性文本 2 3 2 2 2 3 2 2" xfId="49152" xr:uid="{00000000-0005-0000-0000-000000C00000}"/>
    <cellStyle name="解释性文本 2 3 2 2 2 4" xfId="49153" xr:uid="{00000000-0005-0000-0000-000001C00000}"/>
    <cellStyle name="解释性文本 2 3 2 2 2 4 2" xfId="49154" xr:uid="{00000000-0005-0000-0000-000002C00000}"/>
    <cellStyle name="解释性文本 2 3 2 2 3" xfId="49155" xr:uid="{00000000-0005-0000-0000-000003C00000}"/>
    <cellStyle name="解释性文本 2 3 2 2 3 2" xfId="49156" xr:uid="{00000000-0005-0000-0000-000004C00000}"/>
    <cellStyle name="解释性文本 2 3 2 2 3 2 2" xfId="49157" xr:uid="{00000000-0005-0000-0000-000005C00000}"/>
    <cellStyle name="解释性文本 2 3 2 2 3 2 2 2" xfId="49158" xr:uid="{00000000-0005-0000-0000-000006C00000}"/>
    <cellStyle name="解释性文本 2 3 2 2 3 3" xfId="49159" xr:uid="{00000000-0005-0000-0000-000007C00000}"/>
    <cellStyle name="解释性文本 2 3 2 2 3 3 2" xfId="49160" xr:uid="{00000000-0005-0000-0000-000008C00000}"/>
    <cellStyle name="解释性文本 2 3 2 2 4" xfId="49161" xr:uid="{00000000-0005-0000-0000-000009C00000}"/>
    <cellStyle name="解释性文本 2 3 2 2 5" xfId="49162" xr:uid="{00000000-0005-0000-0000-00000AC00000}"/>
    <cellStyle name="解释性文本 2 3 2 2 6" xfId="49163" xr:uid="{00000000-0005-0000-0000-00000BC00000}"/>
    <cellStyle name="解释性文本 2 3 2 3" xfId="49164" xr:uid="{00000000-0005-0000-0000-00000CC00000}"/>
    <cellStyle name="解释性文本 2 3 2 3 2" xfId="49165" xr:uid="{00000000-0005-0000-0000-00000DC00000}"/>
    <cellStyle name="解释性文本 2 3 2 3 3" xfId="49166" xr:uid="{00000000-0005-0000-0000-00000EC00000}"/>
    <cellStyle name="解释性文本 2 3 2 3 3 2" xfId="49167" xr:uid="{00000000-0005-0000-0000-00000FC00000}"/>
    <cellStyle name="解释性文本 2 3 2 3 3 2 2" xfId="49168" xr:uid="{00000000-0005-0000-0000-000010C00000}"/>
    <cellStyle name="解释性文本 2 3 2 3 4" xfId="49169" xr:uid="{00000000-0005-0000-0000-000011C00000}"/>
    <cellStyle name="解释性文本 2 3 2 3 4 2" xfId="49170" xr:uid="{00000000-0005-0000-0000-000012C00000}"/>
    <cellStyle name="解释性文本 2 3 2 4" xfId="49171" xr:uid="{00000000-0005-0000-0000-000013C00000}"/>
    <cellStyle name="解释性文本 2 3 2 4 2" xfId="49172" xr:uid="{00000000-0005-0000-0000-000014C00000}"/>
    <cellStyle name="解释性文本 2 3 2 4 2 2" xfId="49173" xr:uid="{00000000-0005-0000-0000-000015C00000}"/>
    <cellStyle name="解释性文本 2 3 2 4 2 2 2" xfId="49174" xr:uid="{00000000-0005-0000-0000-000016C00000}"/>
    <cellStyle name="解释性文本 2 3 2 4 3" xfId="49175" xr:uid="{00000000-0005-0000-0000-000017C00000}"/>
    <cellStyle name="解释性文本 2 3 2 4 3 2" xfId="49176" xr:uid="{00000000-0005-0000-0000-000018C00000}"/>
    <cellStyle name="解释性文本 2 3 2 5" xfId="49177" xr:uid="{00000000-0005-0000-0000-000019C00000}"/>
    <cellStyle name="解释性文本 2 3 2 6" xfId="49178" xr:uid="{00000000-0005-0000-0000-00001AC00000}"/>
    <cellStyle name="解释性文本 2 3 2 7" xfId="49179" xr:uid="{00000000-0005-0000-0000-00001BC00000}"/>
    <cellStyle name="解释性文本 2 3 3" xfId="49180" xr:uid="{00000000-0005-0000-0000-00001CC00000}"/>
    <cellStyle name="解释性文本 2 3 3 2" xfId="49181" xr:uid="{00000000-0005-0000-0000-00001DC00000}"/>
    <cellStyle name="解释性文本 2 3 3 2 2" xfId="49182" xr:uid="{00000000-0005-0000-0000-00001EC00000}"/>
    <cellStyle name="解释性文本 2 3 3 2 3" xfId="49183" xr:uid="{00000000-0005-0000-0000-00001FC00000}"/>
    <cellStyle name="解释性文本 2 3 3 2 3 2" xfId="49184" xr:uid="{00000000-0005-0000-0000-000020C00000}"/>
    <cellStyle name="解释性文本 2 3 3 2 3 2 2" xfId="49185" xr:uid="{00000000-0005-0000-0000-000021C00000}"/>
    <cellStyle name="解释性文本 2 3 3 2 4" xfId="49186" xr:uid="{00000000-0005-0000-0000-000022C00000}"/>
    <cellStyle name="解释性文本 2 3 3 2 4 2" xfId="49187" xr:uid="{00000000-0005-0000-0000-000023C00000}"/>
    <cellStyle name="解释性文本 2 3 3 3" xfId="49188" xr:uid="{00000000-0005-0000-0000-000024C00000}"/>
    <cellStyle name="解释性文本 2 3 3 3 2" xfId="49189" xr:uid="{00000000-0005-0000-0000-000025C00000}"/>
    <cellStyle name="解释性文本 2 3 3 3 2 2" xfId="49190" xr:uid="{00000000-0005-0000-0000-000026C00000}"/>
    <cellStyle name="解释性文本 2 3 3 3 2 2 2" xfId="49191" xr:uid="{00000000-0005-0000-0000-000027C00000}"/>
    <cellStyle name="解释性文本 2 3 3 3 3" xfId="49192" xr:uid="{00000000-0005-0000-0000-000028C00000}"/>
    <cellStyle name="解释性文本 2 3 3 3 3 2" xfId="49193" xr:uid="{00000000-0005-0000-0000-000029C00000}"/>
    <cellStyle name="解释性文本 2 3 3 4" xfId="49194" xr:uid="{00000000-0005-0000-0000-00002AC00000}"/>
    <cellStyle name="解释性文本 2 3 3 5" xfId="49195" xr:uid="{00000000-0005-0000-0000-00002BC00000}"/>
    <cellStyle name="解释性文本 2 3 3 6" xfId="49196" xr:uid="{00000000-0005-0000-0000-00002CC00000}"/>
    <cellStyle name="解释性文本 2 3 4" xfId="49197" xr:uid="{00000000-0005-0000-0000-00002DC00000}"/>
    <cellStyle name="解释性文本 2 3 4 2" xfId="49198" xr:uid="{00000000-0005-0000-0000-00002EC00000}"/>
    <cellStyle name="解释性文本 2 3 4 2 2" xfId="49199" xr:uid="{00000000-0005-0000-0000-00002FC00000}"/>
    <cellStyle name="解释性文本 2 3 4 2 3" xfId="49200" xr:uid="{00000000-0005-0000-0000-000030C00000}"/>
    <cellStyle name="解释性文本 2 3 4 2 3 2" xfId="49201" xr:uid="{00000000-0005-0000-0000-000031C00000}"/>
    <cellStyle name="解释性文本 2 3 4 2 3 2 2" xfId="49202" xr:uid="{00000000-0005-0000-0000-000032C00000}"/>
    <cellStyle name="解释性文本 2 3 4 2 4" xfId="49203" xr:uid="{00000000-0005-0000-0000-000033C00000}"/>
    <cellStyle name="解释性文本 2 3 4 2 4 2" xfId="49204" xr:uid="{00000000-0005-0000-0000-000034C00000}"/>
    <cellStyle name="解释性文本 2 3 4 3" xfId="49205" xr:uid="{00000000-0005-0000-0000-000035C00000}"/>
    <cellStyle name="解释性文本 2 3 4 4" xfId="49206" xr:uid="{00000000-0005-0000-0000-000036C00000}"/>
    <cellStyle name="解释性文本 2 3 4 5" xfId="49207" xr:uid="{00000000-0005-0000-0000-000037C00000}"/>
    <cellStyle name="解释性文本 2 3 4 6" xfId="49208" xr:uid="{00000000-0005-0000-0000-000038C00000}"/>
    <cellStyle name="解释性文本 2 3 5" xfId="49209" xr:uid="{00000000-0005-0000-0000-000039C00000}"/>
    <cellStyle name="解释性文本 2 3 5 2" xfId="49210" xr:uid="{00000000-0005-0000-0000-00003AC00000}"/>
    <cellStyle name="解释性文本 2 3 5 2 2" xfId="49211" xr:uid="{00000000-0005-0000-0000-00003BC00000}"/>
    <cellStyle name="解释性文本 2 3 5 2 2 2" xfId="49212" xr:uid="{00000000-0005-0000-0000-00003CC00000}"/>
    <cellStyle name="解释性文本 2 3 5 2 2 2 2" xfId="49213" xr:uid="{00000000-0005-0000-0000-00003DC00000}"/>
    <cellStyle name="解释性文本 2 3 5 2 3" xfId="49214" xr:uid="{00000000-0005-0000-0000-00003EC00000}"/>
    <cellStyle name="解释性文本 2 3 5 2 3 2" xfId="49215" xr:uid="{00000000-0005-0000-0000-00003FC00000}"/>
    <cellStyle name="解释性文本 2 3 5 3" xfId="49216" xr:uid="{00000000-0005-0000-0000-000040C00000}"/>
    <cellStyle name="解释性文本 2 3 5 3 2" xfId="49217" xr:uid="{00000000-0005-0000-0000-000041C00000}"/>
    <cellStyle name="解释性文本 2 3 5 3 2 2" xfId="49218" xr:uid="{00000000-0005-0000-0000-000042C00000}"/>
    <cellStyle name="解释性文本 2 3 5 4" xfId="49219" xr:uid="{00000000-0005-0000-0000-000043C00000}"/>
    <cellStyle name="解释性文本 2 3 5 4 2" xfId="49220" xr:uid="{00000000-0005-0000-0000-000044C00000}"/>
    <cellStyle name="解释性文本 2 3 6" xfId="49221" xr:uid="{00000000-0005-0000-0000-000045C00000}"/>
    <cellStyle name="解释性文本 2 3 6 2" xfId="49222" xr:uid="{00000000-0005-0000-0000-000046C00000}"/>
    <cellStyle name="解释性文本 2 3 6 2 2" xfId="49223" xr:uid="{00000000-0005-0000-0000-000047C00000}"/>
    <cellStyle name="解释性文本 2 3 6 2 2 2" xfId="49224" xr:uid="{00000000-0005-0000-0000-000048C00000}"/>
    <cellStyle name="解释性文本 2 3 6 3" xfId="49225" xr:uid="{00000000-0005-0000-0000-000049C00000}"/>
    <cellStyle name="解释性文本 2 3 6 3 2" xfId="49226" xr:uid="{00000000-0005-0000-0000-00004AC00000}"/>
    <cellStyle name="解释性文本 2 3 7" xfId="49227" xr:uid="{00000000-0005-0000-0000-00004BC00000}"/>
    <cellStyle name="解释性文本 2 3 7 2" xfId="49228" xr:uid="{00000000-0005-0000-0000-00004CC00000}"/>
    <cellStyle name="解释性文本 2 3 7 2 2" xfId="49229" xr:uid="{00000000-0005-0000-0000-00004DC00000}"/>
    <cellStyle name="解释性文本 2 3 7 2 2 2" xfId="49230" xr:uid="{00000000-0005-0000-0000-00004EC00000}"/>
    <cellStyle name="解释性文本 2 3 7 3" xfId="49231" xr:uid="{00000000-0005-0000-0000-00004FC00000}"/>
    <cellStyle name="解释性文本 2 3 7 3 2" xfId="49232" xr:uid="{00000000-0005-0000-0000-000050C00000}"/>
    <cellStyle name="解释性文本 2 3 8" xfId="49233" xr:uid="{00000000-0005-0000-0000-000051C00000}"/>
    <cellStyle name="解释性文本 2 3 9" xfId="49234" xr:uid="{00000000-0005-0000-0000-000052C00000}"/>
    <cellStyle name="解释性文本 2 4" xfId="49235" xr:uid="{00000000-0005-0000-0000-000053C00000}"/>
    <cellStyle name="解释性文本 2 4 2" xfId="49236" xr:uid="{00000000-0005-0000-0000-000054C00000}"/>
    <cellStyle name="解释性文本 2 4 2 2" xfId="49237" xr:uid="{00000000-0005-0000-0000-000055C00000}"/>
    <cellStyle name="解释性文本 2 4 2 3" xfId="49238" xr:uid="{00000000-0005-0000-0000-000056C00000}"/>
    <cellStyle name="解释性文本 2 4 2 3 2" xfId="49239" xr:uid="{00000000-0005-0000-0000-000057C00000}"/>
    <cellStyle name="解释性文本 2 4 2 3 2 2" xfId="49240" xr:uid="{00000000-0005-0000-0000-000058C00000}"/>
    <cellStyle name="解释性文本 2 4 2 4" xfId="49241" xr:uid="{00000000-0005-0000-0000-000059C00000}"/>
    <cellStyle name="解释性文本 2 4 2 4 2" xfId="49242" xr:uid="{00000000-0005-0000-0000-00005AC00000}"/>
    <cellStyle name="解释性文本 2 4 3" xfId="49243" xr:uid="{00000000-0005-0000-0000-00005BC00000}"/>
    <cellStyle name="解释性文本 2 4 3 2" xfId="49244" xr:uid="{00000000-0005-0000-0000-00005CC00000}"/>
    <cellStyle name="解释性文本 2 4 3 2 2" xfId="49245" xr:uid="{00000000-0005-0000-0000-00005DC00000}"/>
    <cellStyle name="解释性文本 2 4 3 2 2 2" xfId="49246" xr:uid="{00000000-0005-0000-0000-00005EC00000}"/>
    <cellStyle name="解释性文本 2 4 3 3" xfId="49247" xr:uid="{00000000-0005-0000-0000-00005FC00000}"/>
    <cellStyle name="解释性文本 2 4 3 3 2" xfId="49248" xr:uid="{00000000-0005-0000-0000-000060C00000}"/>
    <cellStyle name="解释性文本 2 4 4" xfId="49249" xr:uid="{00000000-0005-0000-0000-000061C00000}"/>
    <cellStyle name="解释性文本 2 4 5" xfId="49250" xr:uid="{00000000-0005-0000-0000-000062C00000}"/>
    <cellStyle name="解释性文本 2 4 6" xfId="49251" xr:uid="{00000000-0005-0000-0000-000063C00000}"/>
    <cellStyle name="解释性文本 2 5" xfId="49252" xr:uid="{00000000-0005-0000-0000-000064C00000}"/>
    <cellStyle name="解释性文本 2 5 2" xfId="49253" xr:uid="{00000000-0005-0000-0000-000065C00000}"/>
    <cellStyle name="解释性文本 2 5 2 2" xfId="49254" xr:uid="{00000000-0005-0000-0000-000066C00000}"/>
    <cellStyle name="解释性文本 2 5 2 3" xfId="49255" xr:uid="{00000000-0005-0000-0000-000067C00000}"/>
    <cellStyle name="解释性文本 2 5 2 3 2" xfId="49256" xr:uid="{00000000-0005-0000-0000-000068C00000}"/>
    <cellStyle name="解释性文本 2 5 2 3 2 2" xfId="49257" xr:uid="{00000000-0005-0000-0000-000069C00000}"/>
    <cellStyle name="解释性文本 2 5 2 4" xfId="49258" xr:uid="{00000000-0005-0000-0000-00006AC00000}"/>
    <cellStyle name="解释性文本 2 5 2 4 2" xfId="49259" xr:uid="{00000000-0005-0000-0000-00006BC00000}"/>
    <cellStyle name="解释性文本 2 5 3" xfId="49260" xr:uid="{00000000-0005-0000-0000-00006CC00000}"/>
    <cellStyle name="解释性文本 2 5 4" xfId="49261" xr:uid="{00000000-0005-0000-0000-00006DC00000}"/>
    <cellStyle name="解释性文本 2 5 5" xfId="49262" xr:uid="{00000000-0005-0000-0000-00006EC00000}"/>
    <cellStyle name="解释性文本 2 5 6" xfId="49263" xr:uid="{00000000-0005-0000-0000-00006FC00000}"/>
    <cellStyle name="解释性文本 2 6" xfId="49264" xr:uid="{00000000-0005-0000-0000-000070C00000}"/>
    <cellStyle name="解释性文本 2 6 2" xfId="49265" xr:uid="{00000000-0005-0000-0000-000071C00000}"/>
    <cellStyle name="解释性文本 2 6 2 2" xfId="49266" xr:uid="{00000000-0005-0000-0000-000072C00000}"/>
    <cellStyle name="解释性文本 2 6 2 2 2" xfId="49267" xr:uid="{00000000-0005-0000-0000-000073C00000}"/>
    <cellStyle name="解释性文本 2 6 2 2 2 2" xfId="49268" xr:uid="{00000000-0005-0000-0000-000074C00000}"/>
    <cellStyle name="解释性文本 2 6 2 3" xfId="49269" xr:uid="{00000000-0005-0000-0000-000075C00000}"/>
    <cellStyle name="解释性文本 2 6 2 3 2" xfId="49270" xr:uid="{00000000-0005-0000-0000-000076C00000}"/>
    <cellStyle name="解释性文本 2 6 3" xfId="49271" xr:uid="{00000000-0005-0000-0000-000077C00000}"/>
    <cellStyle name="解释性文本 2 6 3 2" xfId="49272" xr:uid="{00000000-0005-0000-0000-000078C00000}"/>
    <cellStyle name="解释性文本 2 6 3 2 2" xfId="49273" xr:uid="{00000000-0005-0000-0000-000079C00000}"/>
    <cellStyle name="解释性文本 2 6 4" xfId="49274" xr:uid="{00000000-0005-0000-0000-00007AC00000}"/>
    <cellStyle name="解释性文本 2 6 4 2" xfId="49275" xr:uid="{00000000-0005-0000-0000-00007BC00000}"/>
    <cellStyle name="解释性文本 2 7" xfId="49276" xr:uid="{00000000-0005-0000-0000-00007CC00000}"/>
    <cellStyle name="解释性文本 2 7 2" xfId="49277" xr:uid="{00000000-0005-0000-0000-00007DC00000}"/>
    <cellStyle name="解释性文本 2 7 2 2" xfId="49278" xr:uid="{00000000-0005-0000-0000-00007EC00000}"/>
    <cellStyle name="解释性文本 2 7 2 2 2" xfId="49279" xr:uid="{00000000-0005-0000-0000-00007FC00000}"/>
    <cellStyle name="解释性文本 2 7 2 2 2 2" xfId="49280" xr:uid="{00000000-0005-0000-0000-000080C00000}"/>
    <cellStyle name="解释性文本 2 7 2 3" xfId="49281" xr:uid="{00000000-0005-0000-0000-000081C00000}"/>
    <cellStyle name="解释性文本 2 7 2 3 2" xfId="49282" xr:uid="{00000000-0005-0000-0000-000082C00000}"/>
    <cellStyle name="解释性文本 2 7 3" xfId="49283" xr:uid="{00000000-0005-0000-0000-000083C00000}"/>
    <cellStyle name="解释性文本 2 7 3 2" xfId="49284" xr:uid="{00000000-0005-0000-0000-000084C00000}"/>
    <cellStyle name="解释性文本 2 7 3 2 2" xfId="49285" xr:uid="{00000000-0005-0000-0000-000085C00000}"/>
    <cellStyle name="解释性文本 2 7 4" xfId="49286" xr:uid="{00000000-0005-0000-0000-000086C00000}"/>
    <cellStyle name="解释性文本 2 7 4 2" xfId="49287" xr:uid="{00000000-0005-0000-0000-000087C00000}"/>
    <cellStyle name="解释性文本 2 8" xfId="49288" xr:uid="{00000000-0005-0000-0000-000088C00000}"/>
    <cellStyle name="解释性文本 2 8 2" xfId="49289" xr:uid="{00000000-0005-0000-0000-000089C00000}"/>
    <cellStyle name="解释性文本 2 8 2 2" xfId="49290" xr:uid="{00000000-0005-0000-0000-00008AC00000}"/>
    <cellStyle name="解释性文本 2 8 2 2 2" xfId="49291" xr:uid="{00000000-0005-0000-0000-00008BC00000}"/>
    <cellStyle name="解释性文本 2 8 2 2 2 2" xfId="49292" xr:uid="{00000000-0005-0000-0000-00008CC00000}"/>
    <cellStyle name="解释性文本 2 8 2 3" xfId="49293" xr:uid="{00000000-0005-0000-0000-00008DC00000}"/>
    <cellStyle name="解释性文本 2 8 2 3 2" xfId="49294" xr:uid="{00000000-0005-0000-0000-00008EC00000}"/>
    <cellStyle name="解释性文本 2 8 3" xfId="49295" xr:uid="{00000000-0005-0000-0000-00008FC00000}"/>
    <cellStyle name="解释性文本 2 8 3 2" xfId="49296" xr:uid="{00000000-0005-0000-0000-000090C00000}"/>
    <cellStyle name="解释性文本 2 8 3 2 2" xfId="49297" xr:uid="{00000000-0005-0000-0000-000091C00000}"/>
    <cellStyle name="解释性文本 2 8 4" xfId="49298" xr:uid="{00000000-0005-0000-0000-000092C00000}"/>
    <cellStyle name="解释性文本 2 8 4 2" xfId="49299" xr:uid="{00000000-0005-0000-0000-000093C00000}"/>
    <cellStyle name="解释性文本 2 9" xfId="49300" xr:uid="{00000000-0005-0000-0000-000094C00000}"/>
    <cellStyle name="解释性文本 2 9 2" xfId="49301" xr:uid="{00000000-0005-0000-0000-000095C00000}"/>
    <cellStyle name="解释性文本 2 9 2 2" xfId="49302" xr:uid="{00000000-0005-0000-0000-000096C00000}"/>
    <cellStyle name="解释性文本 2 9 2 2 2" xfId="49303" xr:uid="{00000000-0005-0000-0000-000097C00000}"/>
    <cellStyle name="解释性文本 2 9 3" xfId="49304" xr:uid="{00000000-0005-0000-0000-000098C00000}"/>
    <cellStyle name="解释性文本 2 9 3 2" xfId="49305" xr:uid="{00000000-0005-0000-0000-000099C00000}"/>
    <cellStyle name="解释性文本 3" xfId="49306" xr:uid="{00000000-0005-0000-0000-00009AC00000}"/>
    <cellStyle name="解释性文本 3 2" xfId="49307" xr:uid="{00000000-0005-0000-0000-00009BC00000}"/>
    <cellStyle name="解释性文本 3 2 2" xfId="49308" xr:uid="{00000000-0005-0000-0000-00009CC00000}"/>
    <cellStyle name="解释性文本 3 2 2 2" xfId="49309" xr:uid="{00000000-0005-0000-0000-00009DC00000}"/>
    <cellStyle name="解释性文本 3 2 2 2 2" xfId="49310" xr:uid="{00000000-0005-0000-0000-00009EC00000}"/>
    <cellStyle name="解释性文本 3 2 2 2 3" xfId="49311" xr:uid="{00000000-0005-0000-0000-00009FC00000}"/>
    <cellStyle name="解释性文本 3 2 2 2 3 2" xfId="49312" xr:uid="{00000000-0005-0000-0000-0000A0C00000}"/>
    <cellStyle name="解释性文本 3 2 2 2 3 2 2" xfId="49313" xr:uid="{00000000-0005-0000-0000-0000A1C00000}"/>
    <cellStyle name="解释性文本 3 2 2 2 4" xfId="49314" xr:uid="{00000000-0005-0000-0000-0000A2C00000}"/>
    <cellStyle name="解释性文本 3 2 2 2 4 2" xfId="49315" xr:uid="{00000000-0005-0000-0000-0000A3C00000}"/>
    <cellStyle name="解释性文本 3 2 2 3" xfId="49316" xr:uid="{00000000-0005-0000-0000-0000A4C00000}"/>
    <cellStyle name="解释性文本 3 2 2 3 2" xfId="49317" xr:uid="{00000000-0005-0000-0000-0000A5C00000}"/>
    <cellStyle name="解释性文本 3 2 2 3 2 2" xfId="49318" xr:uid="{00000000-0005-0000-0000-0000A6C00000}"/>
    <cellStyle name="解释性文本 3 2 2 3 2 2 2" xfId="49319" xr:uid="{00000000-0005-0000-0000-0000A7C00000}"/>
    <cellStyle name="解释性文本 3 2 2 3 3" xfId="49320" xr:uid="{00000000-0005-0000-0000-0000A8C00000}"/>
    <cellStyle name="解释性文本 3 2 2 3 3 2" xfId="49321" xr:uid="{00000000-0005-0000-0000-0000A9C00000}"/>
    <cellStyle name="解释性文本 3 2 2 4" xfId="49322" xr:uid="{00000000-0005-0000-0000-0000AAC00000}"/>
    <cellStyle name="解释性文本 3 2 2 5" xfId="49323" xr:uid="{00000000-0005-0000-0000-0000ABC00000}"/>
    <cellStyle name="解释性文本 3 2 2 6" xfId="49324" xr:uid="{00000000-0005-0000-0000-0000ACC00000}"/>
    <cellStyle name="解释性文本 3 2 3" xfId="49325" xr:uid="{00000000-0005-0000-0000-0000ADC00000}"/>
    <cellStyle name="解释性文本 3 2 3 2" xfId="49326" xr:uid="{00000000-0005-0000-0000-0000AEC00000}"/>
    <cellStyle name="解释性文本 3 2 3 3" xfId="49327" xr:uid="{00000000-0005-0000-0000-0000AFC00000}"/>
    <cellStyle name="解释性文本 3 2 3 3 2" xfId="49328" xr:uid="{00000000-0005-0000-0000-0000B0C00000}"/>
    <cellStyle name="解释性文本 3 2 3 3 2 2" xfId="49329" xr:uid="{00000000-0005-0000-0000-0000B1C00000}"/>
    <cellStyle name="解释性文本 3 2 3 4" xfId="49330" xr:uid="{00000000-0005-0000-0000-0000B2C00000}"/>
    <cellStyle name="解释性文本 3 2 3 4 2" xfId="49331" xr:uid="{00000000-0005-0000-0000-0000B3C00000}"/>
    <cellStyle name="解释性文本 3 2 4" xfId="49332" xr:uid="{00000000-0005-0000-0000-0000B4C00000}"/>
    <cellStyle name="解释性文本 3 2 4 2" xfId="49333" xr:uid="{00000000-0005-0000-0000-0000B5C00000}"/>
    <cellStyle name="解释性文本 3 2 4 2 2" xfId="49334" xr:uid="{00000000-0005-0000-0000-0000B6C00000}"/>
    <cellStyle name="解释性文本 3 2 4 2 2 2" xfId="49335" xr:uid="{00000000-0005-0000-0000-0000B7C00000}"/>
    <cellStyle name="解释性文本 3 2 4 3" xfId="49336" xr:uid="{00000000-0005-0000-0000-0000B8C00000}"/>
    <cellStyle name="解释性文本 3 2 4 3 2" xfId="49337" xr:uid="{00000000-0005-0000-0000-0000B9C00000}"/>
    <cellStyle name="解释性文本 3 2 5" xfId="49338" xr:uid="{00000000-0005-0000-0000-0000BAC00000}"/>
    <cellStyle name="解释性文本 3 2 6" xfId="49339" xr:uid="{00000000-0005-0000-0000-0000BBC00000}"/>
    <cellStyle name="解释性文本 3 2 7" xfId="49340" xr:uid="{00000000-0005-0000-0000-0000BCC00000}"/>
    <cellStyle name="解释性文本 3 3" xfId="49341" xr:uid="{00000000-0005-0000-0000-0000BDC00000}"/>
    <cellStyle name="解释性文本 3 3 2" xfId="49342" xr:uid="{00000000-0005-0000-0000-0000BEC00000}"/>
    <cellStyle name="解释性文本 3 3 2 2" xfId="49343" xr:uid="{00000000-0005-0000-0000-0000BFC00000}"/>
    <cellStyle name="解释性文本 3 3 2 3" xfId="49344" xr:uid="{00000000-0005-0000-0000-0000C0C00000}"/>
    <cellStyle name="解释性文本 3 3 2 3 2" xfId="49345" xr:uid="{00000000-0005-0000-0000-0000C1C00000}"/>
    <cellStyle name="解释性文本 3 3 2 3 2 2" xfId="49346" xr:uid="{00000000-0005-0000-0000-0000C2C00000}"/>
    <cellStyle name="解释性文本 3 3 2 4" xfId="49347" xr:uid="{00000000-0005-0000-0000-0000C3C00000}"/>
    <cellStyle name="解释性文本 3 3 2 4 2" xfId="49348" xr:uid="{00000000-0005-0000-0000-0000C4C00000}"/>
    <cellStyle name="解释性文本 3 3 3" xfId="49349" xr:uid="{00000000-0005-0000-0000-0000C5C00000}"/>
    <cellStyle name="解释性文本 3 3 3 2" xfId="49350" xr:uid="{00000000-0005-0000-0000-0000C6C00000}"/>
    <cellStyle name="解释性文本 3 3 3 2 2" xfId="49351" xr:uid="{00000000-0005-0000-0000-0000C7C00000}"/>
    <cellStyle name="解释性文本 3 3 3 2 2 2" xfId="49352" xr:uid="{00000000-0005-0000-0000-0000C8C00000}"/>
    <cellStyle name="解释性文本 3 3 3 3" xfId="49353" xr:uid="{00000000-0005-0000-0000-0000C9C00000}"/>
    <cellStyle name="解释性文本 3 3 3 3 2" xfId="49354" xr:uid="{00000000-0005-0000-0000-0000CAC00000}"/>
    <cellStyle name="解释性文本 3 3 4" xfId="49355" xr:uid="{00000000-0005-0000-0000-0000CBC00000}"/>
    <cellStyle name="解释性文本 3 3 5" xfId="49356" xr:uid="{00000000-0005-0000-0000-0000CCC00000}"/>
    <cellStyle name="解释性文本 3 3 6" xfId="49357" xr:uid="{00000000-0005-0000-0000-0000CDC00000}"/>
    <cellStyle name="解释性文本 3 4" xfId="49358" xr:uid="{00000000-0005-0000-0000-0000CEC00000}"/>
    <cellStyle name="解释性文本 3 4 2" xfId="49359" xr:uid="{00000000-0005-0000-0000-0000CFC00000}"/>
    <cellStyle name="解释性文本 3 4 2 2" xfId="49360" xr:uid="{00000000-0005-0000-0000-0000D0C00000}"/>
    <cellStyle name="解释性文本 3 4 2 3" xfId="49361" xr:uid="{00000000-0005-0000-0000-0000D1C00000}"/>
    <cellStyle name="解释性文本 3 4 2 3 2" xfId="49362" xr:uid="{00000000-0005-0000-0000-0000D2C00000}"/>
    <cellStyle name="解释性文本 3 4 2 3 2 2" xfId="49363" xr:uid="{00000000-0005-0000-0000-0000D3C00000}"/>
    <cellStyle name="解释性文本 3 4 2 4" xfId="49364" xr:uid="{00000000-0005-0000-0000-0000D4C00000}"/>
    <cellStyle name="解释性文本 3 4 2 4 2" xfId="49365" xr:uid="{00000000-0005-0000-0000-0000D5C00000}"/>
    <cellStyle name="解释性文本 3 4 3" xfId="49366" xr:uid="{00000000-0005-0000-0000-0000D6C00000}"/>
    <cellStyle name="解释性文本 3 4 4" xfId="49367" xr:uid="{00000000-0005-0000-0000-0000D7C00000}"/>
    <cellStyle name="解释性文本 3 4 5" xfId="49368" xr:uid="{00000000-0005-0000-0000-0000D8C00000}"/>
    <cellStyle name="解释性文本 3 4 6" xfId="49369" xr:uid="{00000000-0005-0000-0000-0000D9C00000}"/>
    <cellStyle name="解释性文本 3 5" xfId="49370" xr:uid="{00000000-0005-0000-0000-0000DAC00000}"/>
    <cellStyle name="解释性文本 3 5 2" xfId="49371" xr:uid="{00000000-0005-0000-0000-0000DBC00000}"/>
    <cellStyle name="解释性文本 3 5 2 2" xfId="49372" xr:uid="{00000000-0005-0000-0000-0000DCC00000}"/>
    <cellStyle name="解释性文本 3 5 2 2 2" xfId="49373" xr:uid="{00000000-0005-0000-0000-0000DDC00000}"/>
    <cellStyle name="解释性文本 3 5 2 2 2 2" xfId="49374" xr:uid="{00000000-0005-0000-0000-0000DEC00000}"/>
    <cellStyle name="解释性文本 3 5 2 3" xfId="49375" xr:uid="{00000000-0005-0000-0000-0000DFC00000}"/>
    <cellStyle name="解释性文本 3 5 2 3 2" xfId="49376" xr:uid="{00000000-0005-0000-0000-0000E0C00000}"/>
    <cellStyle name="解释性文本 3 5 3" xfId="49377" xr:uid="{00000000-0005-0000-0000-0000E1C00000}"/>
    <cellStyle name="解释性文本 3 5 3 2" xfId="49378" xr:uid="{00000000-0005-0000-0000-0000E2C00000}"/>
    <cellStyle name="解释性文本 3 5 3 2 2" xfId="49379" xr:uid="{00000000-0005-0000-0000-0000E3C00000}"/>
    <cellStyle name="解释性文本 3 5 4" xfId="49380" xr:uid="{00000000-0005-0000-0000-0000E4C00000}"/>
    <cellStyle name="解释性文本 3 5 4 2" xfId="49381" xr:uid="{00000000-0005-0000-0000-0000E5C00000}"/>
    <cellStyle name="解释性文本 3 6" xfId="49382" xr:uid="{00000000-0005-0000-0000-0000E6C00000}"/>
    <cellStyle name="解释性文本 3 6 2" xfId="49383" xr:uid="{00000000-0005-0000-0000-0000E7C00000}"/>
    <cellStyle name="解释性文本 3 6 2 2" xfId="49384" xr:uid="{00000000-0005-0000-0000-0000E8C00000}"/>
    <cellStyle name="解释性文本 3 6 2 2 2" xfId="49385" xr:uid="{00000000-0005-0000-0000-0000E9C00000}"/>
    <cellStyle name="解释性文本 3 6 3" xfId="49386" xr:uid="{00000000-0005-0000-0000-0000EAC00000}"/>
    <cellStyle name="解释性文本 3 6 3 2" xfId="49387" xr:uid="{00000000-0005-0000-0000-0000EBC00000}"/>
    <cellStyle name="解释性文本 3 7" xfId="49388" xr:uid="{00000000-0005-0000-0000-0000ECC00000}"/>
    <cellStyle name="解释性文本 3 8" xfId="49389" xr:uid="{00000000-0005-0000-0000-0000EDC00000}"/>
    <cellStyle name="警告文本 2" xfId="49390" xr:uid="{00000000-0005-0000-0000-0000EEC00000}"/>
    <cellStyle name="警告文本 2 10" xfId="49391" xr:uid="{00000000-0005-0000-0000-0000EFC00000}"/>
    <cellStyle name="警告文本 2 11" xfId="49392" xr:uid="{00000000-0005-0000-0000-0000F0C00000}"/>
    <cellStyle name="警告文本 2 2" xfId="49393" xr:uid="{00000000-0005-0000-0000-0000F1C00000}"/>
    <cellStyle name="警告文本 2 2 10" xfId="49394" xr:uid="{00000000-0005-0000-0000-0000F2C00000}"/>
    <cellStyle name="警告文本 2 2 11" xfId="49395" xr:uid="{00000000-0005-0000-0000-0000F3C00000}"/>
    <cellStyle name="警告文本 2 2 2" xfId="49396" xr:uid="{00000000-0005-0000-0000-0000F4C00000}"/>
    <cellStyle name="警告文本 2 2 2 2" xfId="49397" xr:uid="{00000000-0005-0000-0000-0000F5C00000}"/>
    <cellStyle name="警告文本 2 2 2 2 2" xfId="49398" xr:uid="{00000000-0005-0000-0000-0000F6C00000}"/>
    <cellStyle name="警告文本 2 2 2 2 2 2" xfId="49399" xr:uid="{00000000-0005-0000-0000-0000F7C00000}"/>
    <cellStyle name="警告文本 2 2 2 2 2 3" xfId="49400" xr:uid="{00000000-0005-0000-0000-0000F8C00000}"/>
    <cellStyle name="警告文本 2 2 2 2 2 3 2" xfId="49401" xr:uid="{00000000-0005-0000-0000-0000F9C00000}"/>
    <cellStyle name="警告文本 2 2 2 2 2 3 2 2" xfId="49402" xr:uid="{00000000-0005-0000-0000-0000FAC00000}"/>
    <cellStyle name="警告文本 2 2 2 2 2 4" xfId="49403" xr:uid="{00000000-0005-0000-0000-0000FBC00000}"/>
    <cellStyle name="警告文本 2 2 2 2 2 4 2" xfId="49404" xr:uid="{00000000-0005-0000-0000-0000FCC00000}"/>
    <cellStyle name="警告文本 2 2 2 2 3" xfId="49405" xr:uid="{00000000-0005-0000-0000-0000FDC00000}"/>
    <cellStyle name="警告文本 2 2 2 2 3 2" xfId="49406" xr:uid="{00000000-0005-0000-0000-0000FEC00000}"/>
    <cellStyle name="警告文本 2 2 2 2 3 2 2" xfId="49407" xr:uid="{00000000-0005-0000-0000-0000FFC00000}"/>
    <cellStyle name="警告文本 2 2 2 2 3 2 2 2" xfId="49408" xr:uid="{00000000-0005-0000-0000-000000C10000}"/>
    <cellStyle name="警告文本 2 2 2 2 3 3" xfId="49409" xr:uid="{00000000-0005-0000-0000-000001C10000}"/>
    <cellStyle name="警告文本 2 2 2 2 3 3 2" xfId="49410" xr:uid="{00000000-0005-0000-0000-000002C10000}"/>
    <cellStyle name="警告文本 2 2 2 2 4" xfId="49411" xr:uid="{00000000-0005-0000-0000-000003C10000}"/>
    <cellStyle name="警告文本 2 2 2 2 5" xfId="49412" xr:uid="{00000000-0005-0000-0000-000004C10000}"/>
    <cellStyle name="警告文本 2 2 2 2 6" xfId="49413" xr:uid="{00000000-0005-0000-0000-000005C10000}"/>
    <cellStyle name="警告文本 2 2 2 3" xfId="49414" xr:uid="{00000000-0005-0000-0000-000006C10000}"/>
    <cellStyle name="警告文本 2 2 2 3 2" xfId="49415" xr:uid="{00000000-0005-0000-0000-000007C10000}"/>
    <cellStyle name="警告文本 2 2 2 3 3" xfId="49416" xr:uid="{00000000-0005-0000-0000-000008C10000}"/>
    <cellStyle name="警告文本 2 2 2 3 3 2" xfId="49417" xr:uid="{00000000-0005-0000-0000-000009C10000}"/>
    <cellStyle name="警告文本 2 2 2 3 3 2 2" xfId="49418" xr:uid="{00000000-0005-0000-0000-00000AC10000}"/>
    <cellStyle name="警告文本 2 2 2 3 4" xfId="49419" xr:uid="{00000000-0005-0000-0000-00000BC10000}"/>
    <cellStyle name="警告文本 2 2 2 3 4 2" xfId="49420" xr:uid="{00000000-0005-0000-0000-00000CC10000}"/>
    <cellStyle name="警告文本 2 2 2 4" xfId="49421" xr:uid="{00000000-0005-0000-0000-00000DC10000}"/>
    <cellStyle name="警告文本 2 2 2 4 2" xfId="49422" xr:uid="{00000000-0005-0000-0000-00000EC10000}"/>
    <cellStyle name="警告文本 2 2 2 4 2 2" xfId="49423" xr:uid="{00000000-0005-0000-0000-00000FC10000}"/>
    <cellStyle name="警告文本 2 2 2 4 2 2 2" xfId="49424" xr:uid="{00000000-0005-0000-0000-000010C10000}"/>
    <cellStyle name="警告文本 2 2 2 4 3" xfId="49425" xr:uid="{00000000-0005-0000-0000-000011C10000}"/>
    <cellStyle name="警告文本 2 2 2 4 3 2" xfId="49426" xr:uid="{00000000-0005-0000-0000-000012C10000}"/>
    <cellStyle name="警告文本 2 2 2 5" xfId="49427" xr:uid="{00000000-0005-0000-0000-000013C10000}"/>
    <cellStyle name="警告文本 2 2 2 6" xfId="49428" xr:uid="{00000000-0005-0000-0000-000014C10000}"/>
    <cellStyle name="警告文本 2 2 2 7" xfId="49429" xr:uid="{00000000-0005-0000-0000-000015C10000}"/>
    <cellStyle name="警告文本 2 2 3" xfId="49430" xr:uid="{00000000-0005-0000-0000-000016C10000}"/>
    <cellStyle name="警告文本 2 2 3 2" xfId="49431" xr:uid="{00000000-0005-0000-0000-000017C10000}"/>
    <cellStyle name="警告文本 2 2 3 2 2" xfId="49432" xr:uid="{00000000-0005-0000-0000-000018C10000}"/>
    <cellStyle name="警告文本 2 2 3 2 3" xfId="49433" xr:uid="{00000000-0005-0000-0000-000019C10000}"/>
    <cellStyle name="警告文本 2 2 3 2 3 2" xfId="49434" xr:uid="{00000000-0005-0000-0000-00001AC10000}"/>
    <cellStyle name="警告文本 2 2 3 2 3 2 2" xfId="49435" xr:uid="{00000000-0005-0000-0000-00001BC10000}"/>
    <cellStyle name="警告文本 2 2 3 2 4" xfId="49436" xr:uid="{00000000-0005-0000-0000-00001CC10000}"/>
    <cellStyle name="警告文本 2 2 3 2 4 2" xfId="49437" xr:uid="{00000000-0005-0000-0000-00001DC10000}"/>
    <cellStyle name="警告文本 2 2 3 3" xfId="49438" xr:uid="{00000000-0005-0000-0000-00001EC10000}"/>
    <cellStyle name="警告文本 2 2 3 3 2" xfId="49439" xr:uid="{00000000-0005-0000-0000-00001FC10000}"/>
    <cellStyle name="警告文本 2 2 3 3 2 2" xfId="49440" xr:uid="{00000000-0005-0000-0000-000020C10000}"/>
    <cellStyle name="警告文本 2 2 3 3 2 2 2" xfId="49441" xr:uid="{00000000-0005-0000-0000-000021C10000}"/>
    <cellStyle name="警告文本 2 2 3 3 3" xfId="49442" xr:uid="{00000000-0005-0000-0000-000022C10000}"/>
    <cellStyle name="警告文本 2 2 3 3 3 2" xfId="49443" xr:uid="{00000000-0005-0000-0000-000023C10000}"/>
    <cellStyle name="警告文本 2 2 3 4" xfId="49444" xr:uid="{00000000-0005-0000-0000-000024C10000}"/>
    <cellStyle name="警告文本 2 2 3 5" xfId="49445" xr:uid="{00000000-0005-0000-0000-000025C10000}"/>
    <cellStyle name="警告文本 2 2 3 6" xfId="49446" xr:uid="{00000000-0005-0000-0000-000026C10000}"/>
    <cellStyle name="警告文本 2 2 4" xfId="49447" xr:uid="{00000000-0005-0000-0000-000027C10000}"/>
    <cellStyle name="警告文本 2 2 4 2" xfId="49448" xr:uid="{00000000-0005-0000-0000-000028C10000}"/>
    <cellStyle name="警告文本 2 2 4 2 2" xfId="49449" xr:uid="{00000000-0005-0000-0000-000029C10000}"/>
    <cellStyle name="警告文本 2 2 4 2 3" xfId="49450" xr:uid="{00000000-0005-0000-0000-00002AC10000}"/>
    <cellStyle name="警告文本 2 2 4 2 3 2" xfId="49451" xr:uid="{00000000-0005-0000-0000-00002BC10000}"/>
    <cellStyle name="警告文本 2 2 4 2 3 2 2" xfId="49452" xr:uid="{00000000-0005-0000-0000-00002CC10000}"/>
    <cellStyle name="警告文本 2 2 4 2 4" xfId="49453" xr:uid="{00000000-0005-0000-0000-00002DC10000}"/>
    <cellStyle name="警告文本 2 2 4 2 4 2" xfId="49454" xr:uid="{00000000-0005-0000-0000-00002EC10000}"/>
    <cellStyle name="警告文本 2 2 4 3" xfId="49455" xr:uid="{00000000-0005-0000-0000-00002FC10000}"/>
    <cellStyle name="警告文本 2 2 4 4" xfId="49456" xr:uid="{00000000-0005-0000-0000-000030C10000}"/>
    <cellStyle name="警告文本 2 2 4 5" xfId="49457" xr:uid="{00000000-0005-0000-0000-000031C10000}"/>
    <cellStyle name="警告文本 2 2 4 6" xfId="49458" xr:uid="{00000000-0005-0000-0000-000032C10000}"/>
    <cellStyle name="警告文本 2 2 5" xfId="49459" xr:uid="{00000000-0005-0000-0000-000033C10000}"/>
    <cellStyle name="警告文本 2 2 5 2" xfId="49460" xr:uid="{00000000-0005-0000-0000-000034C10000}"/>
    <cellStyle name="警告文本 2 2 5 2 2" xfId="49461" xr:uid="{00000000-0005-0000-0000-000035C10000}"/>
    <cellStyle name="警告文本 2 2 5 2 2 2" xfId="49462" xr:uid="{00000000-0005-0000-0000-000036C10000}"/>
    <cellStyle name="警告文本 2 2 5 2 2 2 2" xfId="49463" xr:uid="{00000000-0005-0000-0000-000037C10000}"/>
    <cellStyle name="警告文本 2 2 5 2 3" xfId="49464" xr:uid="{00000000-0005-0000-0000-000038C10000}"/>
    <cellStyle name="警告文本 2 2 5 2 3 2" xfId="49465" xr:uid="{00000000-0005-0000-0000-000039C10000}"/>
    <cellStyle name="警告文本 2 2 5 3" xfId="49466" xr:uid="{00000000-0005-0000-0000-00003AC10000}"/>
    <cellStyle name="警告文本 2 2 5 3 2" xfId="49467" xr:uid="{00000000-0005-0000-0000-00003BC10000}"/>
    <cellStyle name="警告文本 2 2 5 3 2 2" xfId="49468" xr:uid="{00000000-0005-0000-0000-00003CC10000}"/>
    <cellStyle name="警告文本 2 2 5 4" xfId="49469" xr:uid="{00000000-0005-0000-0000-00003DC10000}"/>
    <cellStyle name="警告文本 2 2 5 4 2" xfId="49470" xr:uid="{00000000-0005-0000-0000-00003EC10000}"/>
    <cellStyle name="警告文本 2 2 6" xfId="49471" xr:uid="{00000000-0005-0000-0000-00003FC10000}"/>
    <cellStyle name="警告文本 2 2 6 2" xfId="49472" xr:uid="{00000000-0005-0000-0000-000040C10000}"/>
    <cellStyle name="警告文本 2 2 6 2 2" xfId="49473" xr:uid="{00000000-0005-0000-0000-000041C10000}"/>
    <cellStyle name="警告文本 2 2 6 2 2 2" xfId="49474" xr:uid="{00000000-0005-0000-0000-000042C10000}"/>
    <cellStyle name="警告文本 2 2 6 2 2 2 2" xfId="49475" xr:uid="{00000000-0005-0000-0000-000043C10000}"/>
    <cellStyle name="警告文本 2 2 6 2 3" xfId="49476" xr:uid="{00000000-0005-0000-0000-000044C10000}"/>
    <cellStyle name="警告文本 2 2 6 2 3 2" xfId="49477" xr:uid="{00000000-0005-0000-0000-000045C10000}"/>
    <cellStyle name="警告文本 2 2 6 3" xfId="49478" xr:uid="{00000000-0005-0000-0000-000046C10000}"/>
    <cellStyle name="警告文本 2 2 6 3 2" xfId="49479" xr:uid="{00000000-0005-0000-0000-000047C10000}"/>
    <cellStyle name="警告文本 2 2 6 3 2 2" xfId="49480" xr:uid="{00000000-0005-0000-0000-000048C10000}"/>
    <cellStyle name="警告文本 2 2 6 4" xfId="49481" xr:uid="{00000000-0005-0000-0000-000049C10000}"/>
    <cellStyle name="警告文本 2 2 6 4 2" xfId="49482" xr:uid="{00000000-0005-0000-0000-00004AC10000}"/>
    <cellStyle name="警告文本 2 2 7" xfId="49483" xr:uid="{00000000-0005-0000-0000-00004BC10000}"/>
    <cellStyle name="警告文本 2 2 7 2" xfId="49484" xr:uid="{00000000-0005-0000-0000-00004CC10000}"/>
    <cellStyle name="警告文本 2 2 7 2 2" xfId="49485" xr:uid="{00000000-0005-0000-0000-00004DC10000}"/>
    <cellStyle name="警告文本 2 2 7 2 2 2" xfId="49486" xr:uid="{00000000-0005-0000-0000-00004EC10000}"/>
    <cellStyle name="警告文本 2 2 7 2 2 2 2" xfId="49487" xr:uid="{00000000-0005-0000-0000-00004FC10000}"/>
    <cellStyle name="警告文本 2 2 7 2 3" xfId="49488" xr:uid="{00000000-0005-0000-0000-000050C10000}"/>
    <cellStyle name="警告文本 2 2 7 2 3 2" xfId="49489" xr:uid="{00000000-0005-0000-0000-000051C10000}"/>
    <cellStyle name="警告文本 2 2 7 3" xfId="49490" xr:uid="{00000000-0005-0000-0000-000052C10000}"/>
    <cellStyle name="警告文本 2 2 7 3 2" xfId="49491" xr:uid="{00000000-0005-0000-0000-000053C10000}"/>
    <cellStyle name="警告文本 2 2 7 3 2 2" xfId="49492" xr:uid="{00000000-0005-0000-0000-000054C10000}"/>
    <cellStyle name="警告文本 2 2 7 4" xfId="49493" xr:uid="{00000000-0005-0000-0000-000055C10000}"/>
    <cellStyle name="警告文本 2 2 7 4 2" xfId="49494" xr:uid="{00000000-0005-0000-0000-000056C10000}"/>
    <cellStyle name="警告文本 2 2 8" xfId="49495" xr:uid="{00000000-0005-0000-0000-000057C10000}"/>
    <cellStyle name="警告文本 2 2 8 2" xfId="49496" xr:uid="{00000000-0005-0000-0000-000058C10000}"/>
    <cellStyle name="警告文本 2 2 8 2 2" xfId="49497" xr:uid="{00000000-0005-0000-0000-000059C10000}"/>
    <cellStyle name="警告文本 2 2 8 2 2 2" xfId="49498" xr:uid="{00000000-0005-0000-0000-00005AC10000}"/>
    <cellStyle name="警告文本 2 2 8 3" xfId="49499" xr:uid="{00000000-0005-0000-0000-00005BC10000}"/>
    <cellStyle name="警告文本 2 2 8 3 2" xfId="49500" xr:uid="{00000000-0005-0000-0000-00005CC10000}"/>
    <cellStyle name="警告文本 2 2 9" xfId="49501" xr:uid="{00000000-0005-0000-0000-00005DC10000}"/>
    <cellStyle name="警告文本 2 2 9 2" xfId="49502" xr:uid="{00000000-0005-0000-0000-00005EC10000}"/>
    <cellStyle name="警告文本 2 2 9 2 2" xfId="49503" xr:uid="{00000000-0005-0000-0000-00005FC10000}"/>
    <cellStyle name="警告文本 2 2 9 2 2 2" xfId="49504" xr:uid="{00000000-0005-0000-0000-000060C10000}"/>
    <cellStyle name="警告文本 2 2 9 3" xfId="49505" xr:uid="{00000000-0005-0000-0000-000061C10000}"/>
    <cellStyle name="警告文本 2 2 9 3 2" xfId="49506" xr:uid="{00000000-0005-0000-0000-000062C10000}"/>
    <cellStyle name="警告文本 2 3" xfId="49507" xr:uid="{00000000-0005-0000-0000-000063C10000}"/>
    <cellStyle name="警告文本 2 3 2" xfId="49508" xr:uid="{00000000-0005-0000-0000-000064C10000}"/>
    <cellStyle name="警告文本 2 3 2 2" xfId="49509" xr:uid="{00000000-0005-0000-0000-000065C10000}"/>
    <cellStyle name="警告文本 2 3 2 2 2" xfId="49510" xr:uid="{00000000-0005-0000-0000-000066C10000}"/>
    <cellStyle name="警告文本 2 3 2 2 2 2" xfId="49511" xr:uid="{00000000-0005-0000-0000-000067C10000}"/>
    <cellStyle name="警告文本 2 3 2 2 2 3" xfId="49512" xr:uid="{00000000-0005-0000-0000-000068C10000}"/>
    <cellStyle name="警告文本 2 3 2 2 2 3 2" xfId="49513" xr:uid="{00000000-0005-0000-0000-000069C10000}"/>
    <cellStyle name="警告文本 2 3 2 2 2 3 2 2" xfId="49514" xr:uid="{00000000-0005-0000-0000-00006AC10000}"/>
    <cellStyle name="警告文本 2 3 2 2 2 4" xfId="49515" xr:uid="{00000000-0005-0000-0000-00006BC10000}"/>
    <cellStyle name="警告文本 2 3 2 2 2 4 2" xfId="49516" xr:uid="{00000000-0005-0000-0000-00006CC10000}"/>
    <cellStyle name="警告文本 2 3 2 2 3" xfId="49517" xr:uid="{00000000-0005-0000-0000-00006DC10000}"/>
    <cellStyle name="警告文本 2 3 2 2 3 2" xfId="49518" xr:uid="{00000000-0005-0000-0000-00006EC10000}"/>
    <cellStyle name="警告文本 2 3 2 2 3 2 2" xfId="49519" xr:uid="{00000000-0005-0000-0000-00006FC10000}"/>
    <cellStyle name="警告文本 2 3 2 2 3 2 2 2" xfId="49520" xr:uid="{00000000-0005-0000-0000-000070C10000}"/>
    <cellStyle name="警告文本 2 3 2 2 3 3" xfId="49521" xr:uid="{00000000-0005-0000-0000-000071C10000}"/>
    <cellStyle name="警告文本 2 3 2 2 3 3 2" xfId="49522" xr:uid="{00000000-0005-0000-0000-000072C10000}"/>
    <cellStyle name="警告文本 2 3 2 2 4" xfId="49523" xr:uid="{00000000-0005-0000-0000-000073C10000}"/>
    <cellStyle name="警告文本 2 3 2 2 5" xfId="49524" xr:uid="{00000000-0005-0000-0000-000074C10000}"/>
    <cellStyle name="警告文本 2 3 2 2 6" xfId="49525" xr:uid="{00000000-0005-0000-0000-000075C10000}"/>
    <cellStyle name="警告文本 2 3 2 3" xfId="49526" xr:uid="{00000000-0005-0000-0000-000076C10000}"/>
    <cellStyle name="警告文本 2 3 2 3 2" xfId="49527" xr:uid="{00000000-0005-0000-0000-000077C10000}"/>
    <cellStyle name="警告文本 2 3 2 3 3" xfId="49528" xr:uid="{00000000-0005-0000-0000-000078C10000}"/>
    <cellStyle name="警告文本 2 3 2 3 3 2" xfId="49529" xr:uid="{00000000-0005-0000-0000-000079C10000}"/>
    <cellStyle name="警告文本 2 3 2 3 3 2 2" xfId="49530" xr:uid="{00000000-0005-0000-0000-00007AC10000}"/>
    <cellStyle name="警告文本 2 3 2 3 4" xfId="49531" xr:uid="{00000000-0005-0000-0000-00007BC10000}"/>
    <cellStyle name="警告文本 2 3 2 3 4 2" xfId="49532" xr:uid="{00000000-0005-0000-0000-00007CC10000}"/>
    <cellStyle name="警告文本 2 3 2 4" xfId="49533" xr:uid="{00000000-0005-0000-0000-00007DC10000}"/>
    <cellStyle name="警告文本 2 3 2 4 2" xfId="49534" xr:uid="{00000000-0005-0000-0000-00007EC10000}"/>
    <cellStyle name="警告文本 2 3 2 4 2 2" xfId="49535" xr:uid="{00000000-0005-0000-0000-00007FC10000}"/>
    <cellStyle name="警告文本 2 3 2 4 2 2 2" xfId="49536" xr:uid="{00000000-0005-0000-0000-000080C10000}"/>
    <cellStyle name="警告文本 2 3 2 4 3" xfId="49537" xr:uid="{00000000-0005-0000-0000-000081C10000}"/>
    <cellStyle name="警告文本 2 3 2 4 3 2" xfId="49538" xr:uid="{00000000-0005-0000-0000-000082C10000}"/>
    <cellStyle name="警告文本 2 3 2 5" xfId="49539" xr:uid="{00000000-0005-0000-0000-000083C10000}"/>
    <cellStyle name="警告文本 2 3 2 6" xfId="49540" xr:uid="{00000000-0005-0000-0000-000084C10000}"/>
    <cellStyle name="警告文本 2 3 2 7" xfId="49541" xr:uid="{00000000-0005-0000-0000-000085C10000}"/>
    <cellStyle name="警告文本 2 3 3" xfId="49542" xr:uid="{00000000-0005-0000-0000-000086C10000}"/>
    <cellStyle name="警告文本 2 3 3 2" xfId="49543" xr:uid="{00000000-0005-0000-0000-000087C10000}"/>
    <cellStyle name="警告文本 2 3 3 2 2" xfId="49544" xr:uid="{00000000-0005-0000-0000-000088C10000}"/>
    <cellStyle name="警告文本 2 3 3 2 3" xfId="49545" xr:uid="{00000000-0005-0000-0000-000089C10000}"/>
    <cellStyle name="警告文本 2 3 3 2 3 2" xfId="49546" xr:uid="{00000000-0005-0000-0000-00008AC10000}"/>
    <cellStyle name="警告文本 2 3 3 2 3 2 2" xfId="49547" xr:uid="{00000000-0005-0000-0000-00008BC10000}"/>
    <cellStyle name="警告文本 2 3 3 2 4" xfId="49548" xr:uid="{00000000-0005-0000-0000-00008CC10000}"/>
    <cellStyle name="警告文本 2 3 3 2 4 2" xfId="49549" xr:uid="{00000000-0005-0000-0000-00008DC10000}"/>
    <cellStyle name="警告文本 2 3 3 3" xfId="49550" xr:uid="{00000000-0005-0000-0000-00008EC10000}"/>
    <cellStyle name="警告文本 2 3 3 3 2" xfId="49551" xr:uid="{00000000-0005-0000-0000-00008FC10000}"/>
    <cellStyle name="警告文本 2 3 3 3 2 2" xfId="49552" xr:uid="{00000000-0005-0000-0000-000090C10000}"/>
    <cellStyle name="警告文本 2 3 3 3 2 2 2" xfId="49553" xr:uid="{00000000-0005-0000-0000-000091C10000}"/>
    <cellStyle name="警告文本 2 3 3 3 3" xfId="49554" xr:uid="{00000000-0005-0000-0000-000092C10000}"/>
    <cellStyle name="警告文本 2 3 3 3 3 2" xfId="49555" xr:uid="{00000000-0005-0000-0000-000093C10000}"/>
    <cellStyle name="警告文本 2 3 3 4" xfId="49556" xr:uid="{00000000-0005-0000-0000-000094C10000}"/>
    <cellStyle name="警告文本 2 3 3 5" xfId="49557" xr:uid="{00000000-0005-0000-0000-000095C10000}"/>
    <cellStyle name="警告文本 2 3 3 6" xfId="49558" xr:uid="{00000000-0005-0000-0000-000096C10000}"/>
    <cellStyle name="警告文本 2 3 4" xfId="49559" xr:uid="{00000000-0005-0000-0000-000097C10000}"/>
    <cellStyle name="警告文本 2 3 4 2" xfId="49560" xr:uid="{00000000-0005-0000-0000-000098C10000}"/>
    <cellStyle name="警告文本 2 3 4 2 2" xfId="49561" xr:uid="{00000000-0005-0000-0000-000099C10000}"/>
    <cellStyle name="警告文本 2 3 4 2 3" xfId="49562" xr:uid="{00000000-0005-0000-0000-00009AC10000}"/>
    <cellStyle name="警告文本 2 3 4 2 3 2" xfId="49563" xr:uid="{00000000-0005-0000-0000-00009BC10000}"/>
    <cellStyle name="警告文本 2 3 4 2 3 2 2" xfId="49564" xr:uid="{00000000-0005-0000-0000-00009CC10000}"/>
    <cellStyle name="警告文本 2 3 4 2 4" xfId="49565" xr:uid="{00000000-0005-0000-0000-00009DC10000}"/>
    <cellStyle name="警告文本 2 3 4 2 4 2" xfId="49566" xr:uid="{00000000-0005-0000-0000-00009EC10000}"/>
    <cellStyle name="警告文本 2 3 4 3" xfId="49567" xr:uid="{00000000-0005-0000-0000-00009FC10000}"/>
    <cellStyle name="警告文本 2 3 4 4" xfId="49568" xr:uid="{00000000-0005-0000-0000-0000A0C10000}"/>
    <cellStyle name="警告文本 2 3 4 5" xfId="49569" xr:uid="{00000000-0005-0000-0000-0000A1C10000}"/>
    <cellStyle name="警告文本 2 3 4 6" xfId="49570" xr:uid="{00000000-0005-0000-0000-0000A2C10000}"/>
    <cellStyle name="警告文本 2 3 5" xfId="49571" xr:uid="{00000000-0005-0000-0000-0000A3C10000}"/>
    <cellStyle name="警告文本 2 3 5 2" xfId="49572" xr:uid="{00000000-0005-0000-0000-0000A4C10000}"/>
    <cellStyle name="警告文本 2 3 5 2 2" xfId="49573" xr:uid="{00000000-0005-0000-0000-0000A5C10000}"/>
    <cellStyle name="警告文本 2 3 5 2 2 2" xfId="49574" xr:uid="{00000000-0005-0000-0000-0000A6C10000}"/>
    <cellStyle name="警告文本 2 3 5 2 2 2 2" xfId="49575" xr:uid="{00000000-0005-0000-0000-0000A7C10000}"/>
    <cellStyle name="警告文本 2 3 5 2 3" xfId="49576" xr:uid="{00000000-0005-0000-0000-0000A8C10000}"/>
    <cellStyle name="警告文本 2 3 5 2 3 2" xfId="49577" xr:uid="{00000000-0005-0000-0000-0000A9C10000}"/>
    <cellStyle name="警告文本 2 3 5 3" xfId="49578" xr:uid="{00000000-0005-0000-0000-0000AAC10000}"/>
    <cellStyle name="警告文本 2 3 5 3 2" xfId="49579" xr:uid="{00000000-0005-0000-0000-0000ABC10000}"/>
    <cellStyle name="警告文本 2 3 5 3 2 2" xfId="49580" xr:uid="{00000000-0005-0000-0000-0000ACC10000}"/>
    <cellStyle name="警告文本 2 3 5 4" xfId="49581" xr:uid="{00000000-0005-0000-0000-0000ADC10000}"/>
    <cellStyle name="警告文本 2 3 5 4 2" xfId="49582" xr:uid="{00000000-0005-0000-0000-0000AEC10000}"/>
    <cellStyle name="警告文本 2 3 6" xfId="49583" xr:uid="{00000000-0005-0000-0000-0000AFC10000}"/>
    <cellStyle name="警告文本 2 3 6 2" xfId="49584" xr:uid="{00000000-0005-0000-0000-0000B0C10000}"/>
    <cellStyle name="警告文本 2 3 6 2 2" xfId="49585" xr:uid="{00000000-0005-0000-0000-0000B1C10000}"/>
    <cellStyle name="警告文本 2 3 6 2 2 2" xfId="49586" xr:uid="{00000000-0005-0000-0000-0000B2C10000}"/>
    <cellStyle name="警告文本 2 3 6 3" xfId="49587" xr:uid="{00000000-0005-0000-0000-0000B3C10000}"/>
    <cellStyle name="警告文本 2 3 6 3 2" xfId="49588" xr:uid="{00000000-0005-0000-0000-0000B4C10000}"/>
    <cellStyle name="警告文本 2 3 7" xfId="49589" xr:uid="{00000000-0005-0000-0000-0000B5C10000}"/>
    <cellStyle name="警告文本 2 3 7 2" xfId="49590" xr:uid="{00000000-0005-0000-0000-0000B6C10000}"/>
    <cellStyle name="警告文本 2 3 7 2 2" xfId="49591" xr:uid="{00000000-0005-0000-0000-0000B7C10000}"/>
    <cellStyle name="警告文本 2 3 7 2 2 2" xfId="49592" xr:uid="{00000000-0005-0000-0000-0000B8C10000}"/>
    <cellStyle name="警告文本 2 3 7 3" xfId="49593" xr:uid="{00000000-0005-0000-0000-0000B9C10000}"/>
    <cellStyle name="警告文本 2 3 7 3 2" xfId="49594" xr:uid="{00000000-0005-0000-0000-0000BAC10000}"/>
    <cellStyle name="警告文本 2 3 8" xfId="49595" xr:uid="{00000000-0005-0000-0000-0000BBC10000}"/>
    <cellStyle name="警告文本 2 3 9" xfId="49596" xr:uid="{00000000-0005-0000-0000-0000BCC10000}"/>
    <cellStyle name="警告文本 2 4" xfId="49597" xr:uid="{00000000-0005-0000-0000-0000BDC10000}"/>
    <cellStyle name="警告文本 2 4 2" xfId="49598" xr:uid="{00000000-0005-0000-0000-0000BEC10000}"/>
    <cellStyle name="警告文本 2 4 2 2" xfId="49599" xr:uid="{00000000-0005-0000-0000-0000BFC10000}"/>
    <cellStyle name="警告文本 2 4 2 3" xfId="49600" xr:uid="{00000000-0005-0000-0000-0000C0C10000}"/>
    <cellStyle name="警告文本 2 4 2 3 2" xfId="49601" xr:uid="{00000000-0005-0000-0000-0000C1C10000}"/>
    <cellStyle name="警告文本 2 4 2 3 2 2" xfId="49602" xr:uid="{00000000-0005-0000-0000-0000C2C10000}"/>
    <cellStyle name="警告文本 2 4 2 4" xfId="49603" xr:uid="{00000000-0005-0000-0000-0000C3C10000}"/>
    <cellStyle name="警告文本 2 4 2 4 2" xfId="49604" xr:uid="{00000000-0005-0000-0000-0000C4C10000}"/>
    <cellStyle name="警告文本 2 4 3" xfId="49605" xr:uid="{00000000-0005-0000-0000-0000C5C10000}"/>
    <cellStyle name="警告文本 2 4 3 2" xfId="49606" xr:uid="{00000000-0005-0000-0000-0000C6C10000}"/>
    <cellStyle name="警告文本 2 4 3 2 2" xfId="49607" xr:uid="{00000000-0005-0000-0000-0000C7C10000}"/>
    <cellStyle name="警告文本 2 4 3 2 2 2" xfId="49608" xr:uid="{00000000-0005-0000-0000-0000C8C10000}"/>
    <cellStyle name="警告文本 2 4 3 3" xfId="49609" xr:uid="{00000000-0005-0000-0000-0000C9C10000}"/>
    <cellStyle name="警告文本 2 4 3 3 2" xfId="49610" xr:uid="{00000000-0005-0000-0000-0000CAC10000}"/>
    <cellStyle name="警告文本 2 4 4" xfId="49611" xr:uid="{00000000-0005-0000-0000-0000CBC10000}"/>
    <cellStyle name="警告文本 2 4 5" xfId="49612" xr:uid="{00000000-0005-0000-0000-0000CCC10000}"/>
    <cellStyle name="警告文本 2 4 6" xfId="49613" xr:uid="{00000000-0005-0000-0000-0000CDC10000}"/>
    <cellStyle name="警告文本 2 5" xfId="49614" xr:uid="{00000000-0005-0000-0000-0000CEC10000}"/>
    <cellStyle name="警告文本 2 5 2" xfId="49615" xr:uid="{00000000-0005-0000-0000-0000CFC10000}"/>
    <cellStyle name="警告文本 2 5 2 2" xfId="49616" xr:uid="{00000000-0005-0000-0000-0000D0C10000}"/>
    <cellStyle name="警告文本 2 5 2 3" xfId="49617" xr:uid="{00000000-0005-0000-0000-0000D1C10000}"/>
    <cellStyle name="警告文本 2 5 2 3 2" xfId="49618" xr:uid="{00000000-0005-0000-0000-0000D2C10000}"/>
    <cellStyle name="警告文本 2 5 2 3 2 2" xfId="49619" xr:uid="{00000000-0005-0000-0000-0000D3C10000}"/>
    <cellStyle name="警告文本 2 5 2 4" xfId="49620" xr:uid="{00000000-0005-0000-0000-0000D4C10000}"/>
    <cellStyle name="警告文本 2 5 2 4 2" xfId="49621" xr:uid="{00000000-0005-0000-0000-0000D5C10000}"/>
    <cellStyle name="警告文本 2 5 3" xfId="49622" xr:uid="{00000000-0005-0000-0000-0000D6C10000}"/>
    <cellStyle name="警告文本 2 5 4" xfId="49623" xr:uid="{00000000-0005-0000-0000-0000D7C10000}"/>
    <cellStyle name="警告文本 2 5 5" xfId="49624" xr:uid="{00000000-0005-0000-0000-0000D8C10000}"/>
    <cellStyle name="警告文本 2 5 6" xfId="49625" xr:uid="{00000000-0005-0000-0000-0000D9C10000}"/>
    <cellStyle name="警告文本 2 6" xfId="49626" xr:uid="{00000000-0005-0000-0000-0000DAC10000}"/>
    <cellStyle name="警告文本 2 6 2" xfId="49627" xr:uid="{00000000-0005-0000-0000-0000DBC10000}"/>
    <cellStyle name="警告文本 2 6 2 2" xfId="49628" xr:uid="{00000000-0005-0000-0000-0000DCC10000}"/>
    <cellStyle name="警告文本 2 6 2 2 2" xfId="49629" xr:uid="{00000000-0005-0000-0000-0000DDC10000}"/>
    <cellStyle name="警告文本 2 6 2 2 2 2" xfId="49630" xr:uid="{00000000-0005-0000-0000-0000DEC10000}"/>
    <cellStyle name="警告文本 2 6 2 3" xfId="49631" xr:uid="{00000000-0005-0000-0000-0000DFC10000}"/>
    <cellStyle name="警告文本 2 6 2 3 2" xfId="49632" xr:uid="{00000000-0005-0000-0000-0000E0C10000}"/>
    <cellStyle name="警告文本 2 6 3" xfId="49633" xr:uid="{00000000-0005-0000-0000-0000E1C10000}"/>
    <cellStyle name="警告文本 2 6 3 2" xfId="49634" xr:uid="{00000000-0005-0000-0000-0000E2C10000}"/>
    <cellStyle name="警告文本 2 6 3 2 2" xfId="49635" xr:uid="{00000000-0005-0000-0000-0000E3C10000}"/>
    <cellStyle name="警告文本 2 6 4" xfId="49636" xr:uid="{00000000-0005-0000-0000-0000E4C10000}"/>
    <cellStyle name="警告文本 2 6 4 2" xfId="49637" xr:uid="{00000000-0005-0000-0000-0000E5C10000}"/>
    <cellStyle name="警告文本 2 7" xfId="49638" xr:uid="{00000000-0005-0000-0000-0000E6C10000}"/>
    <cellStyle name="警告文本 2 7 2" xfId="49639" xr:uid="{00000000-0005-0000-0000-0000E7C10000}"/>
    <cellStyle name="警告文本 2 7 2 2" xfId="49640" xr:uid="{00000000-0005-0000-0000-0000E8C10000}"/>
    <cellStyle name="警告文本 2 7 2 2 2" xfId="49641" xr:uid="{00000000-0005-0000-0000-0000E9C10000}"/>
    <cellStyle name="警告文本 2 7 2 2 2 2" xfId="49642" xr:uid="{00000000-0005-0000-0000-0000EAC10000}"/>
    <cellStyle name="警告文本 2 7 2 3" xfId="49643" xr:uid="{00000000-0005-0000-0000-0000EBC10000}"/>
    <cellStyle name="警告文本 2 7 2 3 2" xfId="49644" xr:uid="{00000000-0005-0000-0000-0000ECC10000}"/>
    <cellStyle name="警告文本 2 7 3" xfId="49645" xr:uid="{00000000-0005-0000-0000-0000EDC10000}"/>
    <cellStyle name="警告文本 2 7 3 2" xfId="49646" xr:uid="{00000000-0005-0000-0000-0000EEC10000}"/>
    <cellStyle name="警告文本 2 7 3 2 2" xfId="49647" xr:uid="{00000000-0005-0000-0000-0000EFC10000}"/>
    <cellStyle name="警告文本 2 7 4" xfId="49648" xr:uid="{00000000-0005-0000-0000-0000F0C10000}"/>
    <cellStyle name="警告文本 2 7 4 2" xfId="49649" xr:uid="{00000000-0005-0000-0000-0000F1C10000}"/>
    <cellStyle name="警告文本 2 8" xfId="49650" xr:uid="{00000000-0005-0000-0000-0000F2C10000}"/>
    <cellStyle name="警告文本 2 8 2" xfId="49651" xr:uid="{00000000-0005-0000-0000-0000F3C10000}"/>
    <cellStyle name="警告文本 2 8 2 2" xfId="49652" xr:uid="{00000000-0005-0000-0000-0000F4C10000}"/>
    <cellStyle name="警告文本 2 8 2 2 2" xfId="49653" xr:uid="{00000000-0005-0000-0000-0000F5C10000}"/>
    <cellStyle name="警告文本 2 8 2 2 2 2" xfId="49654" xr:uid="{00000000-0005-0000-0000-0000F6C10000}"/>
    <cellStyle name="警告文本 2 8 2 3" xfId="49655" xr:uid="{00000000-0005-0000-0000-0000F7C10000}"/>
    <cellStyle name="警告文本 2 8 2 3 2" xfId="49656" xr:uid="{00000000-0005-0000-0000-0000F8C10000}"/>
    <cellStyle name="警告文本 2 8 3" xfId="49657" xr:uid="{00000000-0005-0000-0000-0000F9C10000}"/>
    <cellStyle name="警告文本 2 8 3 2" xfId="49658" xr:uid="{00000000-0005-0000-0000-0000FAC10000}"/>
    <cellStyle name="警告文本 2 8 3 2 2" xfId="49659" xr:uid="{00000000-0005-0000-0000-0000FBC10000}"/>
    <cellStyle name="警告文本 2 8 4" xfId="49660" xr:uid="{00000000-0005-0000-0000-0000FCC10000}"/>
    <cellStyle name="警告文本 2 8 4 2" xfId="49661" xr:uid="{00000000-0005-0000-0000-0000FDC10000}"/>
    <cellStyle name="警告文本 2 9" xfId="49662" xr:uid="{00000000-0005-0000-0000-0000FEC10000}"/>
    <cellStyle name="警告文本 2 9 2" xfId="49663" xr:uid="{00000000-0005-0000-0000-0000FFC10000}"/>
    <cellStyle name="警告文本 2 9 2 2" xfId="49664" xr:uid="{00000000-0005-0000-0000-000000C20000}"/>
    <cellStyle name="警告文本 2 9 2 2 2" xfId="49665" xr:uid="{00000000-0005-0000-0000-000001C20000}"/>
    <cellStyle name="警告文本 2 9 3" xfId="49666" xr:uid="{00000000-0005-0000-0000-000002C20000}"/>
    <cellStyle name="警告文本 2 9 3 2" xfId="49667" xr:uid="{00000000-0005-0000-0000-000003C20000}"/>
    <cellStyle name="警告文本 3" xfId="49668" xr:uid="{00000000-0005-0000-0000-000004C20000}"/>
    <cellStyle name="警告文本 3 2" xfId="49669" xr:uid="{00000000-0005-0000-0000-000005C20000}"/>
    <cellStyle name="警告文本 3 2 2" xfId="49670" xr:uid="{00000000-0005-0000-0000-000006C20000}"/>
    <cellStyle name="警告文本 3 2 2 2" xfId="49671" xr:uid="{00000000-0005-0000-0000-000007C20000}"/>
    <cellStyle name="警告文本 3 2 2 2 2" xfId="49672" xr:uid="{00000000-0005-0000-0000-000008C20000}"/>
    <cellStyle name="警告文本 3 2 2 2 3" xfId="49673" xr:uid="{00000000-0005-0000-0000-000009C20000}"/>
    <cellStyle name="警告文本 3 2 2 2 3 2" xfId="49674" xr:uid="{00000000-0005-0000-0000-00000AC20000}"/>
    <cellStyle name="警告文本 3 2 2 2 3 2 2" xfId="49675" xr:uid="{00000000-0005-0000-0000-00000BC20000}"/>
    <cellStyle name="警告文本 3 2 2 2 4" xfId="49676" xr:uid="{00000000-0005-0000-0000-00000CC20000}"/>
    <cellStyle name="警告文本 3 2 2 2 4 2" xfId="49677" xr:uid="{00000000-0005-0000-0000-00000DC20000}"/>
    <cellStyle name="警告文本 3 2 2 3" xfId="49678" xr:uid="{00000000-0005-0000-0000-00000EC20000}"/>
    <cellStyle name="警告文本 3 2 2 3 2" xfId="49679" xr:uid="{00000000-0005-0000-0000-00000FC20000}"/>
    <cellStyle name="警告文本 3 2 2 3 2 2" xfId="49680" xr:uid="{00000000-0005-0000-0000-000010C20000}"/>
    <cellStyle name="警告文本 3 2 2 3 2 2 2" xfId="49681" xr:uid="{00000000-0005-0000-0000-000011C20000}"/>
    <cellStyle name="警告文本 3 2 2 3 3" xfId="49682" xr:uid="{00000000-0005-0000-0000-000012C20000}"/>
    <cellStyle name="警告文本 3 2 2 3 3 2" xfId="49683" xr:uid="{00000000-0005-0000-0000-000013C20000}"/>
    <cellStyle name="警告文本 3 2 2 4" xfId="49684" xr:uid="{00000000-0005-0000-0000-000014C20000}"/>
    <cellStyle name="警告文本 3 2 2 5" xfId="49685" xr:uid="{00000000-0005-0000-0000-000015C20000}"/>
    <cellStyle name="警告文本 3 2 2 6" xfId="49686" xr:uid="{00000000-0005-0000-0000-000016C20000}"/>
    <cellStyle name="警告文本 3 2 3" xfId="49687" xr:uid="{00000000-0005-0000-0000-000017C20000}"/>
    <cellStyle name="警告文本 3 2 3 2" xfId="49688" xr:uid="{00000000-0005-0000-0000-000018C20000}"/>
    <cellStyle name="警告文本 3 2 3 3" xfId="49689" xr:uid="{00000000-0005-0000-0000-000019C20000}"/>
    <cellStyle name="警告文本 3 2 3 3 2" xfId="49690" xr:uid="{00000000-0005-0000-0000-00001AC20000}"/>
    <cellStyle name="警告文本 3 2 3 3 2 2" xfId="49691" xr:uid="{00000000-0005-0000-0000-00001BC20000}"/>
    <cellStyle name="警告文本 3 2 3 4" xfId="49692" xr:uid="{00000000-0005-0000-0000-00001CC20000}"/>
    <cellStyle name="警告文本 3 2 3 4 2" xfId="49693" xr:uid="{00000000-0005-0000-0000-00001DC20000}"/>
    <cellStyle name="警告文本 3 2 4" xfId="49694" xr:uid="{00000000-0005-0000-0000-00001EC20000}"/>
    <cellStyle name="警告文本 3 2 4 2" xfId="49695" xr:uid="{00000000-0005-0000-0000-00001FC20000}"/>
    <cellStyle name="警告文本 3 2 4 2 2" xfId="49696" xr:uid="{00000000-0005-0000-0000-000020C20000}"/>
    <cellStyle name="警告文本 3 2 4 2 2 2" xfId="49697" xr:uid="{00000000-0005-0000-0000-000021C20000}"/>
    <cellStyle name="警告文本 3 2 4 3" xfId="49698" xr:uid="{00000000-0005-0000-0000-000022C20000}"/>
    <cellStyle name="警告文本 3 2 4 3 2" xfId="49699" xr:uid="{00000000-0005-0000-0000-000023C20000}"/>
    <cellStyle name="警告文本 3 2 5" xfId="49700" xr:uid="{00000000-0005-0000-0000-000024C20000}"/>
    <cellStyle name="警告文本 3 2 6" xfId="49701" xr:uid="{00000000-0005-0000-0000-000025C20000}"/>
    <cellStyle name="警告文本 3 2 7" xfId="49702" xr:uid="{00000000-0005-0000-0000-000026C20000}"/>
    <cellStyle name="警告文本 3 3" xfId="49703" xr:uid="{00000000-0005-0000-0000-000027C20000}"/>
    <cellStyle name="警告文本 3 3 2" xfId="49704" xr:uid="{00000000-0005-0000-0000-000028C20000}"/>
    <cellStyle name="警告文本 3 3 2 2" xfId="49705" xr:uid="{00000000-0005-0000-0000-000029C20000}"/>
    <cellStyle name="警告文本 3 3 2 3" xfId="49706" xr:uid="{00000000-0005-0000-0000-00002AC20000}"/>
    <cellStyle name="警告文本 3 3 2 3 2" xfId="49707" xr:uid="{00000000-0005-0000-0000-00002BC20000}"/>
    <cellStyle name="警告文本 3 3 2 3 2 2" xfId="49708" xr:uid="{00000000-0005-0000-0000-00002CC20000}"/>
    <cellStyle name="警告文本 3 3 2 4" xfId="49709" xr:uid="{00000000-0005-0000-0000-00002DC20000}"/>
    <cellStyle name="警告文本 3 3 2 4 2" xfId="49710" xr:uid="{00000000-0005-0000-0000-00002EC20000}"/>
    <cellStyle name="警告文本 3 3 3" xfId="49711" xr:uid="{00000000-0005-0000-0000-00002FC20000}"/>
    <cellStyle name="警告文本 3 3 3 2" xfId="49712" xr:uid="{00000000-0005-0000-0000-000030C20000}"/>
    <cellStyle name="警告文本 3 3 3 2 2" xfId="49713" xr:uid="{00000000-0005-0000-0000-000031C20000}"/>
    <cellStyle name="警告文本 3 3 3 2 2 2" xfId="49714" xr:uid="{00000000-0005-0000-0000-000032C20000}"/>
    <cellStyle name="警告文本 3 3 3 3" xfId="49715" xr:uid="{00000000-0005-0000-0000-000033C20000}"/>
    <cellStyle name="警告文本 3 3 3 3 2" xfId="49716" xr:uid="{00000000-0005-0000-0000-000034C20000}"/>
    <cellStyle name="警告文本 3 3 4" xfId="49717" xr:uid="{00000000-0005-0000-0000-000035C20000}"/>
    <cellStyle name="警告文本 3 3 5" xfId="49718" xr:uid="{00000000-0005-0000-0000-000036C20000}"/>
    <cellStyle name="警告文本 3 3 6" xfId="49719" xr:uid="{00000000-0005-0000-0000-000037C20000}"/>
    <cellStyle name="警告文本 3 4" xfId="49720" xr:uid="{00000000-0005-0000-0000-000038C20000}"/>
    <cellStyle name="警告文本 3 4 2" xfId="49721" xr:uid="{00000000-0005-0000-0000-000039C20000}"/>
    <cellStyle name="警告文本 3 4 2 2" xfId="49722" xr:uid="{00000000-0005-0000-0000-00003AC20000}"/>
    <cellStyle name="警告文本 3 4 2 3" xfId="49723" xr:uid="{00000000-0005-0000-0000-00003BC20000}"/>
    <cellStyle name="警告文本 3 4 2 3 2" xfId="49724" xr:uid="{00000000-0005-0000-0000-00003CC20000}"/>
    <cellStyle name="警告文本 3 4 2 3 2 2" xfId="49725" xr:uid="{00000000-0005-0000-0000-00003DC20000}"/>
    <cellStyle name="警告文本 3 4 2 4" xfId="49726" xr:uid="{00000000-0005-0000-0000-00003EC20000}"/>
    <cellStyle name="警告文本 3 4 2 4 2" xfId="49727" xr:uid="{00000000-0005-0000-0000-00003FC20000}"/>
    <cellStyle name="警告文本 3 4 3" xfId="49728" xr:uid="{00000000-0005-0000-0000-000040C20000}"/>
    <cellStyle name="警告文本 3 4 4" xfId="49729" xr:uid="{00000000-0005-0000-0000-000041C20000}"/>
    <cellStyle name="警告文本 3 4 5" xfId="49730" xr:uid="{00000000-0005-0000-0000-000042C20000}"/>
    <cellStyle name="警告文本 3 4 6" xfId="49731" xr:uid="{00000000-0005-0000-0000-000043C20000}"/>
    <cellStyle name="警告文本 3 5" xfId="49732" xr:uid="{00000000-0005-0000-0000-000044C20000}"/>
    <cellStyle name="警告文本 3 5 2" xfId="49733" xr:uid="{00000000-0005-0000-0000-000045C20000}"/>
    <cellStyle name="警告文本 3 5 2 2" xfId="49734" xr:uid="{00000000-0005-0000-0000-000046C20000}"/>
    <cellStyle name="警告文本 3 5 2 2 2" xfId="49735" xr:uid="{00000000-0005-0000-0000-000047C20000}"/>
    <cellStyle name="警告文本 3 5 2 2 2 2" xfId="49736" xr:uid="{00000000-0005-0000-0000-000048C20000}"/>
    <cellStyle name="警告文本 3 5 2 3" xfId="49737" xr:uid="{00000000-0005-0000-0000-000049C20000}"/>
    <cellStyle name="警告文本 3 5 2 3 2" xfId="49738" xr:uid="{00000000-0005-0000-0000-00004AC20000}"/>
    <cellStyle name="警告文本 3 5 3" xfId="49739" xr:uid="{00000000-0005-0000-0000-00004BC20000}"/>
    <cellStyle name="警告文本 3 5 3 2" xfId="49740" xr:uid="{00000000-0005-0000-0000-00004CC20000}"/>
    <cellStyle name="警告文本 3 5 3 2 2" xfId="49741" xr:uid="{00000000-0005-0000-0000-00004DC20000}"/>
    <cellStyle name="警告文本 3 5 4" xfId="49742" xr:uid="{00000000-0005-0000-0000-00004EC20000}"/>
    <cellStyle name="警告文本 3 5 4 2" xfId="49743" xr:uid="{00000000-0005-0000-0000-00004FC20000}"/>
    <cellStyle name="警告文本 3 6" xfId="49744" xr:uid="{00000000-0005-0000-0000-000050C20000}"/>
    <cellStyle name="警告文本 3 6 2" xfId="49745" xr:uid="{00000000-0005-0000-0000-000051C20000}"/>
    <cellStyle name="警告文本 3 6 2 2" xfId="49746" xr:uid="{00000000-0005-0000-0000-000052C20000}"/>
    <cellStyle name="警告文本 3 6 2 2 2" xfId="49747" xr:uid="{00000000-0005-0000-0000-000053C20000}"/>
    <cellStyle name="警告文本 3 6 3" xfId="49748" xr:uid="{00000000-0005-0000-0000-000054C20000}"/>
    <cellStyle name="警告文本 3 6 3 2" xfId="49749" xr:uid="{00000000-0005-0000-0000-000055C20000}"/>
    <cellStyle name="警告文本 3 7" xfId="49750" xr:uid="{00000000-0005-0000-0000-000056C20000}"/>
    <cellStyle name="警告文本 3 8" xfId="49751" xr:uid="{00000000-0005-0000-0000-000057C20000}"/>
    <cellStyle name="计算 2" xfId="49752" xr:uid="{00000000-0005-0000-0000-000058C20000}"/>
    <cellStyle name="计算 2 10" xfId="49753" xr:uid="{00000000-0005-0000-0000-000059C20000}"/>
    <cellStyle name="计算 2 11" xfId="49754" xr:uid="{00000000-0005-0000-0000-00005AC20000}"/>
    <cellStyle name="计算 2 2" xfId="49755" xr:uid="{00000000-0005-0000-0000-00005BC20000}"/>
    <cellStyle name="计算 2 2 10" xfId="49756" xr:uid="{00000000-0005-0000-0000-00005CC20000}"/>
    <cellStyle name="计算 2 2 11" xfId="49757" xr:uid="{00000000-0005-0000-0000-00005DC20000}"/>
    <cellStyle name="计算 2 2 2" xfId="49758" xr:uid="{00000000-0005-0000-0000-00005EC20000}"/>
    <cellStyle name="计算 2 2 2 2" xfId="49759" xr:uid="{00000000-0005-0000-0000-00005FC20000}"/>
    <cellStyle name="计算 2 2 2 2 2" xfId="49760" xr:uid="{00000000-0005-0000-0000-000060C20000}"/>
    <cellStyle name="计算 2 2 2 2 2 2" xfId="49761" xr:uid="{00000000-0005-0000-0000-000061C20000}"/>
    <cellStyle name="计算 2 2 2 2 2 3" xfId="49762" xr:uid="{00000000-0005-0000-0000-000062C20000}"/>
    <cellStyle name="计算 2 2 2 2 2 3 2" xfId="49763" xr:uid="{00000000-0005-0000-0000-000063C20000}"/>
    <cellStyle name="计算 2 2 2 2 2 3 2 2" xfId="49764" xr:uid="{00000000-0005-0000-0000-000064C20000}"/>
    <cellStyle name="计算 2 2 2 2 2 4" xfId="49765" xr:uid="{00000000-0005-0000-0000-000065C20000}"/>
    <cellStyle name="计算 2 2 2 2 2 4 2" xfId="49766" xr:uid="{00000000-0005-0000-0000-000066C20000}"/>
    <cellStyle name="计算 2 2 2 2 3" xfId="49767" xr:uid="{00000000-0005-0000-0000-000067C20000}"/>
    <cellStyle name="计算 2 2 2 2 3 2" xfId="49768" xr:uid="{00000000-0005-0000-0000-000068C20000}"/>
    <cellStyle name="计算 2 2 2 2 3 2 2" xfId="49769" xr:uid="{00000000-0005-0000-0000-000069C20000}"/>
    <cellStyle name="计算 2 2 2 2 3 2 2 2" xfId="49770" xr:uid="{00000000-0005-0000-0000-00006AC20000}"/>
    <cellStyle name="计算 2 2 2 2 3 3" xfId="49771" xr:uid="{00000000-0005-0000-0000-00006BC20000}"/>
    <cellStyle name="计算 2 2 2 2 3 3 2" xfId="49772" xr:uid="{00000000-0005-0000-0000-00006CC20000}"/>
    <cellStyle name="计算 2 2 2 2 4" xfId="49773" xr:uid="{00000000-0005-0000-0000-00006DC20000}"/>
    <cellStyle name="计算 2 2 2 2 5" xfId="49774" xr:uid="{00000000-0005-0000-0000-00006EC20000}"/>
    <cellStyle name="计算 2 2 2 2 6" xfId="49775" xr:uid="{00000000-0005-0000-0000-00006FC20000}"/>
    <cellStyle name="计算 2 2 2 3" xfId="49776" xr:uid="{00000000-0005-0000-0000-000070C20000}"/>
    <cellStyle name="计算 2 2 2 3 2" xfId="49777" xr:uid="{00000000-0005-0000-0000-000071C20000}"/>
    <cellStyle name="计算 2 2 2 3 3" xfId="49778" xr:uid="{00000000-0005-0000-0000-000072C20000}"/>
    <cellStyle name="计算 2 2 2 3 3 2" xfId="49779" xr:uid="{00000000-0005-0000-0000-000073C20000}"/>
    <cellStyle name="计算 2 2 2 3 3 2 2" xfId="49780" xr:uid="{00000000-0005-0000-0000-000074C20000}"/>
    <cellStyle name="计算 2 2 2 3 4" xfId="49781" xr:uid="{00000000-0005-0000-0000-000075C20000}"/>
    <cellStyle name="计算 2 2 2 3 4 2" xfId="49782" xr:uid="{00000000-0005-0000-0000-000076C20000}"/>
    <cellStyle name="计算 2 2 2 4" xfId="49783" xr:uid="{00000000-0005-0000-0000-000077C20000}"/>
    <cellStyle name="计算 2 2 2 4 2" xfId="49784" xr:uid="{00000000-0005-0000-0000-000078C20000}"/>
    <cellStyle name="计算 2 2 2 4 2 2" xfId="49785" xr:uid="{00000000-0005-0000-0000-000079C20000}"/>
    <cellStyle name="计算 2 2 2 4 2 2 2" xfId="49786" xr:uid="{00000000-0005-0000-0000-00007AC20000}"/>
    <cellStyle name="计算 2 2 2 4 3" xfId="49787" xr:uid="{00000000-0005-0000-0000-00007BC20000}"/>
    <cellStyle name="计算 2 2 2 4 3 2" xfId="49788" xr:uid="{00000000-0005-0000-0000-00007CC20000}"/>
    <cellStyle name="计算 2 2 2 5" xfId="49789" xr:uid="{00000000-0005-0000-0000-00007DC20000}"/>
    <cellStyle name="计算 2 2 2 6" xfId="49790" xr:uid="{00000000-0005-0000-0000-00007EC20000}"/>
    <cellStyle name="计算 2 2 2 7" xfId="49791" xr:uid="{00000000-0005-0000-0000-00007FC20000}"/>
    <cellStyle name="计算 2 2 3" xfId="49792" xr:uid="{00000000-0005-0000-0000-000080C20000}"/>
    <cellStyle name="计算 2 2 3 2" xfId="49793" xr:uid="{00000000-0005-0000-0000-000081C20000}"/>
    <cellStyle name="计算 2 2 3 2 2" xfId="49794" xr:uid="{00000000-0005-0000-0000-000082C20000}"/>
    <cellStyle name="计算 2 2 3 2 3" xfId="49795" xr:uid="{00000000-0005-0000-0000-000083C20000}"/>
    <cellStyle name="计算 2 2 3 2 3 2" xfId="49796" xr:uid="{00000000-0005-0000-0000-000084C20000}"/>
    <cellStyle name="计算 2 2 3 2 3 2 2" xfId="49797" xr:uid="{00000000-0005-0000-0000-000085C20000}"/>
    <cellStyle name="计算 2 2 3 2 4" xfId="49798" xr:uid="{00000000-0005-0000-0000-000086C20000}"/>
    <cellStyle name="计算 2 2 3 2 4 2" xfId="49799" xr:uid="{00000000-0005-0000-0000-000087C20000}"/>
    <cellStyle name="计算 2 2 3 3" xfId="49800" xr:uid="{00000000-0005-0000-0000-000088C20000}"/>
    <cellStyle name="计算 2 2 3 3 2" xfId="49801" xr:uid="{00000000-0005-0000-0000-000089C20000}"/>
    <cellStyle name="计算 2 2 3 3 2 2" xfId="49802" xr:uid="{00000000-0005-0000-0000-00008AC20000}"/>
    <cellStyle name="计算 2 2 3 3 2 2 2" xfId="49803" xr:uid="{00000000-0005-0000-0000-00008BC20000}"/>
    <cellStyle name="计算 2 2 3 3 3" xfId="49804" xr:uid="{00000000-0005-0000-0000-00008CC20000}"/>
    <cellStyle name="计算 2 2 3 3 3 2" xfId="49805" xr:uid="{00000000-0005-0000-0000-00008DC20000}"/>
    <cellStyle name="计算 2 2 3 4" xfId="49806" xr:uid="{00000000-0005-0000-0000-00008EC20000}"/>
    <cellStyle name="计算 2 2 3 5" xfId="49807" xr:uid="{00000000-0005-0000-0000-00008FC20000}"/>
    <cellStyle name="计算 2 2 3 6" xfId="49808" xr:uid="{00000000-0005-0000-0000-000090C20000}"/>
    <cellStyle name="计算 2 2 4" xfId="49809" xr:uid="{00000000-0005-0000-0000-000091C20000}"/>
    <cellStyle name="计算 2 2 4 2" xfId="49810" xr:uid="{00000000-0005-0000-0000-000092C20000}"/>
    <cellStyle name="计算 2 2 4 2 2" xfId="49811" xr:uid="{00000000-0005-0000-0000-000093C20000}"/>
    <cellStyle name="计算 2 2 4 2 3" xfId="49812" xr:uid="{00000000-0005-0000-0000-000094C20000}"/>
    <cellStyle name="计算 2 2 4 2 3 2" xfId="49813" xr:uid="{00000000-0005-0000-0000-000095C20000}"/>
    <cellStyle name="计算 2 2 4 2 3 2 2" xfId="49814" xr:uid="{00000000-0005-0000-0000-000096C20000}"/>
    <cellStyle name="计算 2 2 4 2 4" xfId="49815" xr:uid="{00000000-0005-0000-0000-000097C20000}"/>
    <cellStyle name="计算 2 2 4 2 4 2" xfId="49816" xr:uid="{00000000-0005-0000-0000-000098C20000}"/>
    <cellStyle name="计算 2 2 4 3" xfId="49817" xr:uid="{00000000-0005-0000-0000-000099C20000}"/>
    <cellStyle name="计算 2 2 4 4" xfId="49818" xr:uid="{00000000-0005-0000-0000-00009AC20000}"/>
    <cellStyle name="计算 2 2 4 5" xfId="49819" xr:uid="{00000000-0005-0000-0000-00009BC20000}"/>
    <cellStyle name="计算 2 2 4 6" xfId="49820" xr:uid="{00000000-0005-0000-0000-00009CC20000}"/>
    <cellStyle name="计算 2 2 5" xfId="49821" xr:uid="{00000000-0005-0000-0000-00009DC20000}"/>
    <cellStyle name="计算 2 2 5 2" xfId="49822" xr:uid="{00000000-0005-0000-0000-00009EC20000}"/>
    <cellStyle name="计算 2 2 5 2 2" xfId="49823" xr:uid="{00000000-0005-0000-0000-00009FC20000}"/>
    <cellStyle name="计算 2 2 5 2 2 2" xfId="49824" xr:uid="{00000000-0005-0000-0000-0000A0C20000}"/>
    <cellStyle name="计算 2 2 5 2 2 2 2" xfId="49825" xr:uid="{00000000-0005-0000-0000-0000A1C20000}"/>
    <cellStyle name="计算 2 2 5 2 3" xfId="49826" xr:uid="{00000000-0005-0000-0000-0000A2C20000}"/>
    <cellStyle name="计算 2 2 5 2 3 2" xfId="49827" xr:uid="{00000000-0005-0000-0000-0000A3C20000}"/>
    <cellStyle name="计算 2 2 5 3" xfId="49828" xr:uid="{00000000-0005-0000-0000-0000A4C20000}"/>
    <cellStyle name="计算 2 2 5 3 2" xfId="49829" xr:uid="{00000000-0005-0000-0000-0000A5C20000}"/>
    <cellStyle name="计算 2 2 5 3 2 2" xfId="49830" xr:uid="{00000000-0005-0000-0000-0000A6C20000}"/>
    <cellStyle name="计算 2 2 5 4" xfId="49831" xr:uid="{00000000-0005-0000-0000-0000A7C20000}"/>
    <cellStyle name="计算 2 2 5 4 2" xfId="49832" xr:uid="{00000000-0005-0000-0000-0000A8C20000}"/>
    <cellStyle name="计算 2 2 6" xfId="49833" xr:uid="{00000000-0005-0000-0000-0000A9C20000}"/>
    <cellStyle name="计算 2 2 6 2" xfId="49834" xr:uid="{00000000-0005-0000-0000-0000AAC20000}"/>
    <cellStyle name="计算 2 2 6 2 2" xfId="49835" xr:uid="{00000000-0005-0000-0000-0000ABC20000}"/>
    <cellStyle name="计算 2 2 6 2 2 2" xfId="49836" xr:uid="{00000000-0005-0000-0000-0000ACC20000}"/>
    <cellStyle name="计算 2 2 6 2 2 2 2" xfId="49837" xr:uid="{00000000-0005-0000-0000-0000ADC20000}"/>
    <cellStyle name="计算 2 2 6 2 3" xfId="49838" xr:uid="{00000000-0005-0000-0000-0000AEC20000}"/>
    <cellStyle name="计算 2 2 6 2 3 2" xfId="49839" xr:uid="{00000000-0005-0000-0000-0000AFC20000}"/>
    <cellStyle name="计算 2 2 6 3" xfId="49840" xr:uid="{00000000-0005-0000-0000-0000B0C20000}"/>
    <cellStyle name="计算 2 2 6 3 2" xfId="49841" xr:uid="{00000000-0005-0000-0000-0000B1C20000}"/>
    <cellStyle name="计算 2 2 6 3 2 2" xfId="49842" xr:uid="{00000000-0005-0000-0000-0000B2C20000}"/>
    <cellStyle name="计算 2 2 6 4" xfId="49843" xr:uid="{00000000-0005-0000-0000-0000B3C20000}"/>
    <cellStyle name="计算 2 2 6 4 2" xfId="49844" xr:uid="{00000000-0005-0000-0000-0000B4C20000}"/>
    <cellStyle name="计算 2 2 7" xfId="49845" xr:uid="{00000000-0005-0000-0000-0000B5C20000}"/>
    <cellStyle name="计算 2 2 7 2" xfId="49846" xr:uid="{00000000-0005-0000-0000-0000B6C20000}"/>
    <cellStyle name="计算 2 2 7 2 2" xfId="49847" xr:uid="{00000000-0005-0000-0000-0000B7C20000}"/>
    <cellStyle name="计算 2 2 7 2 2 2" xfId="49848" xr:uid="{00000000-0005-0000-0000-0000B8C20000}"/>
    <cellStyle name="计算 2 2 7 2 2 2 2" xfId="49849" xr:uid="{00000000-0005-0000-0000-0000B9C20000}"/>
    <cellStyle name="计算 2 2 7 2 3" xfId="49850" xr:uid="{00000000-0005-0000-0000-0000BAC20000}"/>
    <cellStyle name="计算 2 2 7 2 3 2" xfId="49851" xr:uid="{00000000-0005-0000-0000-0000BBC20000}"/>
    <cellStyle name="计算 2 2 7 3" xfId="49852" xr:uid="{00000000-0005-0000-0000-0000BCC20000}"/>
    <cellStyle name="计算 2 2 7 3 2" xfId="49853" xr:uid="{00000000-0005-0000-0000-0000BDC20000}"/>
    <cellStyle name="计算 2 2 7 3 2 2" xfId="49854" xr:uid="{00000000-0005-0000-0000-0000BEC20000}"/>
    <cellStyle name="计算 2 2 7 4" xfId="49855" xr:uid="{00000000-0005-0000-0000-0000BFC20000}"/>
    <cellStyle name="计算 2 2 7 4 2" xfId="49856" xr:uid="{00000000-0005-0000-0000-0000C0C20000}"/>
    <cellStyle name="计算 2 2 8" xfId="49857" xr:uid="{00000000-0005-0000-0000-0000C1C20000}"/>
    <cellStyle name="计算 2 2 8 2" xfId="49858" xr:uid="{00000000-0005-0000-0000-0000C2C20000}"/>
    <cellStyle name="计算 2 2 8 2 2" xfId="49859" xr:uid="{00000000-0005-0000-0000-0000C3C20000}"/>
    <cellStyle name="计算 2 2 8 2 2 2" xfId="49860" xr:uid="{00000000-0005-0000-0000-0000C4C20000}"/>
    <cellStyle name="计算 2 2 8 3" xfId="49861" xr:uid="{00000000-0005-0000-0000-0000C5C20000}"/>
    <cellStyle name="计算 2 2 8 3 2" xfId="49862" xr:uid="{00000000-0005-0000-0000-0000C6C20000}"/>
    <cellStyle name="计算 2 2 9" xfId="49863" xr:uid="{00000000-0005-0000-0000-0000C7C20000}"/>
    <cellStyle name="计算 2 2 9 2" xfId="49864" xr:uid="{00000000-0005-0000-0000-0000C8C20000}"/>
    <cellStyle name="计算 2 2 9 2 2" xfId="49865" xr:uid="{00000000-0005-0000-0000-0000C9C20000}"/>
    <cellStyle name="计算 2 2 9 2 2 2" xfId="49866" xr:uid="{00000000-0005-0000-0000-0000CAC20000}"/>
    <cellStyle name="计算 2 2 9 3" xfId="49867" xr:uid="{00000000-0005-0000-0000-0000CBC20000}"/>
    <cellStyle name="计算 2 2 9 3 2" xfId="49868" xr:uid="{00000000-0005-0000-0000-0000CCC20000}"/>
    <cellStyle name="计算 2 3" xfId="49869" xr:uid="{00000000-0005-0000-0000-0000CDC20000}"/>
    <cellStyle name="计算 2 3 2" xfId="49870" xr:uid="{00000000-0005-0000-0000-0000CEC20000}"/>
    <cellStyle name="计算 2 3 2 2" xfId="49871" xr:uid="{00000000-0005-0000-0000-0000CFC20000}"/>
    <cellStyle name="计算 2 3 2 2 2" xfId="49872" xr:uid="{00000000-0005-0000-0000-0000D0C20000}"/>
    <cellStyle name="计算 2 3 2 2 2 2" xfId="49873" xr:uid="{00000000-0005-0000-0000-0000D1C20000}"/>
    <cellStyle name="计算 2 3 2 2 2 3" xfId="49874" xr:uid="{00000000-0005-0000-0000-0000D2C20000}"/>
    <cellStyle name="计算 2 3 2 2 2 3 2" xfId="49875" xr:uid="{00000000-0005-0000-0000-0000D3C20000}"/>
    <cellStyle name="计算 2 3 2 2 2 3 2 2" xfId="49876" xr:uid="{00000000-0005-0000-0000-0000D4C20000}"/>
    <cellStyle name="计算 2 3 2 2 2 4" xfId="49877" xr:uid="{00000000-0005-0000-0000-0000D5C20000}"/>
    <cellStyle name="计算 2 3 2 2 2 4 2" xfId="49878" xr:uid="{00000000-0005-0000-0000-0000D6C20000}"/>
    <cellStyle name="计算 2 3 2 2 3" xfId="49879" xr:uid="{00000000-0005-0000-0000-0000D7C20000}"/>
    <cellStyle name="计算 2 3 2 2 3 2" xfId="49880" xr:uid="{00000000-0005-0000-0000-0000D8C20000}"/>
    <cellStyle name="计算 2 3 2 2 3 2 2" xfId="49881" xr:uid="{00000000-0005-0000-0000-0000D9C20000}"/>
    <cellStyle name="计算 2 3 2 2 3 2 2 2" xfId="49882" xr:uid="{00000000-0005-0000-0000-0000DAC20000}"/>
    <cellStyle name="计算 2 3 2 2 3 3" xfId="49883" xr:uid="{00000000-0005-0000-0000-0000DBC20000}"/>
    <cellStyle name="计算 2 3 2 2 3 3 2" xfId="49884" xr:uid="{00000000-0005-0000-0000-0000DCC20000}"/>
    <cellStyle name="计算 2 3 2 2 4" xfId="49885" xr:uid="{00000000-0005-0000-0000-0000DDC20000}"/>
    <cellStyle name="计算 2 3 2 2 5" xfId="49886" xr:uid="{00000000-0005-0000-0000-0000DEC20000}"/>
    <cellStyle name="计算 2 3 2 2 6" xfId="49887" xr:uid="{00000000-0005-0000-0000-0000DFC20000}"/>
    <cellStyle name="计算 2 3 2 3" xfId="49888" xr:uid="{00000000-0005-0000-0000-0000E0C20000}"/>
    <cellStyle name="计算 2 3 2 3 2" xfId="49889" xr:uid="{00000000-0005-0000-0000-0000E1C20000}"/>
    <cellStyle name="计算 2 3 2 3 3" xfId="49890" xr:uid="{00000000-0005-0000-0000-0000E2C20000}"/>
    <cellStyle name="计算 2 3 2 3 3 2" xfId="49891" xr:uid="{00000000-0005-0000-0000-0000E3C20000}"/>
    <cellStyle name="计算 2 3 2 3 3 2 2" xfId="49892" xr:uid="{00000000-0005-0000-0000-0000E4C20000}"/>
    <cellStyle name="计算 2 3 2 3 4" xfId="49893" xr:uid="{00000000-0005-0000-0000-0000E5C20000}"/>
    <cellStyle name="计算 2 3 2 3 4 2" xfId="49894" xr:uid="{00000000-0005-0000-0000-0000E6C20000}"/>
    <cellStyle name="计算 2 3 2 4" xfId="49895" xr:uid="{00000000-0005-0000-0000-0000E7C20000}"/>
    <cellStyle name="计算 2 3 2 4 2" xfId="49896" xr:uid="{00000000-0005-0000-0000-0000E8C20000}"/>
    <cellStyle name="计算 2 3 2 4 2 2" xfId="49897" xr:uid="{00000000-0005-0000-0000-0000E9C20000}"/>
    <cellStyle name="计算 2 3 2 4 2 2 2" xfId="49898" xr:uid="{00000000-0005-0000-0000-0000EAC20000}"/>
    <cellStyle name="计算 2 3 2 4 3" xfId="49899" xr:uid="{00000000-0005-0000-0000-0000EBC20000}"/>
    <cellStyle name="计算 2 3 2 4 3 2" xfId="49900" xr:uid="{00000000-0005-0000-0000-0000ECC20000}"/>
    <cellStyle name="计算 2 3 2 5" xfId="49901" xr:uid="{00000000-0005-0000-0000-0000EDC20000}"/>
    <cellStyle name="计算 2 3 2 6" xfId="49902" xr:uid="{00000000-0005-0000-0000-0000EEC20000}"/>
    <cellStyle name="计算 2 3 2 7" xfId="49903" xr:uid="{00000000-0005-0000-0000-0000EFC20000}"/>
    <cellStyle name="计算 2 3 3" xfId="49904" xr:uid="{00000000-0005-0000-0000-0000F0C20000}"/>
    <cellStyle name="计算 2 3 3 2" xfId="49905" xr:uid="{00000000-0005-0000-0000-0000F1C20000}"/>
    <cellStyle name="计算 2 3 3 2 2" xfId="49906" xr:uid="{00000000-0005-0000-0000-0000F2C20000}"/>
    <cellStyle name="计算 2 3 3 2 3" xfId="49907" xr:uid="{00000000-0005-0000-0000-0000F3C20000}"/>
    <cellStyle name="计算 2 3 3 2 3 2" xfId="49908" xr:uid="{00000000-0005-0000-0000-0000F4C20000}"/>
    <cellStyle name="计算 2 3 3 2 3 2 2" xfId="49909" xr:uid="{00000000-0005-0000-0000-0000F5C20000}"/>
    <cellStyle name="计算 2 3 3 2 4" xfId="49910" xr:uid="{00000000-0005-0000-0000-0000F6C20000}"/>
    <cellStyle name="计算 2 3 3 2 4 2" xfId="49911" xr:uid="{00000000-0005-0000-0000-0000F7C20000}"/>
    <cellStyle name="计算 2 3 3 3" xfId="49912" xr:uid="{00000000-0005-0000-0000-0000F8C20000}"/>
    <cellStyle name="计算 2 3 3 3 2" xfId="49913" xr:uid="{00000000-0005-0000-0000-0000F9C20000}"/>
    <cellStyle name="计算 2 3 3 3 2 2" xfId="49914" xr:uid="{00000000-0005-0000-0000-0000FAC20000}"/>
    <cellStyle name="计算 2 3 3 3 2 2 2" xfId="49915" xr:uid="{00000000-0005-0000-0000-0000FBC20000}"/>
    <cellStyle name="计算 2 3 3 3 3" xfId="49916" xr:uid="{00000000-0005-0000-0000-0000FCC20000}"/>
    <cellStyle name="计算 2 3 3 3 3 2" xfId="49917" xr:uid="{00000000-0005-0000-0000-0000FDC20000}"/>
    <cellStyle name="计算 2 3 3 4" xfId="49918" xr:uid="{00000000-0005-0000-0000-0000FEC20000}"/>
    <cellStyle name="计算 2 3 3 5" xfId="49919" xr:uid="{00000000-0005-0000-0000-0000FFC20000}"/>
    <cellStyle name="计算 2 3 3 6" xfId="49920" xr:uid="{00000000-0005-0000-0000-000000C30000}"/>
    <cellStyle name="计算 2 3 4" xfId="49921" xr:uid="{00000000-0005-0000-0000-000001C30000}"/>
    <cellStyle name="计算 2 3 4 2" xfId="49922" xr:uid="{00000000-0005-0000-0000-000002C30000}"/>
    <cellStyle name="计算 2 3 4 2 2" xfId="49923" xr:uid="{00000000-0005-0000-0000-000003C30000}"/>
    <cellStyle name="计算 2 3 4 2 3" xfId="49924" xr:uid="{00000000-0005-0000-0000-000004C30000}"/>
    <cellStyle name="计算 2 3 4 2 3 2" xfId="49925" xr:uid="{00000000-0005-0000-0000-000005C30000}"/>
    <cellStyle name="计算 2 3 4 2 3 2 2" xfId="49926" xr:uid="{00000000-0005-0000-0000-000006C30000}"/>
    <cellStyle name="计算 2 3 4 2 4" xfId="49927" xr:uid="{00000000-0005-0000-0000-000007C30000}"/>
    <cellStyle name="计算 2 3 4 2 4 2" xfId="49928" xr:uid="{00000000-0005-0000-0000-000008C30000}"/>
    <cellStyle name="计算 2 3 4 3" xfId="49929" xr:uid="{00000000-0005-0000-0000-000009C30000}"/>
    <cellStyle name="计算 2 3 4 4" xfId="49930" xr:uid="{00000000-0005-0000-0000-00000AC30000}"/>
    <cellStyle name="计算 2 3 4 5" xfId="49931" xr:uid="{00000000-0005-0000-0000-00000BC30000}"/>
    <cellStyle name="计算 2 3 4 6" xfId="49932" xr:uid="{00000000-0005-0000-0000-00000CC30000}"/>
    <cellStyle name="计算 2 3 5" xfId="49933" xr:uid="{00000000-0005-0000-0000-00000DC30000}"/>
    <cellStyle name="计算 2 3 5 2" xfId="49934" xr:uid="{00000000-0005-0000-0000-00000EC30000}"/>
    <cellStyle name="计算 2 3 5 2 2" xfId="49935" xr:uid="{00000000-0005-0000-0000-00000FC30000}"/>
    <cellStyle name="计算 2 3 5 2 2 2" xfId="49936" xr:uid="{00000000-0005-0000-0000-000010C30000}"/>
    <cellStyle name="计算 2 3 5 2 2 2 2" xfId="49937" xr:uid="{00000000-0005-0000-0000-000011C30000}"/>
    <cellStyle name="计算 2 3 5 2 3" xfId="49938" xr:uid="{00000000-0005-0000-0000-000012C30000}"/>
    <cellStyle name="计算 2 3 5 2 3 2" xfId="49939" xr:uid="{00000000-0005-0000-0000-000013C30000}"/>
    <cellStyle name="计算 2 3 5 3" xfId="49940" xr:uid="{00000000-0005-0000-0000-000014C30000}"/>
    <cellStyle name="计算 2 3 5 3 2" xfId="49941" xr:uid="{00000000-0005-0000-0000-000015C30000}"/>
    <cellStyle name="计算 2 3 5 3 2 2" xfId="49942" xr:uid="{00000000-0005-0000-0000-000016C30000}"/>
    <cellStyle name="计算 2 3 5 4" xfId="49943" xr:uid="{00000000-0005-0000-0000-000017C30000}"/>
    <cellStyle name="计算 2 3 5 4 2" xfId="49944" xr:uid="{00000000-0005-0000-0000-000018C30000}"/>
    <cellStyle name="计算 2 3 6" xfId="49945" xr:uid="{00000000-0005-0000-0000-000019C30000}"/>
    <cellStyle name="计算 2 3 6 2" xfId="49946" xr:uid="{00000000-0005-0000-0000-00001AC30000}"/>
    <cellStyle name="计算 2 3 6 2 2" xfId="49947" xr:uid="{00000000-0005-0000-0000-00001BC30000}"/>
    <cellStyle name="计算 2 3 6 2 2 2" xfId="49948" xr:uid="{00000000-0005-0000-0000-00001CC30000}"/>
    <cellStyle name="计算 2 3 6 3" xfId="49949" xr:uid="{00000000-0005-0000-0000-00001DC30000}"/>
    <cellStyle name="计算 2 3 6 3 2" xfId="49950" xr:uid="{00000000-0005-0000-0000-00001EC30000}"/>
    <cellStyle name="计算 2 3 7" xfId="49951" xr:uid="{00000000-0005-0000-0000-00001FC30000}"/>
    <cellStyle name="计算 2 3 7 2" xfId="49952" xr:uid="{00000000-0005-0000-0000-000020C30000}"/>
    <cellStyle name="计算 2 3 7 2 2" xfId="49953" xr:uid="{00000000-0005-0000-0000-000021C30000}"/>
    <cellStyle name="计算 2 3 7 2 2 2" xfId="49954" xr:uid="{00000000-0005-0000-0000-000022C30000}"/>
    <cellStyle name="计算 2 3 7 3" xfId="49955" xr:uid="{00000000-0005-0000-0000-000023C30000}"/>
    <cellStyle name="计算 2 3 7 3 2" xfId="49956" xr:uid="{00000000-0005-0000-0000-000024C30000}"/>
    <cellStyle name="计算 2 3 8" xfId="49957" xr:uid="{00000000-0005-0000-0000-000025C30000}"/>
    <cellStyle name="计算 2 3 9" xfId="49958" xr:uid="{00000000-0005-0000-0000-000026C30000}"/>
    <cellStyle name="计算 2 4" xfId="49959" xr:uid="{00000000-0005-0000-0000-000027C30000}"/>
    <cellStyle name="计算 2 4 2" xfId="49960" xr:uid="{00000000-0005-0000-0000-000028C30000}"/>
    <cellStyle name="计算 2 4 2 2" xfId="49961" xr:uid="{00000000-0005-0000-0000-000029C30000}"/>
    <cellStyle name="计算 2 4 2 3" xfId="49962" xr:uid="{00000000-0005-0000-0000-00002AC30000}"/>
    <cellStyle name="计算 2 4 2 3 2" xfId="49963" xr:uid="{00000000-0005-0000-0000-00002BC30000}"/>
    <cellStyle name="计算 2 4 2 3 2 2" xfId="49964" xr:uid="{00000000-0005-0000-0000-00002CC30000}"/>
    <cellStyle name="计算 2 4 2 4" xfId="49965" xr:uid="{00000000-0005-0000-0000-00002DC30000}"/>
    <cellStyle name="计算 2 4 2 4 2" xfId="49966" xr:uid="{00000000-0005-0000-0000-00002EC30000}"/>
    <cellStyle name="计算 2 4 3" xfId="49967" xr:uid="{00000000-0005-0000-0000-00002FC30000}"/>
    <cellStyle name="计算 2 4 3 2" xfId="49968" xr:uid="{00000000-0005-0000-0000-000030C30000}"/>
    <cellStyle name="计算 2 4 3 2 2" xfId="49969" xr:uid="{00000000-0005-0000-0000-000031C30000}"/>
    <cellStyle name="计算 2 4 3 2 2 2" xfId="49970" xr:uid="{00000000-0005-0000-0000-000032C30000}"/>
    <cellStyle name="计算 2 4 3 3" xfId="49971" xr:uid="{00000000-0005-0000-0000-000033C30000}"/>
    <cellStyle name="计算 2 4 3 3 2" xfId="49972" xr:uid="{00000000-0005-0000-0000-000034C30000}"/>
    <cellStyle name="计算 2 4 4" xfId="49973" xr:uid="{00000000-0005-0000-0000-000035C30000}"/>
    <cellStyle name="计算 2 4 5" xfId="49974" xr:uid="{00000000-0005-0000-0000-000036C30000}"/>
    <cellStyle name="计算 2 4 6" xfId="49975" xr:uid="{00000000-0005-0000-0000-000037C30000}"/>
    <cellStyle name="计算 2 5" xfId="49976" xr:uid="{00000000-0005-0000-0000-000038C30000}"/>
    <cellStyle name="计算 2 5 2" xfId="49977" xr:uid="{00000000-0005-0000-0000-000039C30000}"/>
    <cellStyle name="计算 2 5 2 2" xfId="49978" xr:uid="{00000000-0005-0000-0000-00003AC30000}"/>
    <cellStyle name="计算 2 5 2 3" xfId="49979" xr:uid="{00000000-0005-0000-0000-00003BC30000}"/>
    <cellStyle name="计算 2 5 2 3 2" xfId="49980" xr:uid="{00000000-0005-0000-0000-00003CC30000}"/>
    <cellStyle name="计算 2 5 2 3 2 2" xfId="49981" xr:uid="{00000000-0005-0000-0000-00003DC30000}"/>
    <cellStyle name="计算 2 5 2 4" xfId="49982" xr:uid="{00000000-0005-0000-0000-00003EC30000}"/>
    <cellStyle name="计算 2 5 2 4 2" xfId="49983" xr:uid="{00000000-0005-0000-0000-00003FC30000}"/>
    <cellStyle name="计算 2 5 3" xfId="49984" xr:uid="{00000000-0005-0000-0000-000040C30000}"/>
    <cellStyle name="计算 2 5 4" xfId="49985" xr:uid="{00000000-0005-0000-0000-000041C30000}"/>
    <cellStyle name="计算 2 5 5" xfId="49986" xr:uid="{00000000-0005-0000-0000-000042C30000}"/>
    <cellStyle name="计算 2 5 6" xfId="49987" xr:uid="{00000000-0005-0000-0000-000043C30000}"/>
    <cellStyle name="计算 2 6" xfId="49988" xr:uid="{00000000-0005-0000-0000-000044C30000}"/>
    <cellStyle name="计算 2 6 2" xfId="49989" xr:uid="{00000000-0005-0000-0000-000045C30000}"/>
    <cellStyle name="计算 2 6 2 2" xfId="49990" xr:uid="{00000000-0005-0000-0000-000046C30000}"/>
    <cellStyle name="计算 2 6 2 2 2" xfId="49991" xr:uid="{00000000-0005-0000-0000-000047C30000}"/>
    <cellStyle name="计算 2 6 2 2 2 2" xfId="49992" xr:uid="{00000000-0005-0000-0000-000048C30000}"/>
    <cellStyle name="计算 2 6 2 3" xfId="49993" xr:uid="{00000000-0005-0000-0000-000049C30000}"/>
    <cellStyle name="计算 2 6 2 3 2" xfId="49994" xr:uid="{00000000-0005-0000-0000-00004AC30000}"/>
    <cellStyle name="计算 2 6 3" xfId="49995" xr:uid="{00000000-0005-0000-0000-00004BC30000}"/>
    <cellStyle name="计算 2 6 3 2" xfId="49996" xr:uid="{00000000-0005-0000-0000-00004CC30000}"/>
    <cellStyle name="计算 2 6 3 2 2" xfId="49997" xr:uid="{00000000-0005-0000-0000-00004DC30000}"/>
    <cellStyle name="计算 2 6 4" xfId="49998" xr:uid="{00000000-0005-0000-0000-00004EC30000}"/>
    <cellStyle name="计算 2 6 4 2" xfId="49999" xr:uid="{00000000-0005-0000-0000-00004FC30000}"/>
    <cellStyle name="计算 2 7" xfId="50000" xr:uid="{00000000-0005-0000-0000-000050C30000}"/>
    <cellStyle name="计算 2 7 2" xfId="50001" xr:uid="{00000000-0005-0000-0000-000051C30000}"/>
    <cellStyle name="计算 2 7 2 2" xfId="50002" xr:uid="{00000000-0005-0000-0000-000052C30000}"/>
    <cellStyle name="计算 2 7 2 2 2" xfId="50003" xr:uid="{00000000-0005-0000-0000-000053C30000}"/>
    <cellStyle name="计算 2 7 2 2 2 2" xfId="50004" xr:uid="{00000000-0005-0000-0000-000054C30000}"/>
    <cellStyle name="计算 2 7 2 3" xfId="50005" xr:uid="{00000000-0005-0000-0000-000055C30000}"/>
    <cellStyle name="计算 2 7 2 3 2" xfId="50006" xr:uid="{00000000-0005-0000-0000-000056C30000}"/>
    <cellStyle name="计算 2 7 3" xfId="50007" xr:uid="{00000000-0005-0000-0000-000057C30000}"/>
    <cellStyle name="计算 2 7 3 2" xfId="50008" xr:uid="{00000000-0005-0000-0000-000058C30000}"/>
    <cellStyle name="计算 2 7 3 2 2" xfId="50009" xr:uid="{00000000-0005-0000-0000-000059C30000}"/>
    <cellStyle name="计算 2 7 4" xfId="50010" xr:uid="{00000000-0005-0000-0000-00005AC30000}"/>
    <cellStyle name="计算 2 7 4 2" xfId="50011" xr:uid="{00000000-0005-0000-0000-00005BC30000}"/>
    <cellStyle name="计算 2 8" xfId="50012" xr:uid="{00000000-0005-0000-0000-00005CC30000}"/>
    <cellStyle name="计算 2 8 2" xfId="50013" xr:uid="{00000000-0005-0000-0000-00005DC30000}"/>
    <cellStyle name="计算 2 8 2 2" xfId="50014" xr:uid="{00000000-0005-0000-0000-00005EC30000}"/>
    <cellStyle name="计算 2 8 2 2 2" xfId="50015" xr:uid="{00000000-0005-0000-0000-00005FC30000}"/>
    <cellStyle name="计算 2 8 2 2 2 2" xfId="50016" xr:uid="{00000000-0005-0000-0000-000060C30000}"/>
    <cellStyle name="计算 2 8 2 3" xfId="50017" xr:uid="{00000000-0005-0000-0000-000061C30000}"/>
    <cellStyle name="计算 2 8 2 3 2" xfId="50018" xr:uid="{00000000-0005-0000-0000-000062C30000}"/>
    <cellStyle name="计算 2 8 3" xfId="50019" xr:uid="{00000000-0005-0000-0000-000063C30000}"/>
    <cellStyle name="计算 2 8 3 2" xfId="50020" xr:uid="{00000000-0005-0000-0000-000064C30000}"/>
    <cellStyle name="计算 2 8 3 2 2" xfId="50021" xr:uid="{00000000-0005-0000-0000-000065C30000}"/>
    <cellStyle name="计算 2 8 4" xfId="50022" xr:uid="{00000000-0005-0000-0000-000066C30000}"/>
    <cellStyle name="计算 2 8 4 2" xfId="50023" xr:uid="{00000000-0005-0000-0000-000067C30000}"/>
    <cellStyle name="计算 2 9" xfId="50024" xr:uid="{00000000-0005-0000-0000-000068C30000}"/>
    <cellStyle name="计算 2 9 2" xfId="50025" xr:uid="{00000000-0005-0000-0000-000069C30000}"/>
    <cellStyle name="计算 2 9 2 2" xfId="50026" xr:uid="{00000000-0005-0000-0000-00006AC30000}"/>
    <cellStyle name="计算 2 9 2 2 2" xfId="50027" xr:uid="{00000000-0005-0000-0000-00006BC30000}"/>
    <cellStyle name="计算 2 9 3" xfId="50028" xr:uid="{00000000-0005-0000-0000-00006CC30000}"/>
    <cellStyle name="计算 2 9 3 2" xfId="50029" xr:uid="{00000000-0005-0000-0000-00006DC30000}"/>
    <cellStyle name="计算 3" xfId="50030" xr:uid="{00000000-0005-0000-0000-00006EC30000}"/>
    <cellStyle name="计算 3 2" xfId="50031" xr:uid="{00000000-0005-0000-0000-00006FC30000}"/>
    <cellStyle name="计算 3 2 2" xfId="50032" xr:uid="{00000000-0005-0000-0000-000070C30000}"/>
    <cellStyle name="计算 3 2 2 2" xfId="50033" xr:uid="{00000000-0005-0000-0000-000071C30000}"/>
    <cellStyle name="计算 3 2 2 2 2" xfId="50034" xr:uid="{00000000-0005-0000-0000-000072C30000}"/>
    <cellStyle name="计算 3 2 2 2 3" xfId="50035" xr:uid="{00000000-0005-0000-0000-000073C30000}"/>
    <cellStyle name="计算 3 2 2 2 3 2" xfId="50036" xr:uid="{00000000-0005-0000-0000-000074C30000}"/>
    <cellStyle name="计算 3 2 2 2 3 2 2" xfId="50037" xr:uid="{00000000-0005-0000-0000-000075C30000}"/>
    <cellStyle name="计算 3 2 2 2 4" xfId="50038" xr:uid="{00000000-0005-0000-0000-000076C30000}"/>
    <cellStyle name="计算 3 2 2 2 4 2" xfId="50039" xr:uid="{00000000-0005-0000-0000-000077C30000}"/>
    <cellStyle name="计算 3 2 2 3" xfId="50040" xr:uid="{00000000-0005-0000-0000-000078C30000}"/>
    <cellStyle name="计算 3 2 2 3 2" xfId="50041" xr:uid="{00000000-0005-0000-0000-000079C30000}"/>
    <cellStyle name="计算 3 2 2 3 2 2" xfId="50042" xr:uid="{00000000-0005-0000-0000-00007AC30000}"/>
    <cellStyle name="计算 3 2 2 3 2 2 2" xfId="50043" xr:uid="{00000000-0005-0000-0000-00007BC30000}"/>
    <cellStyle name="计算 3 2 2 3 3" xfId="50044" xr:uid="{00000000-0005-0000-0000-00007CC30000}"/>
    <cellStyle name="计算 3 2 2 3 3 2" xfId="50045" xr:uid="{00000000-0005-0000-0000-00007DC30000}"/>
    <cellStyle name="计算 3 2 2 4" xfId="50046" xr:uid="{00000000-0005-0000-0000-00007EC30000}"/>
    <cellStyle name="计算 3 2 2 5" xfId="50047" xr:uid="{00000000-0005-0000-0000-00007FC30000}"/>
    <cellStyle name="计算 3 2 2 6" xfId="50048" xr:uid="{00000000-0005-0000-0000-000080C30000}"/>
    <cellStyle name="计算 3 2 3" xfId="50049" xr:uid="{00000000-0005-0000-0000-000081C30000}"/>
    <cellStyle name="计算 3 2 3 2" xfId="50050" xr:uid="{00000000-0005-0000-0000-000082C30000}"/>
    <cellStyle name="计算 3 2 3 3" xfId="50051" xr:uid="{00000000-0005-0000-0000-000083C30000}"/>
    <cellStyle name="计算 3 2 3 3 2" xfId="50052" xr:uid="{00000000-0005-0000-0000-000084C30000}"/>
    <cellStyle name="计算 3 2 3 3 2 2" xfId="50053" xr:uid="{00000000-0005-0000-0000-000085C30000}"/>
    <cellStyle name="计算 3 2 3 4" xfId="50054" xr:uid="{00000000-0005-0000-0000-000086C30000}"/>
    <cellStyle name="计算 3 2 3 4 2" xfId="50055" xr:uid="{00000000-0005-0000-0000-000087C30000}"/>
    <cellStyle name="计算 3 2 4" xfId="50056" xr:uid="{00000000-0005-0000-0000-000088C30000}"/>
    <cellStyle name="计算 3 2 4 2" xfId="50057" xr:uid="{00000000-0005-0000-0000-000089C30000}"/>
    <cellStyle name="计算 3 2 4 2 2" xfId="50058" xr:uid="{00000000-0005-0000-0000-00008AC30000}"/>
    <cellStyle name="计算 3 2 4 2 2 2" xfId="50059" xr:uid="{00000000-0005-0000-0000-00008BC30000}"/>
    <cellStyle name="计算 3 2 4 3" xfId="50060" xr:uid="{00000000-0005-0000-0000-00008CC30000}"/>
    <cellStyle name="计算 3 2 4 3 2" xfId="50061" xr:uid="{00000000-0005-0000-0000-00008DC30000}"/>
    <cellStyle name="计算 3 2 5" xfId="50062" xr:uid="{00000000-0005-0000-0000-00008EC30000}"/>
    <cellStyle name="计算 3 2 6" xfId="50063" xr:uid="{00000000-0005-0000-0000-00008FC30000}"/>
    <cellStyle name="计算 3 2 7" xfId="50064" xr:uid="{00000000-0005-0000-0000-000090C30000}"/>
    <cellStyle name="计算 3 3" xfId="50065" xr:uid="{00000000-0005-0000-0000-000091C30000}"/>
    <cellStyle name="计算 3 3 2" xfId="50066" xr:uid="{00000000-0005-0000-0000-000092C30000}"/>
    <cellStyle name="计算 3 3 2 2" xfId="50067" xr:uid="{00000000-0005-0000-0000-000093C30000}"/>
    <cellStyle name="计算 3 3 2 3" xfId="50068" xr:uid="{00000000-0005-0000-0000-000094C30000}"/>
    <cellStyle name="计算 3 3 2 3 2" xfId="50069" xr:uid="{00000000-0005-0000-0000-000095C30000}"/>
    <cellStyle name="计算 3 3 2 3 2 2" xfId="50070" xr:uid="{00000000-0005-0000-0000-000096C30000}"/>
    <cellStyle name="计算 3 3 2 4" xfId="50071" xr:uid="{00000000-0005-0000-0000-000097C30000}"/>
    <cellStyle name="计算 3 3 2 4 2" xfId="50072" xr:uid="{00000000-0005-0000-0000-000098C30000}"/>
    <cellStyle name="计算 3 3 3" xfId="50073" xr:uid="{00000000-0005-0000-0000-000099C30000}"/>
    <cellStyle name="计算 3 3 3 2" xfId="50074" xr:uid="{00000000-0005-0000-0000-00009AC30000}"/>
    <cellStyle name="计算 3 3 3 2 2" xfId="50075" xr:uid="{00000000-0005-0000-0000-00009BC30000}"/>
    <cellStyle name="计算 3 3 3 2 2 2" xfId="50076" xr:uid="{00000000-0005-0000-0000-00009CC30000}"/>
    <cellStyle name="计算 3 3 3 3" xfId="50077" xr:uid="{00000000-0005-0000-0000-00009DC30000}"/>
    <cellStyle name="计算 3 3 3 3 2" xfId="50078" xr:uid="{00000000-0005-0000-0000-00009EC30000}"/>
    <cellStyle name="计算 3 3 4" xfId="50079" xr:uid="{00000000-0005-0000-0000-00009FC30000}"/>
    <cellStyle name="计算 3 3 5" xfId="50080" xr:uid="{00000000-0005-0000-0000-0000A0C30000}"/>
    <cellStyle name="计算 3 3 6" xfId="50081" xr:uid="{00000000-0005-0000-0000-0000A1C30000}"/>
    <cellStyle name="计算 3 4" xfId="50082" xr:uid="{00000000-0005-0000-0000-0000A2C30000}"/>
    <cellStyle name="计算 3 4 2" xfId="50083" xr:uid="{00000000-0005-0000-0000-0000A3C30000}"/>
    <cellStyle name="计算 3 4 2 2" xfId="50084" xr:uid="{00000000-0005-0000-0000-0000A4C30000}"/>
    <cellStyle name="计算 3 4 2 3" xfId="50085" xr:uid="{00000000-0005-0000-0000-0000A5C30000}"/>
    <cellStyle name="计算 3 4 2 3 2" xfId="50086" xr:uid="{00000000-0005-0000-0000-0000A6C30000}"/>
    <cellStyle name="计算 3 4 2 3 2 2" xfId="50087" xr:uid="{00000000-0005-0000-0000-0000A7C30000}"/>
    <cellStyle name="计算 3 4 2 4" xfId="50088" xr:uid="{00000000-0005-0000-0000-0000A8C30000}"/>
    <cellStyle name="计算 3 4 2 4 2" xfId="50089" xr:uid="{00000000-0005-0000-0000-0000A9C30000}"/>
    <cellStyle name="计算 3 4 3" xfId="50090" xr:uid="{00000000-0005-0000-0000-0000AAC30000}"/>
    <cellStyle name="计算 3 4 4" xfId="50091" xr:uid="{00000000-0005-0000-0000-0000ABC30000}"/>
    <cellStyle name="计算 3 4 5" xfId="50092" xr:uid="{00000000-0005-0000-0000-0000ACC30000}"/>
    <cellStyle name="计算 3 4 6" xfId="50093" xr:uid="{00000000-0005-0000-0000-0000ADC30000}"/>
    <cellStyle name="计算 3 5" xfId="50094" xr:uid="{00000000-0005-0000-0000-0000AEC30000}"/>
    <cellStyle name="计算 3 5 2" xfId="50095" xr:uid="{00000000-0005-0000-0000-0000AFC30000}"/>
    <cellStyle name="计算 3 5 2 2" xfId="50096" xr:uid="{00000000-0005-0000-0000-0000B0C30000}"/>
    <cellStyle name="计算 3 5 2 2 2" xfId="50097" xr:uid="{00000000-0005-0000-0000-0000B1C30000}"/>
    <cellStyle name="计算 3 5 2 2 2 2" xfId="50098" xr:uid="{00000000-0005-0000-0000-0000B2C30000}"/>
    <cellStyle name="计算 3 5 2 3" xfId="50099" xr:uid="{00000000-0005-0000-0000-0000B3C30000}"/>
    <cellStyle name="计算 3 5 2 3 2" xfId="50100" xr:uid="{00000000-0005-0000-0000-0000B4C30000}"/>
    <cellStyle name="计算 3 5 3" xfId="50101" xr:uid="{00000000-0005-0000-0000-0000B5C30000}"/>
    <cellStyle name="计算 3 5 3 2" xfId="50102" xr:uid="{00000000-0005-0000-0000-0000B6C30000}"/>
    <cellStyle name="计算 3 5 3 2 2" xfId="50103" xr:uid="{00000000-0005-0000-0000-0000B7C30000}"/>
    <cellStyle name="计算 3 5 4" xfId="50104" xr:uid="{00000000-0005-0000-0000-0000B8C30000}"/>
    <cellStyle name="计算 3 5 4 2" xfId="50105" xr:uid="{00000000-0005-0000-0000-0000B9C30000}"/>
    <cellStyle name="计算 3 6" xfId="50106" xr:uid="{00000000-0005-0000-0000-0000BAC30000}"/>
    <cellStyle name="计算 3 6 2" xfId="50107" xr:uid="{00000000-0005-0000-0000-0000BBC30000}"/>
    <cellStyle name="计算 3 6 2 2" xfId="50108" xr:uid="{00000000-0005-0000-0000-0000BCC30000}"/>
    <cellStyle name="计算 3 6 2 2 2" xfId="50109" xr:uid="{00000000-0005-0000-0000-0000BDC30000}"/>
    <cellStyle name="计算 3 6 3" xfId="50110" xr:uid="{00000000-0005-0000-0000-0000BEC30000}"/>
    <cellStyle name="计算 3 6 3 2" xfId="50111" xr:uid="{00000000-0005-0000-0000-0000BFC30000}"/>
    <cellStyle name="计算 3 7" xfId="50112" xr:uid="{00000000-0005-0000-0000-0000C0C30000}"/>
    <cellStyle name="计算 3 8" xfId="50113" xr:uid="{00000000-0005-0000-0000-0000C1C30000}"/>
    <cellStyle name="貨幣 [0]_DrayageRevenueWorking" xfId="50114" xr:uid="{00000000-0005-0000-0000-0000C2C30000}"/>
    <cellStyle name="貨幣[0]_ 活動指標 (S1)" xfId="50115" xr:uid="{00000000-0005-0000-0000-0000C3C30000}"/>
    <cellStyle name="貨幣_DrayageRevenueWorking" xfId="50116" xr:uid="{00000000-0005-0000-0000-0000C4C30000}"/>
    <cellStyle name="货币 2" xfId="50117" xr:uid="{00000000-0005-0000-0000-0000C5C30000}"/>
    <cellStyle name="货币 2 2" xfId="50118" xr:uid="{00000000-0005-0000-0000-0000C6C30000}"/>
    <cellStyle name="货币 2 2 2" xfId="50119" xr:uid="{00000000-0005-0000-0000-0000C7C30000}"/>
    <cellStyle name="货币 2 2 2 2" xfId="50120" xr:uid="{00000000-0005-0000-0000-0000C8C30000}"/>
    <cellStyle name="货币 2 2 2 2 2" xfId="50121" xr:uid="{00000000-0005-0000-0000-0000C9C30000}"/>
    <cellStyle name="货币 2 2 2 2 3" xfId="50122" xr:uid="{00000000-0005-0000-0000-0000CAC30000}"/>
    <cellStyle name="货币 2 2 2 3" xfId="50123" xr:uid="{00000000-0005-0000-0000-0000CBC30000}"/>
    <cellStyle name="货币 2 2 2 4" xfId="50124" xr:uid="{00000000-0005-0000-0000-0000CCC30000}"/>
    <cellStyle name="货币 2 2 2 5" xfId="50125" xr:uid="{00000000-0005-0000-0000-0000CDC30000}"/>
    <cellStyle name="货币 2 2 2 6" xfId="50126" xr:uid="{00000000-0005-0000-0000-0000CEC30000}"/>
    <cellStyle name="货币 2 2 2 6 2" xfId="50127" xr:uid="{00000000-0005-0000-0000-0000CFC30000}"/>
    <cellStyle name="货币 2 2 2 7" xfId="50128" xr:uid="{00000000-0005-0000-0000-0000D0C30000}"/>
    <cellStyle name="货币 2 2 2 7 2" xfId="50129" xr:uid="{00000000-0005-0000-0000-0000D1C30000}"/>
    <cellStyle name="货币 2 2 2 7 3" xfId="50130" xr:uid="{00000000-0005-0000-0000-0000D2C30000}"/>
    <cellStyle name="货币 2 2 2 8" xfId="50131" xr:uid="{00000000-0005-0000-0000-0000D3C30000}"/>
    <cellStyle name="货币 2 2 3" xfId="50132" xr:uid="{00000000-0005-0000-0000-0000D4C30000}"/>
    <cellStyle name="货币 2 2 3 2" xfId="50133" xr:uid="{00000000-0005-0000-0000-0000D5C30000}"/>
    <cellStyle name="货币 2 2 3 3" xfId="50134" xr:uid="{00000000-0005-0000-0000-0000D6C30000}"/>
    <cellStyle name="货币 2 2 4" xfId="50135" xr:uid="{00000000-0005-0000-0000-0000D7C30000}"/>
    <cellStyle name="货币 2 2 5" xfId="50136" xr:uid="{00000000-0005-0000-0000-0000D8C30000}"/>
    <cellStyle name="货币 2 2 6" xfId="50137" xr:uid="{00000000-0005-0000-0000-0000D9C30000}"/>
    <cellStyle name="货币 2 2 7" xfId="50138" xr:uid="{00000000-0005-0000-0000-0000DAC30000}"/>
    <cellStyle name="货币 2 2 7 2" xfId="50139" xr:uid="{00000000-0005-0000-0000-0000DBC30000}"/>
    <cellStyle name="货币 2 2 7 2 2" xfId="50140" xr:uid="{00000000-0005-0000-0000-0000DCC30000}"/>
    <cellStyle name="货币 2 2 7 3" xfId="50141" xr:uid="{00000000-0005-0000-0000-0000DDC30000}"/>
    <cellStyle name="货币 2 2 8" xfId="50142" xr:uid="{00000000-0005-0000-0000-0000DEC30000}"/>
    <cellStyle name="货币 2 2 8 2" xfId="50143" xr:uid="{00000000-0005-0000-0000-0000DFC30000}"/>
    <cellStyle name="货币 2 2 9" xfId="50144" xr:uid="{00000000-0005-0000-0000-0000E0C30000}"/>
    <cellStyle name="货币 2 2 9 2" xfId="50145" xr:uid="{00000000-0005-0000-0000-0000E1C30000}"/>
    <cellStyle name="货币 2 3" xfId="50146" xr:uid="{00000000-0005-0000-0000-0000E2C30000}"/>
    <cellStyle name="货币 2 3 2" xfId="50147" xr:uid="{00000000-0005-0000-0000-0000E3C30000}"/>
    <cellStyle name="货币 2 3 2 2" xfId="50148" xr:uid="{00000000-0005-0000-0000-0000E4C30000}"/>
    <cellStyle name="货币 2 3 2 3" xfId="50149" xr:uid="{00000000-0005-0000-0000-0000E5C30000}"/>
    <cellStyle name="货币 2 3 3" xfId="50150" xr:uid="{00000000-0005-0000-0000-0000E6C30000}"/>
    <cellStyle name="货币 2 3 4" xfId="50151" xr:uid="{00000000-0005-0000-0000-0000E7C30000}"/>
    <cellStyle name="货币 2 3 5" xfId="50152" xr:uid="{00000000-0005-0000-0000-0000E8C30000}"/>
    <cellStyle name="货币 2 3 6" xfId="50153" xr:uid="{00000000-0005-0000-0000-0000E9C30000}"/>
    <cellStyle name="货币 2 3 6 2" xfId="50154" xr:uid="{00000000-0005-0000-0000-0000EAC30000}"/>
    <cellStyle name="货币 2 3 6 2 2" xfId="50155" xr:uid="{00000000-0005-0000-0000-0000EBC30000}"/>
    <cellStyle name="货币 2 3 6 3" xfId="50156" xr:uid="{00000000-0005-0000-0000-0000ECC30000}"/>
    <cellStyle name="货币 2 3 7" xfId="50157" xr:uid="{00000000-0005-0000-0000-0000EDC30000}"/>
    <cellStyle name="货币 2 3 7 2" xfId="50158" xr:uid="{00000000-0005-0000-0000-0000EEC30000}"/>
    <cellStyle name="货币 2 3 8" xfId="50159" xr:uid="{00000000-0005-0000-0000-0000EFC30000}"/>
    <cellStyle name="货币 2 3 8 2" xfId="50160" xr:uid="{00000000-0005-0000-0000-0000F0C30000}"/>
    <cellStyle name="货币 2 4" xfId="50161" xr:uid="{00000000-0005-0000-0000-0000F1C30000}"/>
    <cellStyle name="货币 2 4 2" xfId="50162" xr:uid="{00000000-0005-0000-0000-0000F2C30000}"/>
    <cellStyle name="货币 2 4 2 2" xfId="50163" xr:uid="{00000000-0005-0000-0000-0000F3C30000}"/>
    <cellStyle name="货币 2 4 2 3" xfId="50164" xr:uid="{00000000-0005-0000-0000-0000F4C30000}"/>
    <cellStyle name="货币 2 4 3" xfId="50165" xr:uid="{00000000-0005-0000-0000-0000F5C30000}"/>
    <cellStyle name="货币 2 4 4" xfId="50166" xr:uid="{00000000-0005-0000-0000-0000F6C30000}"/>
    <cellStyle name="货币 2 4 5" xfId="50167" xr:uid="{00000000-0005-0000-0000-0000F7C30000}"/>
    <cellStyle name="货币 2 4 6" xfId="50168" xr:uid="{00000000-0005-0000-0000-0000F8C30000}"/>
    <cellStyle name="货币 2 4 6 2" xfId="50169" xr:uid="{00000000-0005-0000-0000-0000F9C30000}"/>
    <cellStyle name="货币 2 4 7" xfId="50170" xr:uid="{00000000-0005-0000-0000-0000FAC30000}"/>
    <cellStyle name="货币 2 4 7 2" xfId="50171" xr:uid="{00000000-0005-0000-0000-0000FBC30000}"/>
    <cellStyle name="货币 2 4 7 3" xfId="50172" xr:uid="{00000000-0005-0000-0000-0000FCC30000}"/>
    <cellStyle name="货币 2 4 8" xfId="50173" xr:uid="{00000000-0005-0000-0000-0000FDC30000}"/>
    <cellStyle name="货币 2 5" xfId="50174" xr:uid="{00000000-0005-0000-0000-0000FEC30000}"/>
    <cellStyle name="货币 2 5 2" xfId="50175" xr:uid="{00000000-0005-0000-0000-0000FFC30000}"/>
    <cellStyle name="货币 2 5 2 2" xfId="50176" xr:uid="{00000000-0005-0000-0000-000000C40000}"/>
    <cellStyle name="货币 2 5 2 2 2" xfId="50177" xr:uid="{00000000-0005-0000-0000-000001C40000}"/>
    <cellStyle name="货币 2 5 3" xfId="50178" xr:uid="{00000000-0005-0000-0000-000002C40000}"/>
    <cellStyle name="货币 2 5 3 2" xfId="50179" xr:uid="{00000000-0005-0000-0000-000003C40000}"/>
    <cellStyle name="货币 2 5 4" xfId="50180" xr:uid="{00000000-0005-0000-0000-000004C40000}"/>
    <cellStyle name="货币 2 5 4 2" xfId="50181" xr:uid="{00000000-0005-0000-0000-000005C40000}"/>
    <cellStyle name="货币 2 5 5" xfId="50182" xr:uid="{00000000-0005-0000-0000-000006C40000}"/>
    <cellStyle name="货币 2 6" xfId="50183" xr:uid="{00000000-0005-0000-0000-000007C40000}"/>
    <cellStyle name="货币 2 6 2" xfId="50184" xr:uid="{00000000-0005-0000-0000-000008C40000}"/>
    <cellStyle name="货币[0]_061 explanation" xfId="50185" xr:uid="{00000000-0005-0000-0000-000009C40000}"/>
    <cellStyle name="货币_061 explanation" xfId="50186" xr:uid="{00000000-0005-0000-0000-00000AC40000}"/>
    <cellStyle name="超级链接_Ji Fa - SOICT Pd 023 Mgmt Report" xfId="50187" xr:uid="{00000000-0005-0000-0000-00000BC40000}"/>
    <cellStyle name="超链接 2" xfId="50188" xr:uid="{00000000-0005-0000-0000-00000CC40000}"/>
    <cellStyle name="超链接 2 2" xfId="50189" xr:uid="{00000000-0005-0000-0000-00000DC40000}"/>
    <cellStyle name="超链接 2 2 2" xfId="50190" xr:uid="{00000000-0005-0000-0000-00000EC40000}"/>
    <cellStyle name="超链接 2 2 2 2" xfId="50191" xr:uid="{00000000-0005-0000-0000-00000FC40000}"/>
    <cellStyle name="超链接 2 2 2 3" xfId="50192" xr:uid="{00000000-0005-0000-0000-000010C40000}"/>
    <cellStyle name="超链接 2 2 3" xfId="50193" xr:uid="{00000000-0005-0000-0000-000011C40000}"/>
    <cellStyle name="超链接 2 2 4" xfId="50194" xr:uid="{00000000-0005-0000-0000-000012C40000}"/>
    <cellStyle name="超链接 2 2 5" xfId="50195" xr:uid="{00000000-0005-0000-0000-000013C40000}"/>
    <cellStyle name="超链接 2 2 6" xfId="50196" xr:uid="{00000000-0005-0000-0000-000014C40000}"/>
    <cellStyle name="超链接 2 3" xfId="50197" xr:uid="{00000000-0005-0000-0000-000015C40000}"/>
    <cellStyle name="超链接 2 3 2" xfId="50198" xr:uid="{00000000-0005-0000-0000-000016C40000}"/>
    <cellStyle name="超链接 2 3 3" xfId="50199" xr:uid="{00000000-0005-0000-0000-000017C40000}"/>
    <cellStyle name="超链接 2 4" xfId="50200" xr:uid="{00000000-0005-0000-0000-000018C40000}"/>
    <cellStyle name="超链接 2 5" xfId="50201" xr:uid="{00000000-0005-0000-0000-000019C40000}"/>
    <cellStyle name="超链接 2 6" xfId="50202" xr:uid="{00000000-0005-0000-0000-00001AC40000}"/>
    <cellStyle name="超链接 2 7" xfId="50203" xr:uid="{00000000-0005-0000-0000-00001BC40000}"/>
    <cellStyle name="输入 2" xfId="50204" xr:uid="{00000000-0005-0000-0000-00001CC40000}"/>
    <cellStyle name="输入 2 10" xfId="50205" xr:uid="{00000000-0005-0000-0000-00001DC40000}"/>
    <cellStyle name="输入 2 11" xfId="50206" xr:uid="{00000000-0005-0000-0000-00001EC40000}"/>
    <cellStyle name="输入 2 2" xfId="50207" xr:uid="{00000000-0005-0000-0000-00001FC40000}"/>
    <cellStyle name="输入 2 2 10" xfId="50208" xr:uid="{00000000-0005-0000-0000-000020C40000}"/>
    <cellStyle name="输入 2 2 11" xfId="50209" xr:uid="{00000000-0005-0000-0000-000021C40000}"/>
    <cellStyle name="输入 2 2 2" xfId="50210" xr:uid="{00000000-0005-0000-0000-000022C40000}"/>
    <cellStyle name="输入 2 2 2 2" xfId="50211" xr:uid="{00000000-0005-0000-0000-000023C40000}"/>
    <cellStyle name="输入 2 2 2 2 2" xfId="50212" xr:uid="{00000000-0005-0000-0000-000024C40000}"/>
    <cellStyle name="输入 2 2 2 2 2 2" xfId="50213" xr:uid="{00000000-0005-0000-0000-000025C40000}"/>
    <cellStyle name="输入 2 2 2 2 2 3" xfId="50214" xr:uid="{00000000-0005-0000-0000-000026C40000}"/>
    <cellStyle name="输入 2 2 2 2 2 3 2" xfId="50215" xr:uid="{00000000-0005-0000-0000-000027C40000}"/>
    <cellStyle name="输入 2 2 2 2 2 3 2 2" xfId="50216" xr:uid="{00000000-0005-0000-0000-000028C40000}"/>
    <cellStyle name="输入 2 2 2 2 2 4" xfId="50217" xr:uid="{00000000-0005-0000-0000-000029C40000}"/>
    <cellStyle name="输入 2 2 2 2 2 4 2" xfId="50218" xr:uid="{00000000-0005-0000-0000-00002AC40000}"/>
    <cellStyle name="输入 2 2 2 2 3" xfId="50219" xr:uid="{00000000-0005-0000-0000-00002BC40000}"/>
    <cellStyle name="输入 2 2 2 2 3 2" xfId="50220" xr:uid="{00000000-0005-0000-0000-00002CC40000}"/>
    <cellStyle name="输入 2 2 2 2 3 2 2" xfId="50221" xr:uid="{00000000-0005-0000-0000-00002DC40000}"/>
    <cellStyle name="输入 2 2 2 2 3 2 2 2" xfId="50222" xr:uid="{00000000-0005-0000-0000-00002EC40000}"/>
    <cellStyle name="输入 2 2 2 2 3 3" xfId="50223" xr:uid="{00000000-0005-0000-0000-00002FC40000}"/>
    <cellStyle name="输入 2 2 2 2 3 3 2" xfId="50224" xr:uid="{00000000-0005-0000-0000-000030C40000}"/>
    <cellStyle name="输入 2 2 2 2 4" xfId="50225" xr:uid="{00000000-0005-0000-0000-000031C40000}"/>
    <cellStyle name="输入 2 2 2 2 5" xfId="50226" xr:uid="{00000000-0005-0000-0000-000032C40000}"/>
    <cellStyle name="输入 2 2 2 2 6" xfId="50227" xr:uid="{00000000-0005-0000-0000-000033C40000}"/>
    <cellStyle name="输入 2 2 2 3" xfId="50228" xr:uid="{00000000-0005-0000-0000-000034C40000}"/>
    <cellStyle name="输入 2 2 2 3 2" xfId="50229" xr:uid="{00000000-0005-0000-0000-000035C40000}"/>
    <cellStyle name="输入 2 2 2 3 3" xfId="50230" xr:uid="{00000000-0005-0000-0000-000036C40000}"/>
    <cellStyle name="输入 2 2 2 3 3 2" xfId="50231" xr:uid="{00000000-0005-0000-0000-000037C40000}"/>
    <cellStyle name="输入 2 2 2 3 3 2 2" xfId="50232" xr:uid="{00000000-0005-0000-0000-000038C40000}"/>
    <cellStyle name="输入 2 2 2 3 4" xfId="50233" xr:uid="{00000000-0005-0000-0000-000039C40000}"/>
    <cellStyle name="输入 2 2 2 3 4 2" xfId="50234" xr:uid="{00000000-0005-0000-0000-00003AC40000}"/>
    <cellStyle name="输入 2 2 2 4" xfId="50235" xr:uid="{00000000-0005-0000-0000-00003BC40000}"/>
    <cellStyle name="输入 2 2 2 4 2" xfId="50236" xr:uid="{00000000-0005-0000-0000-00003CC40000}"/>
    <cellStyle name="输入 2 2 2 4 2 2" xfId="50237" xr:uid="{00000000-0005-0000-0000-00003DC40000}"/>
    <cellStyle name="输入 2 2 2 4 2 2 2" xfId="50238" xr:uid="{00000000-0005-0000-0000-00003EC40000}"/>
    <cellStyle name="输入 2 2 2 4 3" xfId="50239" xr:uid="{00000000-0005-0000-0000-00003FC40000}"/>
    <cellStyle name="输入 2 2 2 4 3 2" xfId="50240" xr:uid="{00000000-0005-0000-0000-000040C40000}"/>
    <cellStyle name="输入 2 2 2 5" xfId="50241" xr:uid="{00000000-0005-0000-0000-000041C40000}"/>
    <cellStyle name="输入 2 2 2 6" xfId="50242" xr:uid="{00000000-0005-0000-0000-000042C40000}"/>
    <cellStyle name="输入 2 2 2 7" xfId="50243" xr:uid="{00000000-0005-0000-0000-000043C40000}"/>
    <cellStyle name="输入 2 2 3" xfId="50244" xr:uid="{00000000-0005-0000-0000-000044C40000}"/>
    <cellStyle name="输入 2 2 3 2" xfId="50245" xr:uid="{00000000-0005-0000-0000-000045C40000}"/>
    <cellStyle name="输入 2 2 3 2 2" xfId="50246" xr:uid="{00000000-0005-0000-0000-000046C40000}"/>
    <cellStyle name="输入 2 2 3 2 3" xfId="50247" xr:uid="{00000000-0005-0000-0000-000047C40000}"/>
    <cellStyle name="输入 2 2 3 2 3 2" xfId="50248" xr:uid="{00000000-0005-0000-0000-000048C40000}"/>
    <cellStyle name="输入 2 2 3 2 3 2 2" xfId="50249" xr:uid="{00000000-0005-0000-0000-000049C40000}"/>
    <cellStyle name="输入 2 2 3 2 4" xfId="50250" xr:uid="{00000000-0005-0000-0000-00004AC40000}"/>
    <cellStyle name="输入 2 2 3 2 4 2" xfId="50251" xr:uid="{00000000-0005-0000-0000-00004BC40000}"/>
    <cellStyle name="输入 2 2 3 3" xfId="50252" xr:uid="{00000000-0005-0000-0000-00004CC40000}"/>
    <cellStyle name="输入 2 2 3 3 2" xfId="50253" xr:uid="{00000000-0005-0000-0000-00004DC40000}"/>
    <cellStyle name="输入 2 2 3 3 2 2" xfId="50254" xr:uid="{00000000-0005-0000-0000-00004EC40000}"/>
    <cellStyle name="输入 2 2 3 3 2 2 2" xfId="50255" xr:uid="{00000000-0005-0000-0000-00004FC40000}"/>
    <cellStyle name="输入 2 2 3 3 3" xfId="50256" xr:uid="{00000000-0005-0000-0000-000050C40000}"/>
    <cellStyle name="输入 2 2 3 3 3 2" xfId="50257" xr:uid="{00000000-0005-0000-0000-000051C40000}"/>
    <cellStyle name="输入 2 2 3 4" xfId="50258" xr:uid="{00000000-0005-0000-0000-000052C40000}"/>
    <cellStyle name="输入 2 2 3 5" xfId="50259" xr:uid="{00000000-0005-0000-0000-000053C40000}"/>
    <cellStyle name="输入 2 2 3 6" xfId="50260" xr:uid="{00000000-0005-0000-0000-000054C40000}"/>
    <cellStyle name="输入 2 2 4" xfId="50261" xr:uid="{00000000-0005-0000-0000-000055C40000}"/>
    <cellStyle name="输入 2 2 4 2" xfId="50262" xr:uid="{00000000-0005-0000-0000-000056C40000}"/>
    <cellStyle name="输入 2 2 4 2 2" xfId="50263" xr:uid="{00000000-0005-0000-0000-000057C40000}"/>
    <cellStyle name="输入 2 2 4 2 3" xfId="50264" xr:uid="{00000000-0005-0000-0000-000058C40000}"/>
    <cellStyle name="输入 2 2 4 2 3 2" xfId="50265" xr:uid="{00000000-0005-0000-0000-000059C40000}"/>
    <cellStyle name="输入 2 2 4 2 3 2 2" xfId="50266" xr:uid="{00000000-0005-0000-0000-00005AC40000}"/>
    <cellStyle name="输入 2 2 4 2 4" xfId="50267" xr:uid="{00000000-0005-0000-0000-00005BC40000}"/>
    <cellStyle name="输入 2 2 4 2 4 2" xfId="50268" xr:uid="{00000000-0005-0000-0000-00005CC40000}"/>
    <cellStyle name="输入 2 2 4 3" xfId="50269" xr:uid="{00000000-0005-0000-0000-00005DC40000}"/>
    <cellStyle name="输入 2 2 4 4" xfId="50270" xr:uid="{00000000-0005-0000-0000-00005EC40000}"/>
    <cellStyle name="输入 2 2 4 5" xfId="50271" xr:uid="{00000000-0005-0000-0000-00005FC40000}"/>
    <cellStyle name="输入 2 2 4 6" xfId="50272" xr:uid="{00000000-0005-0000-0000-000060C40000}"/>
    <cellStyle name="输入 2 2 5" xfId="50273" xr:uid="{00000000-0005-0000-0000-000061C40000}"/>
    <cellStyle name="输入 2 2 5 2" xfId="50274" xr:uid="{00000000-0005-0000-0000-000062C40000}"/>
    <cellStyle name="输入 2 2 5 2 2" xfId="50275" xr:uid="{00000000-0005-0000-0000-000063C40000}"/>
    <cellStyle name="输入 2 2 5 2 2 2" xfId="50276" xr:uid="{00000000-0005-0000-0000-000064C40000}"/>
    <cellStyle name="输入 2 2 5 2 2 2 2" xfId="50277" xr:uid="{00000000-0005-0000-0000-000065C40000}"/>
    <cellStyle name="输入 2 2 5 2 3" xfId="50278" xr:uid="{00000000-0005-0000-0000-000066C40000}"/>
    <cellStyle name="输入 2 2 5 2 3 2" xfId="50279" xr:uid="{00000000-0005-0000-0000-000067C40000}"/>
    <cellStyle name="输入 2 2 5 3" xfId="50280" xr:uid="{00000000-0005-0000-0000-000068C40000}"/>
    <cellStyle name="输入 2 2 5 3 2" xfId="50281" xr:uid="{00000000-0005-0000-0000-000069C40000}"/>
    <cellStyle name="输入 2 2 5 3 2 2" xfId="50282" xr:uid="{00000000-0005-0000-0000-00006AC40000}"/>
    <cellStyle name="输入 2 2 5 4" xfId="50283" xr:uid="{00000000-0005-0000-0000-00006BC40000}"/>
    <cellStyle name="输入 2 2 5 4 2" xfId="50284" xr:uid="{00000000-0005-0000-0000-00006CC40000}"/>
    <cellStyle name="输入 2 2 6" xfId="50285" xr:uid="{00000000-0005-0000-0000-00006DC40000}"/>
    <cellStyle name="输入 2 2 6 2" xfId="50286" xr:uid="{00000000-0005-0000-0000-00006EC40000}"/>
    <cellStyle name="输入 2 2 6 2 2" xfId="50287" xr:uid="{00000000-0005-0000-0000-00006FC40000}"/>
    <cellStyle name="输入 2 2 6 2 2 2" xfId="50288" xr:uid="{00000000-0005-0000-0000-000070C40000}"/>
    <cellStyle name="输入 2 2 6 2 2 2 2" xfId="50289" xr:uid="{00000000-0005-0000-0000-000071C40000}"/>
    <cellStyle name="输入 2 2 6 2 3" xfId="50290" xr:uid="{00000000-0005-0000-0000-000072C40000}"/>
    <cellStyle name="输入 2 2 6 2 3 2" xfId="50291" xr:uid="{00000000-0005-0000-0000-000073C40000}"/>
    <cellStyle name="输入 2 2 6 3" xfId="50292" xr:uid="{00000000-0005-0000-0000-000074C40000}"/>
    <cellStyle name="输入 2 2 6 3 2" xfId="50293" xr:uid="{00000000-0005-0000-0000-000075C40000}"/>
    <cellStyle name="输入 2 2 6 3 2 2" xfId="50294" xr:uid="{00000000-0005-0000-0000-000076C40000}"/>
    <cellStyle name="输入 2 2 6 4" xfId="50295" xr:uid="{00000000-0005-0000-0000-000077C40000}"/>
    <cellStyle name="输入 2 2 6 4 2" xfId="50296" xr:uid="{00000000-0005-0000-0000-000078C40000}"/>
    <cellStyle name="输入 2 2 7" xfId="50297" xr:uid="{00000000-0005-0000-0000-000079C40000}"/>
    <cellStyle name="输入 2 2 7 2" xfId="50298" xr:uid="{00000000-0005-0000-0000-00007AC40000}"/>
    <cellStyle name="输入 2 2 7 2 2" xfId="50299" xr:uid="{00000000-0005-0000-0000-00007BC40000}"/>
    <cellStyle name="输入 2 2 7 2 2 2" xfId="50300" xr:uid="{00000000-0005-0000-0000-00007CC40000}"/>
    <cellStyle name="输入 2 2 7 2 2 2 2" xfId="50301" xr:uid="{00000000-0005-0000-0000-00007DC40000}"/>
    <cellStyle name="输入 2 2 7 2 3" xfId="50302" xr:uid="{00000000-0005-0000-0000-00007EC40000}"/>
    <cellStyle name="输入 2 2 7 2 3 2" xfId="50303" xr:uid="{00000000-0005-0000-0000-00007FC40000}"/>
    <cellStyle name="输入 2 2 7 3" xfId="50304" xr:uid="{00000000-0005-0000-0000-000080C40000}"/>
    <cellStyle name="输入 2 2 7 3 2" xfId="50305" xr:uid="{00000000-0005-0000-0000-000081C40000}"/>
    <cellStyle name="输入 2 2 7 3 2 2" xfId="50306" xr:uid="{00000000-0005-0000-0000-000082C40000}"/>
    <cellStyle name="输入 2 2 7 4" xfId="50307" xr:uid="{00000000-0005-0000-0000-000083C40000}"/>
    <cellStyle name="输入 2 2 7 4 2" xfId="50308" xr:uid="{00000000-0005-0000-0000-000084C40000}"/>
    <cellStyle name="输入 2 2 8" xfId="50309" xr:uid="{00000000-0005-0000-0000-000085C40000}"/>
    <cellStyle name="输入 2 2 8 2" xfId="50310" xr:uid="{00000000-0005-0000-0000-000086C40000}"/>
    <cellStyle name="输入 2 2 8 2 2" xfId="50311" xr:uid="{00000000-0005-0000-0000-000087C40000}"/>
    <cellStyle name="输入 2 2 8 2 2 2" xfId="50312" xr:uid="{00000000-0005-0000-0000-000088C40000}"/>
    <cellStyle name="输入 2 2 8 3" xfId="50313" xr:uid="{00000000-0005-0000-0000-000089C40000}"/>
    <cellStyle name="输入 2 2 8 3 2" xfId="50314" xr:uid="{00000000-0005-0000-0000-00008AC40000}"/>
    <cellStyle name="输入 2 2 9" xfId="50315" xr:uid="{00000000-0005-0000-0000-00008BC40000}"/>
    <cellStyle name="输入 2 2 9 2" xfId="50316" xr:uid="{00000000-0005-0000-0000-00008CC40000}"/>
    <cellStyle name="输入 2 2 9 2 2" xfId="50317" xr:uid="{00000000-0005-0000-0000-00008DC40000}"/>
    <cellStyle name="输入 2 2 9 2 2 2" xfId="50318" xr:uid="{00000000-0005-0000-0000-00008EC40000}"/>
    <cellStyle name="输入 2 2 9 3" xfId="50319" xr:uid="{00000000-0005-0000-0000-00008FC40000}"/>
    <cellStyle name="输入 2 2 9 3 2" xfId="50320" xr:uid="{00000000-0005-0000-0000-000090C40000}"/>
    <cellStyle name="输入 2 3" xfId="50321" xr:uid="{00000000-0005-0000-0000-000091C40000}"/>
    <cellStyle name="输入 2 3 2" xfId="50322" xr:uid="{00000000-0005-0000-0000-000092C40000}"/>
    <cellStyle name="输入 2 3 2 2" xfId="50323" xr:uid="{00000000-0005-0000-0000-000093C40000}"/>
    <cellStyle name="输入 2 3 2 2 2" xfId="50324" xr:uid="{00000000-0005-0000-0000-000094C40000}"/>
    <cellStyle name="输入 2 3 2 2 2 2" xfId="50325" xr:uid="{00000000-0005-0000-0000-000095C40000}"/>
    <cellStyle name="输入 2 3 2 2 2 3" xfId="50326" xr:uid="{00000000-0005-0000-0000-000096C40000}"/>
    <cellStyle name="输入 2 3 2 2 2 3 2" xfId="50327" xr:uid="{00000000-0005-0000-0000-000097C40000}"/>
    <cellStyle name="输入 2 3 2 2 2 3 2 2" xfId="50328" xr:uid="{00000000-0005-0000-0000-000098C40000}"/>
    <cellStyle name="输入 2 3 2 2 2 4" xfId="50329" xr:uid="{00000000-0005-0000-0000-000099C40000}"/>
    <cellStyle name="输入 2 3 2 2 2 4 2" xfId="50330" xr:uid="{00000000-0005-0000-0000-00009AC40000}"/>
    <cellStyle name="输入 2 3 2 2 3" xfId="50331" xr:uid="{00000000-0005-0000-0000-00009BC40000}"/>
    <cellStyle name="输入 2 3 2 2 3 2" xfId="50332" xr:uid="{00000000-0005-0000-0000-00009CC40000}"/>
    <cellStyle name="输入 2 3 2 2 3 2 2" xfId="50333" xr:uid="{00000000-0005-0000-0000-00009DC40000}"/>
    <cellStyle name="输入 2 3 2 2 3 2 2 2" xfId="50334" xr:uid="{00000000-0005-0000-0000-00009EC40000}"/>
    <cellStyle name="输入 2 3 2 2 3 3" xfId="50335" xr:uid="{00000000-0005-0000-0000-00009FC40000}"/>
    <cellStyle name="输入 2 3 2 2 3 3 2" xfId="50336" xr:uid="{00000000-0005-0000-0000-0000A0C40000}"/>
    <cellStyle name="输入 2 3 2 2 4" xfId="50337" xr:uid="{00000000-0005-0000-0000-0000A1C40000}"/>
    <cellStyle name="输入 2 3 2 2 5" xfId="50338" xr:uid="{00000000-0005-0000-0000-0000A2C40000}"/>
    <cellStyle name="输入 2 3 2 2 6" xfId="50339" xr:uid="{00000000-0005-0000-0000-0000A3C40000}"/>
    <cellStyle name="输入 2 3 2 3" xfId="50340" xr:uid="{00000000-0005-0000-0000-0000A4C40000}"/>
    <cellStyle name="输入 2 3 2 3 2" xfId="50341" xr:uid="{00000000-0005-0000-0000-0000A5C40000}"/>
    <cellStyle name="输入 2 3 2 3 3" xfId="50342" xr:uid="{00000000-0005-0000-0000-0000A6C40000}"/>
    <cellStyle name="输入 2 3 2 3 3 2" xfId="50343" xr:uid="{00000000-0005-0000-0000-0000A7C40000}"/>
    <cellStyle name="输入 2 3 2 3 3 2 2" xfId="50344" xr:uid="{00000000-0005-0000-0000-0000A8C40000}"/>
    <cellStyle name="输入 2 3 2 3 4" xfId="50345" xr:uid="{00000000-0005-0000-0000-0000A9C40000}"/>
    <cellStyle name="输入 2 3 2 3 4 2" xfId="50346" xr:uid="{00000000-0005-0000-0000-0000AAC40000}"/>
    <cellStyle name="输入 2 3 2 4" xfId="50347" xr:uid="{00000000-0005-0000-0000-0000ABC40000}"/>
    <cellStyle name="输入 2 3 2 4 2" xfId="50348" xr:uid="{00000000-0005-0000-0000-0000ACC40000}"/>
    <cellStyle name="输入 2 3 2 4 2 2" xfId="50349" xr:uid="{00000000-0005-0000-0000-0000ADC40000}"/>
    <cellStyle name="输入 2 3 2 4 2 2 2" xfId="50350" xr:uid="{00000000-0005-0000-0000-0000AEC40000}"/>
    <cellStyle name="输入 2 3 2 4 3" xfId="50351" xr:uid="{00000000-0005-0000-0000-0000AFC40000}"/>
    <cellStyle name="输入 2 3 2 4 3 2" xfId="50352" xr:uid="{00000000-0005-0000-0000-0000B0C40000}"/>
    <cellStyle name="输入 2 3 2 5" xfId="50353" xr:uid="{00000000-0005-0000-0000-0000B1C40000}"/>
    <cellStyle name="输入 2 3 2 6" xfId="50354" xr:uid="{00000000-0005-0000-0000-0000B2C40000}"/>
    <cellStyle name="输入 2 3 2 7" xfId="50355" xr:uid="{00000000-0005-0000-0000-0000B3C40000}"/>
    <cellStyle name="输入 2 3 3" xfId="50356" xr:uid="{00000000-0005-0000-0000-0000B4C40000}"/>
    <cellStyle name="输入 2 3 3 2" xfId="50357" xr:uid="{00000000-0005-0000-0000-0000B5C40000}"/>
    <cellStyle name="输入 2 3 3 2 2" xfId="50358" xr:uid="{00000000-0005-0000-0000-0000B6C40000}"/>
    <cellStyle name="输入 2 3 3 2 3" xfId="50359" xr:uid="{00000000-0005-0000-0000-0000B7C40000}"/>
    <cellStyle name="输入 2 3 3 2 3 2" xfId="50360" xr:uid="{00000000-0005-0000-0000-0000B8C40000}"/>
    <cellStyle name="输入 2 3 3 2 3 2 2" xfId="50361" xr:uid="{00000000-0005-0000-0000-0000B9C40000}"/>
    <cellStyle name="输入 2 3 3 2 4" xfId="50362" xr:uid="{00000000-0005-0000-0000-0000BAC40000}"/>
    <cellStyle name="输入 2 3 3 2 4 2" xfId="50363" xr:uid="{00000000-0005-0000-0000-0000BBC40000}"/>
    <cellStyle name="输入 2 3 3 3" xfId="50364" xr:uid="{00000000-0005-0000-0000-0000BCC40000}"/>
    <cellStyle name="输入 2 3 3 3 2" xfId="50365" xr:uid="{00000000-0005-0000-0000-0000BDC40000}"/>
    <cellStyle name="输入 2 3 3 3 2 2" xfId="50366" xr:uid="{00000000-0005-0000-0000-0000BEC40000}"/>
    <cellStyle name="输入 2 3 3 3 2 2 2" xfId="50367" xr:uid="{00000000-0005-0000-0000-0000BFC40000}"/>
    <cellStyle name="输入 2 3 3 3 3" xfId="50368" xr:uid="{00000000-0005-0000-0000-0000C0C40000}"/>
    <cellStyle name="输入 2 3 3 3 3 2" xfId="50369" xr:uid="{00000000-0005-0000-0000-0000C1C40000}"/>
    <cellStyle name="输入 2 3 3 4" xfId="50370" xr:uid="{00000000-0005-0000-0000-0000C2C40000}"/>
    <cellStyle name="输入 2 3 3 5" xfId="50371" xr:uid="{00000000-0005-0000-0000-0000C3C40000}"/>
    <cellStyle name="输入 2 3 3 6" xfId="50372" xr:uid="{00000000-0005-0000-0000-0000C4C40000}"/>
    <cellStyle name="输入 2 3 4" xfId="50373" xr:uid="{00000000-0005-0000-0000-0000C5C40000}"/>
    <cellStyle name="输入 2 3 4 2" xfId="50374" xr:uid="{00000000-0005-0000-0000-0000C6C40000}"/>
    <cellStyle name="输入 2 3 4 2 2" xfId="50375" xr:uid="{00000000-0005-0000-0000-0000C7C40000}"/>
    <cellStyle name="输入 2 3 4 2 3" xfId="50376" xr:uid="{00000000-0005-0000-0000-0000C8C40000}"/>
    <cellStyle name="输入 2 3 4 2 3 2" xfId="50377" xr:uid="{00000000-0005-0000-0000-0000C9C40000}"/>
    <cellStyle name="输入 2 3 4 2 3 2 2" xfId="50378" xr:uid="{00000000-0005-0000-0000-0000CAC40000}"/>
    <cellStyle name="输入 2 3 4 2 4" xfId="50379" xr:uid="{00000000-0005-0000-0000-0000CBC40000}"/>
    <cellStyle name="输入 2 3 4 2 4 2" xfId="50380" xr:uid="{00000000-0005-0000-0000-0000CCC40000}"/>
    <cellStyle name="输入 2 3 4 3" xfId="50381" xr:uid="{00000000-0005-0000-0000-0000CDC40000}"/>
    <cellStyle name="输入 2 3 4 4" xfId="50382" xr:uid="{00000000-0005-0000-0000-0000CEC40000}"/>
    <cellStyle name="输入 2 3 4 5" xfId="50383" xr:uid="{00000000-0005-0000-0000-0000CFC40000}"/>
    <cellStyle name="输入 2 3 4 6" xfId="50384" xr:uid="{00000000-0005-0000-0000-0000D0C40000}"/>
    <cellStyle name="输入 2 3 5" xfId="50385" xr:uid="{00000000-0005-0000-0000-0000D1C40000}"/>
    <cellStyle name="输入 2 3 5 2" xfId="50386" xr:uid="{00000000-0005-0000-0000-0000D2C40000}"/>
    <cellStyle name="输入 2 3 5 2 2" xfId="50387" xr:uid="{00000000-0005-0000-0000-0000D3C40000}"/>
    <cellStyle name="输入 2 3 5 2 2 2" xfId="50388" xr:uid="{00000000-0005-0000-0000-0000D4C40000}"/>
    <cellStyle name="输入 2 3 5 2 2 2 2" xfId="50389" xr:uid="{00000000-0005-0000-0000-0000D5C40000}"/>
    <cellStyle name="输入 2 3 5 2 3" xfId="50390" xr:uid="{00000000-0005-0000-0000-0000D6C40000}"/>
    <cellStyle name="输入 2 3 5 2 3 2" xfId="50391" xr:uid="{00000000-0005-0000-0000-0000D7C40000}"/>
    <cellStyle name="输入 2 3 5 3" xfId="50392" xr:uid="{00000000-0005-0000-0000-0000D8C40000}"/>
    <cellStyle name="输入 2 3 5 3 2" xfId="50393" xr:uid="{00000000-0005-0000-0000-0000D9C40000}"/>
    <cellStyle name="输入 2 3 5 3 2 2" xfId="50394" xr:uid="{00000000-0005-0000-0000-0000DAC40000}"/>
    <cellStyle name="输入 2 3 5 4" xfId="50395" xr:uid="{00000000-0005-0000-0000-0000DBC40000}"/>
    <cellStyle name="输入 2 3 5 4 2" xfId="50396" xr:uid="{00000000-0005-0000-0000-0000DCC40000}"/>
    <cellStyle name="输入 2 3 6" xfId="50397" xr:uid="{00000000-0005-0000-0000-0000DDC40000}"/>
    <cellStyle name="输入 2 3 6 2" xfId="50398" xr:uid="{00000000-0005-0000-0000-0000DEC40000}"/>
    <cellStyle name="输入 2 3 6 2 2" xfId="50399" xr:uid="{00000000-0005-0000-0000-0000DFC40000}"/>
    <cellStyle name="输入 2 3 6 2 2 2" xfId="50400" xr:uid="{00000000-0005-0000-0000-0000E0C40000}"/>
    <cellStyle name="输入 2 3 6 3" xfId="50401" xr:uid="{00000000-0005-0000-0000-0000E1C40000}"/>
    <cellStyle name="输入 2 3 6 3 2" xfId="50402" xr:uid="{00000000-0005-0000-0000-0000E2C40000}"/>
    <cellStyle name="输入 2 3 7" xfId="50403" xr:uid="{00000000-0005-0000-0000-0000E3C40000}"/>
    <cellStyle name="输入 2 3 7 2" xfId="50404" xr:uid="{00000000-0005-0000-0000-0000E4C40000}"/>
    <cellStyle name="输入 2 3 7 2 2" xfId="50405" xr:uid="{00000000-0005-0000-0000-0000E5C40000}"/>
    <cellStyle name="输入 2 3 7 2 2 2" xfId="50406" xr:uid="{00000000-0005-0000-0000-0000E6C40000}"/>
    <cellStyle name="输入 2 3 7 3" xfId="50407" xr:uid="{00000000-0005-0000-0000-0000E7C40000}"/>
    <cellStyle name="输入 2 3 7 3 2" xfId="50408" xr:uid="{00000000-0005-0000-0000-0000E8C40000}"/>
    <cellStyle name="输入 2 3 8" xfId="50409" xr:uid="{00000000-0005-0000-0000-0000E9C40000}"/>
    <cellStyle name="输入 2 3 9" xfId="50410" xr:uid="{00000000-0005-0000-0000-0000EAC40000}"/>
    <cellStyle name="输入 2 4" xfId="50411" xr:uid="{00000000-0005-0000-0000-0000EBC40000}"/>
    <cellStyle name="输入 2 4 2" xfId="50412" xr:uid="{00000000-0005-0000-0000-0000ECC40000}"/>
    <cellStyle name="输入 2 4 2 2" xfId="50413" xr:uid="{00000000-0005-0000-0000-0000EDC40000}"/>
    <cellStyle name="输入 2 4 2 3" xfId="50414" xr:uid="{00000000-0005-0000-0000-0000EEC40000}"/>
    <cellStyle name="输入 2 4 2 3 2" xfId="50415" xr:uid="{00000000-0005-0000-0000-0000EFC40000}"/>
    <cellStyle name="输入 2 4 2 3 2 2" xfId="50416" xr:uid="{00000000-0005-0000-0000-0000F0C40000}"/>
    <cellStyle name="输入 2 4 2 4" xfId="50417" xr:uid="{00000000-0005-0000-0000-0000F1C40000}"/>
    <cellStyle name="输入 2 4 2 4 2" xfId="50418" xr:uid="{00000000-0005-0000-0000-0000F2C40000}"/>
    <cellStyle name="输入 2 4 3" xfId="50419" xr:uid="{00000000-0005-0000-0000-0000F3C40000}"/>
    <cellStyle name="输入 2 4 3 2" xfId="50420" xr:uid="{00000000-0005-0000-0000-0000F4C40000}"/>
    <cellStyle name="输入 2 4 3 2 2" xfId="50421" xr:uid="{00000000-0005-0000-0000-0000F5C40000}"/>
    <cellStyle name="输入 2 4 3 2 2 2" xfId="50422" xr:uid="{00000000-0005-0000-0000-0000F6C40000}"/>
    <cellStyle name="输入 2 4 3 3" xfId="50423" xr:uid="{00000000-0005-0000-0000-0000F7C40000}"/>
    <cellStyle name="输入 2 4 3 3 2" xfId="50424" xr:uid="{00000000-0005-0000-0000-0000F8C40000}"/>
    <cellStyle name="输入 2 4 4" xfId="50425" xr:uid="{00000000-0005-0000-0000-0000F9C40000}"/>
    <cellStyle name="输入 2 4 5" xfId="50426" xr:uid="{00000000-0005-0000-0000-0000FAC40000}"/>
    <cellStyle name="输入 2 4 6" xfId="50427" xr:uid="{00000000-0005-0000-0000-0000FBC40000}"/>
    <cellStyle name="输入 2 5" xfId="50428" xr:uid="{00000000-0005-0000-0000-0000FCC40000}"/>
    <cellStyle name="输入 2 5 2" xfId="50429" xr:uid="{00000000-0005-0000-0000-0000FDC40000}"/>
    <cellStyle name="输入 2 5 2 2" xfId="50430" xr:uid="{00000000-0005-0000-0000-0000FEC40000}"/>
    <cellStyle name="输入 2 5 2 3" xfId="50431" xr:uid="{00000000-0005-0000-0000-0000FFC40000}"/>
    <cellStyle name="输入 2 5 2 3 2" xfId="50432" xr:uid="{00000000-0005-0000-0000-000000C50000}"/>
    <cellStyle name="输入 2 5 2 3 2 2" xfId="50433" xr:uid="{00000000-0005-0000-0000-000001C50000}"/>
    <cellStyle name="输入 2 5 2 4" xfId="50434" xr:uid="{00000000-0005-0000-0000-000002C50000}"/>
    <cellStyle name="输入 2 5 2 4 2" xfId="50435" xr:uid="{00000000-0005-0000-0000-000003C50000}"/>
    <cellStyle name="输入 2 5 3" xfId="50436" xr:uid="{00000000-0005-0000-0000-000004C50000}"/>
    <cellStyle name="输入 2 5 4" xfId="50437" xr:uid="{00000000-0005-0000-0000-000005C50000}"/>
    <cellStyle name="输入 2 5 5" xfId="50438" xr:uid="{00000000-0005-0000-0000-000006C50000}"/>
    <cellStyle name="输入 2 5 6" xfId="50439" xr:uid="{00000000-0005-0000-0000-000007C50000}"/>
    <cellStyle name="输入 2 6" xfId="50440" xr:uid="{00000000-0005-0000-0000-000008C50000}"/>
    <cellStyle name="输入 2 6 2" xfId="50441" xr:uid="{00000000-0005-0000-0000-000009C50000}"/>
    <cellStyle name="输入 2 6 2 2" xfId="50442" xr:uid="{00000000-0005-0000-0000-00000AC50000}"/>
    <cellStyle name="输入 2 6 2 2 2" xfId="50443" xr:uid="{00000000-0005-0000-0000-00000BC50000}"/>
    <cellStyle name="输入 2 6 2 2 2 2" xfId="50444" xr:uid="{00000000-0005-0000-0000-00000CC50000}"/>
    <cellStyle name="输入 2 6 2 3" xfId="50445" xr:uid="{00000000-0005-0000-0000-00000DC50000}"/>
    <cellStyle name="输入 2 6 2 3 2" xfId="50446" xr:uid="{00000000-0005-0000-0000-00000EC50000}"/>
    <cellStyle name="输入 2 6 3" xfId="50447" xr:uid="{00000000-0005-0000-0000-00000FC50000}"/>
    <cellStyle name="输入 2 6 3 2" xfId="50448" xr:uid="{00000000-0005-0000-0000-000010C50000}"/>
    <cellStyle name="输入 2 6 3 2 2" xfId="50449" xr:uid="{00000000-0005-0000-0000-000011C50000}"/>
    <cellStyle name="输入 2 6 4" xfId="50450" xr:uid="{00000000-0005-0000-0000-000012C50000}"/>
    <cellStyle name="输入 2 6 4 2" xfId="50451" xr:uid="{00000000-0005-0000-0000-000013C50000}"/>
    <cellStyle name="输入 2 7" xfId="50452" xr:uid="{00000000-0005-0000-0000-000014C50000}"/>
    <cellStyle name="输入 2 7 2" xfId="50453" xr:uid="{00000000-0005-0000-0000-000015C50000}"/>
    <cellStyle name="输入 2 7 2 2" xfId="50454" xr:uid="{00000000-0005-0000-0000-000016C50000}"/>
    <cellStyle name="输入 2 7 2 2 2" xfId="50455" xr:uid="{00000000-0005-0000-0000-000017C50000}"/>
    <cellStyle name="输入 2 7 2 2 2 2" xfId="50456" xr:uid="{00000000-0005-0000-0000-000018C50000}"/>
    <cellStyle name="输入 2 7 2 3" xfId="50457" xr:uid="{00000000-0005-0000-0000-000019C50000}"/>
    <cellStyle name="输入 2 7 2 3 2" xfId="50458" xr:uid="{00000000-0005-0000-0000-00001AC50000}"/>
    <cellStyle name="输入 2 7 3" xfId="50459" xr:uid="{00000000-0005-0000-0000-00001BC50000}"/>
    <cellStyle name="输入 2 7 3 2" xfId="50460" xr:uid="{00000000-0005-0000-0000-00001CC50000}"/>
    <cellStyle name="输入 2 7 3 2 2" xfId="50461" xr:uid="{00000000-0005-0000-0000-00001DC50000}"/>
    <cellStyle name="输入 2 7 4" xfId="50462" xr:uid="{00000000-0005-0000-0000-00001EC50000}"/>
    <cellStyle name="输入 2 7 4 2" xfId="50463" xr:uid="{00000000-0005-0000-0000-00001FC50000}"/>
    <cellStyle name="输入 2 8" xfId="50464" xr:uid="{00000000-0005-0000-0000-000020C50000}"/>
    <cellStyle name="输入 2 8 2" xfId="50465" xr:uid="{00000000-0005-0000-0000-000021C50000}"/>
    <cellStyle name="输入 2 8 2 2" xfId="50466" xr:uid="{00000000-0005-0000-0000-000022C50000}"/>
    <cellStyle name="输入 2 8 2 2 2" xfId="50467" xr:uid="{00000000-0005-0000-0000-000023C50000}"/>
    <cellStyle name="输入 2 8 2 2 2 2" xfId="50468" xr:uid="{00000000-0005-0000-0000-000024C50000}"/>
    <cellStyle name="输入 2 8 2 3" xfId="50469" xr:uid="{00000000-0005-0000-0000-000025C50000}"/>
    <cellStyle name="输入 2 8 2 3 2" xfId="50470" xr:uid="{00000000-0005-0000-0000-000026C50000}"/>
    <cellStyle name="输入 2 8 3" xfId="50471" xr:uid="{00000000-0005-0000-0000-000027C50000}"/>
    <cellStyle name="输入 2 8 3 2" xfId="50472" xr:uid="{00000000-0005-0000-0000-000028C50000}"/>
    <cellStyle name="输入 2 8 3 2 2" xfId="50473" xr:uid="{00000000-0005-0000-0000-000029C50000}"/>
    <cellStyle name="输入 2 8 4" xfId="50474" xr:uid="{00000000-0005-0000-0000-00002AC50000}"/>
    <cellStyle name="输入 2 8 4 2" xfId="50475" xr:uid="{00000000-0005-0000-0000-00002BC50000}"/>
    <cellStyle name="输入 2 9" xfId="50476" xr:uid="{00000000-0005-0000-0000-00002CC50000}"/>
    <cellStyle name="输入 2 9 2" xfId="50477" xr:uid="{00000000-0005-0000-0000-00002DC50000}"/>
    <cellStyle name="输入 2 9 2 2" xfId="50478" xr:uid="{00000000-0005-0000-0000-00002EC50000}"/>
    <cellStyle name="输入 2 9 2 2 2" xfId="50479" xr:uid="{00000000-0005-0000-0000-00002FC50000}"/>
    <cellStyle name="输入 2 9 3" xfId="50480" xr:uid="{00000000-0005-0000-0000-000030C50000}"/>
    <cellStyle name="输入 2 9 3 2" xfId="50481" xr:uid="{00000000-0005-0000-0000-000031C50000}"/>
    <cellStyle name="输入 3" xfId="50482" xr:uid="{00000000-0005-0000-0000-000032C50000}"/>
    <cellStyle name="输入 3 2" xfId="50483" xr:uid="{00000000-0005-0000-0000-000033C50000}"/>
    <cellStyle name="输入 3 2 2" xfId="50484" xr:uid="{00000000-0005-0000-0000-000034C50000}"/>
    <cellStyle name="输入 3 2 2 2" xfId="50485" xr:uid="{00000000-0005-0000-0000-000035C50000}"/>
    <cellStyle name="输入 3 2 2 2 2" xfId="50486" xr:uid="{00000000-0005-0000-0000-000036C50000}"/>
    <cellStyle name="输入 3 2 2 2 3" xfId="50487" xr:uid="{00000000-0005-0000-0000-000037C50000}"/>
    <cellStyle name="输入 3 2 2 2 3 2" xfId="50488" xr:uid="{00000000-0005-0000-0000-000038C50000}"/>
    <cellStyle name="输入 3 2 2 2 3 2 2" xfId="50489" xr:uid="{00000000-0005-0000-0000-000039C50000}"/>
    <cellStyle name="输入 3 2 2 2 4" xfId="50490" xr:uid="{00000000-0005-0000-0000-00003AC50000}"/>
    <cellStyle name="输入 3 2 2 2 4 2" xfId="50491" xr:uid="{00000000-0005-0000-0000-00003BC50000}"/>
    <cellStyle name="输入 3 2 2 3" xfId="50492" xr:uid="{00000000-0005-0000-0000-00003CC50000}"/>
    <cellStyle name="输入 3 2 2 3 2" xfId="50493" xr:uid="{00000000-0005-0000-0000-00003DC50000}"/>
    <cellStyle name="输入 3 2 2 3 2 2" xfId="50494" xr:uid="{00000000-0005-0000-0000-00003EC50000}"/>
    <cellStyle name="输入 3 2 2 3 2 2 2" xfId="50495" xr:uid="{00000000-0005-0000-0000-00003FC50000}"/>
    <cellStyle name="输入 3 2 2 3 3" xfId="50496" xr:uid="{00000000-0005-0000-0000-000040C50000}"/>
    <cellStyle name="输入 3 2 2 3 3 2" xfId="50497" xr:uid="{00000000-0005-0000-0000-000041C50000}"/>
    <cellStyle name="输入 3 2 2 4" xfId="50498" xr:uid="{00000000-0005-0000-0000-000042C50000}"/>
    <cellStyle name="输入 3 2 2 5" xfId="50499" xr:uid="{00000000-0005-0000-0000-000043C50000}"/>
    <cellStyle name="输入 3 2 2 6" xfId="50500" xr:uid="{00000000-0005-0000-0000-000044C50000}"/>
    <cellStyle name="输入 3 2 3" xfId="50501" xr:uid="{00000000-0005-0000-0000-000045C50000}"/>
    <cellStyle name="输入 3 2 3 2" xfId="50502" xr:uid="{00000000-0005-0000-0000-000046C50000}"/>
    <cellStyle name="输入 3 2 3 3" xfId="50503" xr:uid="{00000000-0005-0000-0000-000047C50000}"/>
    <cellStyle name="输入 3 2 3 3 2" xfId="50504" xr:uid="{00000000-0005-0000-0000-000048C50000}"/>
    <cellStyle name="输入 3 2 3 3 2 2" xfId="50505" xr:uid="{00000000-0005-0000-0000-000049C50000}"/>
    <cellStyle name="输入 3 2 3 4" xfId="50506" xr:uid="{00000000-0005-0000-0000-00004AC50000}"/>
    <cellStyle name="输入 3 2 3 4 2" xfId="50507" xr:uid="{00000000-0005-0000-0000-00004BC50000}"/>
    <cellStyle name="输入 3 2 4" xfId="50508" xr:uid="{00000000-0005-0000-0000-00004CC50000}"/>
    <cellStyle name="输入 3 2 4 2" xfId="50509" xr:uid="{00000000-0005-0000-0000-00004DC50000}"/>
    <cellStyle name="输入 3 2 4 2 2" xfId="50510" xr:uid="{00000000-0005-0000-0000-00004EC50000}"/>
    <cellStyle name="输入 3 2 4 2 2 2" xfId="50511" xr:uid="{00000000-0005-0000-0000-00004FC50000}"/>
    <cellStyle name="输入 3 2 4 3" xfId="50512" xr:uid="{00000000-0005-0000-0000-000050C50000}"/>
    <cellStyle name="输入 3 2 4 3 2" xfId="50513" xr:uid="{00000000-0005-0000-0000-000051C50000}"/>
    <cellStyle name="输入 3 2 5" xfId="50514" xr:uid="{00000000-0005-0000-0000-000052C50000}"/>
    <cellStyle name="输入 3 2 6" xfId="50515" xr:uid="{00000000-0005-0000-0000-000053C50000}"/>
    <cellStyle name="输入 3 2 7" xfId="50516" xr:uid="{00000000-0005-0000-0000-000054C50000}"/>
    <cellStyle name="输入 3 3" xfId="50517" xr:uid="{00000000-0005-0000-0000-000055C50000}"/>
    <cellStyle name="输入 3 3 2" xfId="50518" xr:uid="{00000000-0005-0000-0000-000056C50000}"/>
    <cellStyle name="输入 3 3 2 2" xfId="50519" xr:uid="{00000000-0005-0000-0000-000057C50000}"/>
    <cellStyle name="输入 3 3 2 3" xfId="50520" xr:uid="{00000000-0005-0000-0000-000058C50000}"/>
    <cellStyle name="输入 3 3 2 3 2" xfId="50521" xr:uid="{00000000-0005-0000-0000-000059C50000}"/>
    <cellStyle name="输入 3 3 2 3 2 2" xfId="50522" xr:uid="{00000000-0005-0000-0000-00005AC50000}"/>
    <cellStyle name="输入 3 3 2 4" xfId="50523" xr:uid="{00000000-0005-0000-0000-00005BC50000}"/>
    <cellStyle name="输入 3 3 2 4 2" xfId="50524" xr:uid="{00000000-0005-0000-0000-00005CC50000}"/>
    <cellStyle name="输入 3 3 3" xfId="50525" xr:uid="{00000000-0005-0000-0000-00005DC50000}"/>
    <cellStyle name="输入 3 3 3 2" xfId="50526" xr:uid="{00000000-0005-0000-0000-00005EC50000}"/>
    <cellStyle name="输入 3 3 3 2 2" xfId="50527" xr:uid="{00000000-0005-0000-0000-00005FC50000}"/>
    <cellStyle name="输入 3 3 3 2 2 2" xfId="50528" xr:uid="{00000000-0005-0000-0000-000060C50000}"/>
    <cellStyle name="输入 3 3 3 3" xfId="50529" xr:uid="{00000000-0005-0000-0000-000061C50000}"/>
    <cellStyle name="输入 3 3 3 3 2" xfId="50530" xr:uid="{00000000-0005-0000-0000-000062C50000}"/>
    <cellStyle name="输入 3 3 4" xfId="50531" xr:uid="{00000000-0005-0000-0000-000063C50000}"/>
    <cellStyle name="输入 3 3 5" xfId="50532" xr:uid="{00000000-0005-0000-0000-000064C50000}"/>
    <cellStyle name="输入 3 3 6" xfId="50533" xr:uid="{00000000-0005-0000-0000-000065C50000}"/>
    <cellStyle name="输入 3 4" xfId="50534" xr:uid="{00000000-0005-0000-0000-000066C50000}"/>
    <cellStyle name="输入 3 4 2" xfId="50535" xr:uid="{00000000-0005-0000-0000-000067C50000}"/>
    <cellStyle name="输入 3 4 2 2" xfId="50536" xr:uid="{00000000-0005-0000-0000-000068C50000}"/>
    <cellStyle name="输入 3 4 2 3" xfId="50537" xr:uid="{00000000-0005-0000-0000-000069C50000}"/>
    <cellStyle name="输入 3 4 2 3 2" xfId="50538" xr:uid="{00000000-0005-0000-0000-00006AC50000}"/>
    <cellStyle name="输入 3 4 2 3 2 2" xfId="50539" xr:uid="{00000000-0005-0000-0000-00006BC50000}"/>
    <cellStyle name="输入 3 4 2 4" xfId="50540" xr:uid="{00000000-0005-0000-0000-00006CC50000}"/>
    <cellStyle name="输入 3 4 2 4 2" xfId="50541" xr:uid="{00000000-0005-0000-0000-00006DC50000}"/>
    <cellStyle name="输入 3 4 3" xfId="50542" xr:uid="{00000000-0005-0000-0000-00006EC50000}"/>
    <cellStyle name="输入 3 4 4" xfId="50543" xr:uid="{00000000-0005-0000-0000-00006FC50000}"/>
    <cellStyle name="输入 3 4 5" xfId="50544" xr:uid="{00000000-0005-0000-0000-000070C50000}"/>
    <cellStyle name="输入 3 4 6" xfId="50545" xr:uid="{00000000-0005-0000-0000-000071C50000}"/>
    <cellStyle name="输入 3 5" xfId="50546" xr:uid="{00000000-0005-0000-0000-000072C50000}"/>
    <cellStyle name="输入 3 5 2" xfId="50547" xr:uid="{00000000-0005-0000-0000-000073C50000}"/>
    <cellStyle name="输入 3 5 2 2" xfId="50548" xr:uid="{00000000-0005-0000-0000-000074C50000}"/>
    <cellStyle name="输入 3 5 2 2 2" xfId="50549" xr:uid="{00000000-0005-0000-0000-000075C50000}"/>
    <cellStyle name="输入 3 5 2 2 2 2" xfId="50550" xr:uid="{00000000-0005-0000-0000-000076C50000}"/>
    <cellStyle name="输入 3 5 2 3" xfId="50551" xr:uid="{00000000-0005-0000-0000-000077C50000}"/>
    <cellStyle name="输入 3 5 2 3 2" xfId="50552" xr:uid="{00000000-0005-0000-0000-000078C50000}"/>
    <cellStyle name="输入 3 5 3" xfId="50553" xr:uid="{00000000-0005-0000-0000-000079C50000}"/>
    <cellStyle name="输入 3 5 3 2" xfId="50554" xr:uid="{00000000-0005-0000-0000-00007AC50000}"/>
    <cellStyle name="输入 3 5 3 2 2" xfId="50555" xr:uid="{00000000-0005-0000-0000-00007BC50000}"/>
    <cellStyle name="输入 3 5 4" xfId="50556" xr:uid="{00000000-0005-0000-0000-00007CC50000}"/>
    <cellStyle name="输入 3 5 4 2" xfId="50557" xr:uid="{00000000-0005-0000-0000-00007DC50000}"/>
    <cellStyle name="输入 3 6" xfId="50558" xr:uid="{00000000-0005-0000-0000-00007EC50000}"/>
    <cellStyle name="输入 3 6 2" xfId="50559" xr:uid="{00000000-0005-0000-0000-00007FC50000}"/>
    <cellStyle name="输入 3 6 2 2" xfId="50560" xr:uid="{00000000-0005-0000-0000-000080C50000}"/>
    <cellStyle name="输入 3 6 2 2 2" xfId="50561" xr:uid="{00000000-0005-0000-0000-000081C50000}"/>
    <cellStyle name="输入 3 6 3" xfId="50562" xr:uid="{00000000-0005-0000-0000-000082C50000}"/>
    <cellStyle name="输入 3 6 3 2" xfId="50563" xr:uid="{00000000-0005-0000-0000-000083C50000}"/>
    <cellStyle name="输入 3 7" xfId="50564" xr:uid="{00000000-0005-0000-0000-000084C50000}"/>
    <cellStyle name="输入 3 8" xfId="50565" xr:uid="{00000000-0005-0000-0000-000085C50000}"/>
    <cellStyle name="输出 2" xfId="50566" xr:uid="{00000000-0005-0000-0000-000086C50000}"/>
    <cellStyle name="输出 2 10" xfId="50567" xr:uid="{00000000-0005-0000-0000-000087C50000}"/>
    <cellStyle name="输出 2 11" xfId="50568" xr:uid="{00000000-0005-0000-0000-000088C50000}"/>
    <cellStyle name="输出 2 2" xfId="50569" xr:uid="{00000000-0005-0000-0000-000089C50000}"/>
    <cellStyle name="输出 2 2 10" xfId="50570" xr:uid="{00000000-0005-0000-0000-00008AC50000}"/>
    <cellStyle name="输出 2 2 11" xfId="50571" xr:uid="{00000000-0005-0000-0000-00008BC50000}"/>
    <cellStyle name="输出 2 2 2" xfId="50572" xr:uid="{00000000-0005-0000-0000-00008CC50000}"/>
    <cellStyle name="输出 2 2 2 2" xfId="50573" xr:uid="{00000000-0005-0000-0000-00008DC50000}"/>
    <cellStyle name="输出 2 2 2 2 2" xfId="50574" xr:uid="{00000000-0005-0000-0000-00008EC50000}"/>
    <cellStyle name="输出 2 2 2 2 2 2" xfId="50575" xr:uid="{00000000-0005-0000-0000-00008FC50000}"/>
    <cellStyle name="输出 2 2 2 2 2 3" xfId="50576" xr:uid="{00000000-0005-0000-0000-000090C50000}"/>
    <cellStyle name="输出 2 2 2 2 2 3 2" xfId="50577" xr:uid="{00000000-0005-0000-0000-000091C50000}"/>
    <cellStyle name="输出 2 2 2 2 2 3 2 2" xfId="50578" xr:uid="{00000000-0005-0000-0000-000092C50000}"/>
    <cellStyle name="输出 2 2 2 2 2 4" xfId="50579" xr:uid="{00000000-0005-0000-0000-000093C50000}"/>
    <cellStyle name="输出 2 2 2 2 2 4 2" xfId="50580" xr:uid="{00000000-0005-0000-0000-000094C50000}"/>
    <cellStyle name="输出 2 2 2 2 3" xfId="50581" xr:uid="{00000000-0005-0000-0000-000095C50000}"/>
    <cellStyle name="输出 2 2 2 2 3 2" xfId="50582" xr:uid="{00000000-0005-0000-0000-000096C50000}"/>
    <cellStyle name="输出 2 2 2 2 3 2 2" xfId="50583" xr:uid="{00000000-0005-0000-0000-000097C50000}"/>
    <cellStyle name="输出 2 2 2 2 3 2 2 2" xfId="50584" xr:uid="{00000000-0005-0000-0000-000098C50000}"/>
    <cellStyle name="输出 2 2 2 2 3 3" xfId="50585" xr:uid="{00000000-0005-0000-0000-000099C50000}"/>
    <cellStyle name="输出 2 2 2 2 3 3 2" xfId="50586" xr:uid="{00000000-0005-0000-0000-00009AC50000}"/>
    <cellStyle name="输出 2 2 2 2 4" xfId="50587" xr:uid="{00000000-0005-0000-0000-00009BC50000}"/>
    <cellStyle name="输出 2 2 2 2 5" xfId="50588" xr:uid="{00000000-0005-0000-0000-00009CC50000}"/>
    <cellStyle name="输出 2 2 2 2 6" xfId="50589" xr:uid="{00000000-0005-0000-0000-00009DC50000}"/>
    <cellStyle name="输出 2 2 2 3" xfId="50590" xr:uid="{00000000-0005-0000-0000-00009EC50000}"/>
    <cellStyle name="输出 2 2 2 3 2" xfId="50591" xr:uid="{00000000-0005-0000-0000-00009FC50000}"/>
    <cellStyle name="输出 2 2 2 3 3" xfId="50592" xr:uid="{00000000-0005-0000-0000-0000A0C50000}"/>
    <cellStyle name="输出 2 2 2 3 3 2" xfId="50593" xr:uid="{00000000-0005-0000-0000-0000A1C50000}"/>
    <cellStyle name="输出 2 2 2 3 3 2 2" xfId="50594" xr:uid="{00000000-0005-0000-0000-0000A2C50000}"/>
    <cellStyle name="输出 2 2 2 3 4" xfId="50595" xr:uid="{00000000-0005-0000-0000-0000A3C50000}"/>
    <cellStyle name="输出 2 2 2 3 4 2" xfId="50596" xr:uid="{00000000-0005-0000-0000-0000A4C50000}"/>
    <cellStyle name="输出 2 2 2 4" xfId="50597" xr:uid="{00000000-0005-0000-0000-0000A5C50000}"/>
    <cellStyle name="输出 2 2 2 4 2" xfId="50598" xr:uid="{00000000-0005-0000-0000-0000A6C50000}"/>
    <cellStyle name="输出 2 2 2 4 2 2" xfId="50599" xr:uid="{00000000-0005-0000-0000-0000A7C50000}"/>
    <cellStyle name="输出 2 2 2 4 2 2 2" xfId="50600" xr:uid="{00000000-0005-0000-0000-0000A8C50000}"/>
    <cellStyle name="输出 2 2 2 4 3" xfId="50601" xr:uid="{00000000-0005-0000-0000-0000A9C50000}"/>
    <cellStyle name="输出 2 2 2 4 3 2" xfId="50602" xr:uid="{00000000-0005-0000-0000-0000AAC50000}"/>
    <cellStyle name="输出 2 2 2 5" xfId="50603" xr:uid="{00000000-0005-0000-0000-0000ABC50000}"/>
    <cellStyle name="输出 2 2 2 6" xfId="50604" xr:uid="{00000000-0005-0000-0000-0000ACC50000}"/>
    <cellStyle name="输出 2 2 2 7" xfId="50605" xr:uid="{00000000-0005-0000-0000-0000ADC50000}"/>
    <cellStyle name="输出 2 2 3" xfId="50606" xr:uid="{00000000-0005-0000-0000-0000AEC50000}"/>
    <cellStyle name="输出 2 2 3 2" xfId="50607" xr:uid="{00000000-0005-0000-0000-0000AFC50000}"/>
    <cellStyle name="输出 2 2 3 2 2" xfId="50608" xr:uid="{00000000-0005-0000-0000-0000B0C50000}"/>
    <cellStyle name="输出 2 2 3 2 3" xfId="50609" xr:uid="{00000000-0005-0000-0000-0000B1C50000}"/>
    <cellStyle name="输出 2 2 3 2 3 2" xfId="50610" xr:uid="{00000000-0005-0000-0000-0000B2C50000}"/>
    <cellStyle name="输出 2 2 3 2 3 2 2" xfId="50611" xr:uid="{00000000-0005-0000-0000-0000B3C50000}"/>
    <cellStyle name="输出 2 2 3 2 4" xfId="50612" xr:uid="{00000000-0005-0000-0000-0000B4C50000}"/>
    <cellStyle name="输出 2 2 3 2 4 2" xfId="50613" xr:uid="{00000000-0005-0000-0000-0000B5C50000}"/>
    <cellStyle name="输出 2 2 3 3" xfId="50614" xr:uid="{00000000-0005-0000-0000-0000B6C50000}"/>
    <cellStyle name="输出 2 2 3 3 2" xfId="50615" xr:uid="{00000000-0005-0000-0000-0000B7C50000}"/>
    <cellStyle name="输出 2 2 3 3 2 2" xfId="50616" xr:uid="{00000000-0005-0000-0000-0000B8C50000}"/>
    <cellStyle name="输出 2 2 3 3 2 2 2" xfId="50617" xr:uid="{00000000-0005-0000-0000-0000B9C50000}"/>
    <cellStyle name="输出 2 2 3 3 3" xfId="50618" xr:uid="{00000000-0005-0000-0000-0000BAC50000}"/>
    <cellStyle name="输出 2 2 3 3 3 2" xfId="50619" xr:uid="{00000000-0005-0000-0000-0000BBC50000}"/>
    <cellStyle name="输出 2 2 3 4" xfId="50620" xr:uid="{00000000-0005-0000-0000-0000BCC50000}"/>
    <cellStyle name="输出 2 2 3 5" xfId="50621" xr:uid="{00000000-0005-0000-0000-0000BDC50000}"/>
    <cellStyle name="输出 2 2 3 6" xfId="50622" xr:uid="{00000000-0005-0000-0000-0000BEC50000}"/>
    <cellStyle name="输出 2 2 4" xfId="50623" xr:uid="{00000000-0005-0000-0000-0000BFC50000}"/>
    <cellStyle name="输出 2 2 4 2" xfId="50624" xr:uid="{00000000-0005-0000-0000-0000C0C50000}"/>
    <cellStyle name="输出 2 2 4 2 2" xfId="50625" xr:uid="{00000000-0005-0000-0000-0000C1C50000}"/>
    <cellStyle name="输出 2 2 4 2 3" xfId="50626" xr:uid="{00000000-0005-0000-0000-0000C2C50000}"/>
    <cellStyle name="输出 2 2 4 2 3 2" xfId="50627" xr:uid="{00000000-0005-0000-0000-0000C3C50000}"/>
    <cellStyle name="输出 2 2 4 2 3 2 2" xfId="50628" xr:uid="{00000000-0005-0000-0000-0000C4C50000}"/>
    <cellStyle name="输出 2 2 4 2 4" xfId="50629" xr:uid="{00000000-0005-0000-0000-0000C5C50000}"/>
    <cellStyle name="输出 2 2 4 2 4 2" xfId="50630" xr:uid="{00000000-0005-0000-0000-0000C6C50000}"/>
    <cellStyle name="输出 2 2 4 3" xfId="50631" xr:uid="{00000000-0005-0000-0000-0000C7C50000}"/>
    <cellStyle name="输出 2 2 4 4" xfId="50632" xr:uid="{00000000-0005-0000-0000-0000C8C50000}"/>
    <cellStyle name="输出 2 2 4 5" xfId="50633" xr:uid="{00000000-0005-0000-0000-0000C9C50000}"/>
    <cellStyle name="输出 2 2 4 6" xfId="50634" xr:uid="{00000000-0005-0000-0000-0000CAC50000}"/>
    <cellStyle name="输出 2 2 5" xfId="50635" xr:uid="{00000000-0005-0000-0000-0000CBC50000}"/>
    <cellStyle name="输出 2 2 5 2" xfId="50636" xr:uid="{00000000-0005-0000-0000-0000CCC50000}"/>
    <cellStyle name="输出 2 2 5 2 2" xfId="50637" xr:uid="{00000000-0005-0000-0000-0000CDC50000}"/>
    <cellStyle name="输出 2 2 5 2 2 2" xfId="50638" xr:uid="{00000000-0005-0000-0000-0000CEC50000}"/>
    <cellStyle name="输出 2 2 5 2 2 2 2" xfId="50639" xr:uid="{00000000-0005-0000-0000-0000CFC50000}"/>
    <cellStyle name="输出 2 2 5 2 3" xfId="50640" xr:uid="{00000000-0005-0000-0000-0000D0C50000}"/>
    <cellStyle name="输出 2 2 5 2 3 2" xfId="50641" xr:uid="{00000000-0005-0000-0000-0000D1C50000}"/>
    <cellStyle name="输出 2 2 5 3" xfId="50642" xr:uid="{00000000-0005-0000-0000-0000D2C50000}"/>
    <cellStyle name="输出 2 2 5 3 2" xfId="50643" xr:uid="{00000000-0005-0000-0000-0000D3C50000}"/>
    <cellStyle name="输出 2 2 5 3 2 2" xfId="50644" xr:uid="{00000000-0005-0000-0000-0000D4C50000}"/>
    <cellStyle name="输出 2 2 5 4" xfId="50645" xr:uid="{00000000-0005-0000-0000-0000D5C50000}"/>
    <cellStyle name="输出 2 2 5 4 2" xfId="50646" xr:uid="{00000000-0005-0000-0000-0000D6C50000}"/>
    <cellStyle name="输出 2 2 6" xfId="50647" xr:uid="{00000000-0005-0000-0000-0000D7C50000}"/>
    <cellStyle name="输出 2 2 6 2" xfId="50648" xr:uid="{00000000-0005-0000-0000-0000D8C50000}"/>
    <cellStyle name="输出 2 2 6 2 2" xfId="50649" xr:uid="{00000000-0005-0000-0000-0000D9C50000}"/>
    <cellStyle name="输出 2 2 6 2 2 2" xfId="50650" xr:uid="{00000000-0005-0000-0000-0000DAC50000}"/>
    <cellStyle name="输出 2 2 6 2 2 2 2" xfId="50651" xr:uid="{00000000-0005-0000-0000-0000DBC50000}"/>
    <cellStyle name="输出 2 2 6 2 3" xfId="50652" xr:uid="{00000000-0005-0000-0000-0000DCC50000}"/>
    <cellStyle name="输出 2 2 6 2 3 2" xfId="50653" xr:uid="{00000000-0005-0000-0000-0000DDC50000}"/>
    <cellStyle name="输出 2 2 6 3" xfId="50654" xr:uid="{00000000-0005-0000-0000-0000DEC50000}"/>
    <cellStyle name="输出 2 2 6 3 2" xfId="50655" xr:uid="{00000000-0005-0000-0000-0000DFC50000}"/>
    <cellStyle name="输出 2 2 6 3 2 2" xfId="50656" xr:uid="{00000000-0005-0000-0000-0000E0C50000}"/>
    <cellStyle name="输出 2 2 6 4" xfId="50657" xr:uid="{00000000-0005-0000-0000-0000E1C50000}"/>
    <cellStyle name="输出 2 2 6 4 2" xfId="50658" xr:uid="{00000000-0005-0000-0000-0000E2C50000}"/>
    <cellStyle name="输出 2 2 7" xfId="50659" xr:uid="{00000000-0005-0000-0000-0000E3C50000}"/>
    <cellStyle name="输出 2 2 7 2" xfId="50660" xr:uid="{00000000-0005-0000-0000-0000E4C50000}"/>
    <cellStyle name="输出 2 2 7 2 2" xfId="50661" xr:uid="{00000000-0005-0000-0000-0000E5C50000}"/>
    <cellStyle name="输出 2 2 7 2 2 2" xfId="50662" xr:uid="{00000000-0005-0000-0000-0000E6C50000}"/>
    <cellStyle name="输出 2 2 7 2 2 2 2" xfId="50663" xr:uid="{00000000-0005-0000-0000-0000E7C50000}"/>
    <cellStyle name="输出 2 2 7 2 3" xfId="50664" xr:uid="{00000000-0005-0000-0000-0000E8C50000}"/>
    <cellStyle name="输出 2 2 7 2 3 2" xfId="50665" xr:uid="{00000000-0005-0000-0000-0000E9C50000}"/>
    <cellStyle name="输出 2 2 7 3" xfId="50666" xr:uid="{00000000-0005-0000-0000-0000EAC50000}"/>
    <cellStyle name="输出 2 2 7 3 2" xfId="50667" xr:uid="{00000000-0005-0000-0000-0000EBC50000}"/>
    <cellStyle name="输出 2 2 7 3 2 2" xfId="50668" xr:uid="{00000000-0005-0000-0000-0000ECC50000}"/>
    <cellStyle name="输出 2 2 7 4" xfId="50669" xr:uid="{00000000-0005-0000-0000-0000EDC50000}"/>
    <cellStyle name="输出 2 2 7 4 2" xfId="50670" xr:uid="{00000000-0005-0000-0000-0000EEC50000}"/>
    <cellStyle name="输出 2 2 8" xfId="50671" xr:uid="{00000000-0005-0000-0000-0000EFC50000}"/>
    <cellStyle name="输出 2 2 8 2" xfId="50672" xr:uid="{00000000-0005-0000-0000-0000F0C50000}"/>
    <cellStyle name="输出 2 2 8 2 2" xfId="50673" xr:uid="{00000000-0005-0000-0000-0000F1C50000}"/>
    <cellStyle name="输出 2 2 8 2 2 2" xfId="50674" xr:uid="{00000000-0005-0000-0000-0000F2C50000}"/>
    <cellStyle name="输出 2 2 8 3" xfId="50675" xr:uid="{00000000-0005-0000-0000-0000F3C50000}"/>
    <cellStyle name="输出 2 2 8 3 2" xfId="50676" xr:uid="{00000000-0005-0000-0000-0000F4C50000}"/>
    <cellStyle name="输出 2 2 9" xfId="50677" xr:uid="{00000000-0005-0000-0000-0000F5C50000}"/>
    <cellStyle name="输出 2 2 9 2" xfId="50678" xr:uid="{00000000-0005-0000-0000-0000F6C50000}"/>
    <cellStyle name="输出 2 2 9 2 2" xfId="50679" xr:uid="{00000000-0005-0000-0000-0000F7C50000}"/>
    <cellStyle name="输出 2 2 9 2 2 2" xfId="50680" xr:uid="{00000000-0005-0000-0000-0000F8C50000}"/>
    <cellStyle name="输出 2 2 9 3" xfId="50681" xr:uid="{00000000-0005-0000-0000-0000F9C50000}"/>
    <cellStyle name="输出 2 2 9 3 2" xfId="50682" xr:uid="{00000000-0005-0000-0000-0000FAC50000}"/>
    <cellStyle name="输出 2 3" xfId="50683" xr:uid="{00000000-0005-0000-0000-0000FBC50000}"/>
    <cellStyle name="输出 2 3 2" xfId="50684" xr:uid="{00000000-0005-0000-0000-0000FCC50000}"/>
    <cellStyle name="输出 2 3 2 2" xfId="50685" xr:uid="{00000000-0005-0000-0000-0000FDC50000}"/>
    <cellStyle name="输出 2 3 2 2 2" xfId="50686" xr:uid="{00000000-0005-0000-0000-0000FEC50000}"/>
    <cellStyle name="输出 2 3 2 2 2 2" xfId="50687" xr:uid="{00000000-0005-0000-0000-0000FFC50000}"/>
    <cellStyle name="输出 2 3 2 2 2 3" xfId="50688" xr:uid="{00000000-0005-0000-0000-000000C60000}"/>
    <cellStyle name="输出 2 3 2 2 2 3 2" xfId="50689" xr:uid="{00000000-0005-0000-0000-000001C60000}"/>
    <cellStyle name="输出 2 3 2 2 2 3 2 2" xfId="50690" xr:uid="{00000000-0005-0000-0000-000002C60000}"/>
    <cellStyle name="输出 2 3 2 2 2 4" xfId="50691" xr:uid="{00000000-0005-0000-0000-000003C60000}"/>
    <cellStyle name="输出 2 3 2 2 2 4 2" xfId="50692" xr:uid="{00000000-0005-0000-0000-000004C60000}"/>
    <cellStyle name="输出 2 3 2 2 3" xfId="50693" xr:uid="{00000000-0005-0000-0000-000005C60000}"/>
    <cellStyle name="输出 2 3 2 2 3 2" xfId="50694" xr:uid="{00000000-0005-0000-0000-000006C60000}"/>
    <cellStyle name="输出 2 3 2 2 3 2 2" xfId="50695" xr:uid="{00000000-0005-0000-0000-000007C60000}"/>
    <cellStyle name="输出 2 3 2 2 3 2 2 2" xfId="50696" xr:uid="{00000000-0005-0000-0000-000008C60000}"/>
    <cellStyle name="输出 2 3 2 2 3 3" xfId="50697" xr:uid="{00000000-0005-0000-0000-000009C60000}"/>
    <cellStyle name="输出 2 3 2 2 3 3 2" xfId="50698" xr:uid="{00000000-0005-0000-0000-00000AC60000}"/>
    <cellStyle name="输出 2 3 2 2 4" xfId="50699" xr:uid="{00000000-0005-0000-0000-00000BC60000}"/>
    <cellStyle name="输出 2 3 2 2 5" xfId="50700" xr:uid="{00000000-0005-0000-0000-00000CC60000}"/>
    <cellStyle name="输出 2 3 2 2 6" xfId="50701" xr:uid="{00000000-0005-0000-0000-00000DC60000}"/>
    <cellStyle name="输出 2 3 2 3" xfId="50702" xr:uid="{00000000-0005-0000-0000-00000EC60000}"/>
    <cellStyle name="输出 2 3 2 3 2" xfId="50703" xr:uid="{00000000-0005-0000-0000-00000FC60000}"/>
    <cellStyle name="输出 2 3 2 3 3" xfId="50704" xr:uid="{00000000-0005-0000-0000-000010C60000}"/>
    <cellStyle name="输出 2 3 2 3 3 2" xfId="50705" xr:uid="{00000000-0005-0000-0000-000011C60000}"/>
    <cellStyle name="输出 2 3 2 3 3 2 2" xfId="50706" xr:uid="{00000000-0005-0000-0000-000012C60000}"/>
    <cellStyle name="输出 2 3 2 3 4" xfId="50707" xr:uid="{00000000-0005-0000-0000-000013C60000}"/>
    <cellStyle name="输出 2 3 2 3 4 2" xfId="50708" xr:uid="{00000000-0005-0000-0000-000014C60000}"/>
    <cellStyle name="输出 2 3 2 4" xfId="50709" xr:uid="{00000000-0005-0000-0000-000015C60000}"/>
    <cellStyle name="输出 2 3 2 4 2" xfId="50710" xr:uid="{00000000-0005-0000-0000-000016C60000}"/>
    <cellStyle name="输出 2 3 2 4 2 2" xfId="50711" xr:uid="{00000000-0005-0000-0000-000017C60000}"/>
    <cellStyle name="输出 2 3 2 4 2 2 2" xfId="50712" xr:uid="{00000000-0005-0000-0000-000018C60000}"/>
    <cellStyle name="输出 2 3 2 4 3" xfId="50713" xr:uid="{00000000-0005-0000-0000-000019C60000}"/>
    <cellStyle name="输出 2 3 2 4 3 2" xfId="50714" xr:uid="{00000000-0005-0000-0000-00001AC60000}"/>
    <cellStyle name="输出 2 3 2 5" xfId="50715" xr:uid="{00000000-0005-0000-0000-00001BC60000}"/>
    <cellStyle name="输出 2 3 2 6" xfId="50716" xr:uid="{00000000-0005-0000-0000-00001CC60000}"/>
    <cellStyle name="输出 2 3 2 7" xfId="50717" xr:uid="{00000000-0005-0000-0000-00001DC60000}"/>
    <cellStyle name="输出 2 3 3" xfId="50718" xr:uid="{00000000-0005-0000-0000-00001EC60000}"/>
    <cellStyle name="输出 2 3 3 2" xfId="50719" xr:uid="{00000000-0005-0000-0000-00001FC60000}"/>
    <cellStyle name="输出 2 3 3 2 2" xfId="50720" xr:uid="{00000000-0005-0000-0000-000020C60000}"/>
    <cellStyle name="输出 2 3 3 2 3" xfId="50721" xr:uid="{00000000-0005-0000-0000-000021C60000}"/>
    <cellStyle name="输出 2 3 3 2 3 2" xfId="50722" xr:uid="{00000000-0005-0000-0000-000022C60000}"/>
    <cellStyle name="输出 2 3 3 2 3 2 2" xfId="50723" xr:uid="{00000000-0005-0000-0000-000023C60000}"/>
    <cellStyle name="输出 2 3 3 2 4" xfId="50724" xr:uid="{00000000-0005-0000-0000-000024C60000}"/>
    <cellStyle name="输出 2 3 3 2 4 2" xfId="50725" xr:uid="{00000000-0005-0000-0000-000025C60000}"/>
    <cellStyle name="输出 2 3 3 3" xfId="50726" xr:uid="{00000000-0005-0000-0000-000026C60000}"/>
    <cellStyle name="输出 2 3 3 3 2" xfId="50727" xr:uid="{00000000-0005-0000-0000-000027C60000}"/>
    <cellStyle name="输出 2 3 3 3 2 2" xfId="50728" xr:uid="{00000000-0005-0000-0000-000028C60000}"/>
    <cellStyle name="输出 2 3 3 3 2 2 2" xfId="50729" xr:uid="{00000000-0005-0000-0000-000029C60000}"/>
    <cellStyle name="输出 2 3 3 3 3" xfId="50730" xr:uid="{00000000-0005-0000-0000-00002AC60000}"/>
    <cellStyle name="输出 2 3 3 3 3 2" xfId="50731" xr:uid="{00000000-0005-0000-0000-00002BC60000}"/>
    <cellStyle name="输出 2 3 3 4" xfId="50732" xr:uid="{00000000-0005-0000-0000-00002CC60000}"/>
    <cellStyle name="输出 2 3 3 5" xfId="50733" xr:uid="{00000000-0005-0000-0000-00002DC60000}"/>
    <cellStyle name="输出 2 3 3 6" xfId="50734" xr:uid="{00000000-0005-0000-0000-00002EC60000}"/>
    <cellStyle name="输出 2 3 4" xfId="50735" xr:uid="{00000000-0005-0000-0000-00002FC60000}"/>
    <cellStyle name="输出 2 3 4 2" xfId="50736" xr:uid="{00000000-0005-0000-0000-000030C60000}"/>
    <cellStyle name="输出 2 3 4 2 2" xfId="50737" xr:uid="{00000000-0005-0000-0000-000031C60000}"/>
    <cellStyle name="输出 2 3 4 2 3" xfId="50738" xr:uid="{00000000-0005-0000-0000-000032C60000}"/>
    <cellStyle name="输出 2 3 4 2 3 2" xfId="50739" xr:uid="{00000000-0005-0000-0000-000033C60000}"/>
    <cellStyle name="输出 2 3 4 2 3 2 2" xfId="50740" xr:uid="{00000000-0005-0000-0000-000034C60000}"/>
    <cellStyle name="输出 2 3 4 2 4" xfId="50741" xr:uid="{00000000-0005-0000-0000-000035C60000}"/>
    <cellStyle name="输出 2 3 4 2 4 2" xfId="50742" xr:uid="{00000000-0005-0000-0000-000036C60000}"/>
    <cellStyle name="输出 2 3 4 3" xfId="50743" xr:uid="{00000000-0005-0000-0000-000037C60000}"/>
    <cellStyle name="输出 2 3 4 4" xfId="50744" xr:uid="{00000000-0005-0000-0000-000038C60000}"/>
    <cellStyle name="输出 2 3 4 5" xfId="50745" xr:uid="{00000000-0005-0000-0000-000039C60000}"/>
    <cellStyle name="输出 2 3 4 6" xfId="50746" xr:uid="{00000000-0005-0000-0000-00003AC60000}"/>
    <cellStyle name="输出 2 3 5" xfId="50747" xr:uid="{00000000-0005-0000-0000-00003BC60000}"/>
    <cellStyle name="输出 2 3 5 2" xfId="50748" xr:uid="{00000000-0005-0000-0000-00003CC60000}"/>
    <cellStyle name="输出 2 3 5 2 2" xfId="50749" xr:uid="{00000000-0005-0000-0000-00003DC60000}"/>
    <cellStyle name="输出 2 3 5 2 2 2" xfId="50750" xr:uid="{00000000-0005-0000-0000-00003EC60000}"/>
    <cellStyle name="输出 2 3 5 2 2 2 2" xfId="50751" xr:uid="{00000000-0005-0000-0000-00003FC60000}"/>
    <cellStyle name="输出 2 3 5 2 3" xfId="50752" xr:uid="{00000000-0005-0000-0000-000040C60000}"/>
    <cellStyle name="输出 2 3 5 2 3 2" xfId="50753" xr:uid="{00000000-0005-0000-0000-000041C60000}"/>
    <cellStyle name="输出 2 3 5 3" xfId="50754" xr:uid="{00000000-0005-0000-0000-000042C60000}"/>
    <cellStyle name="输出 2 3 5 3 2" xfId="50755" xr:uid="{00000000-0005-0000-0000-000043C60000}"/>
    <cellStyle name="输出 2 3 5 3 2 2" xfId="50756" xr:uid="{00000000-0005-0000-0000-000044C60000}"/>
    <cellStyle name="输出 2 3 5 4" xfId="50757" xr:uid="{00000000-0005-0000-0000-000045C60000}"/>
    <cellStyle name="输出 2 3 5 4 2" xfId="50758" xr:uid="{00000000-0005-0000-0000-000046C60000}"/>
    <cellStyle name="输出 2 3 6" xfId="50759" xr:uid="{00000000-0005-0000-0000-000047C60000}"/>
    <cellStyle name="输出 2 3 6 2" xfId="50760" xr:uid="{00000000-0005-0000-0000-000048C60000}"/>
    <cellStyle name="输出 2 3 6 2 2" xfId="50761" xr:uid="{00000000-0005-0000-0000-000049C60000}"/>
    <cellStyle name="输出 2 3 6 2 2 2" xfId="50762" xr:uid="{00000000-0005-0000-0000-00004AC60000}"/>
    <cellStyle name="输出 2 3 6 3" xfId="50763" xr:uid="{00000000-0005-0000-0000-00004BC60000}"/>
    <cellStyle name="输出 2 3 6 3 2" xfId="50764" xr:uid="{00000000-0005-0000-0000-00004CC60000}"/>
    <cellStyle name="输出 2 3 7" xfId="50765" xr:uid="{00000000-0005-0000-0000-00004DC60000}"/>
    <cellStyle name="输出 2 3 7 2" xfId="50766" xr:uid="{00000000-0005-0000-0000-00004EC60000}"/>
    <cellStyle name="输出 2 3 7 2 2" xfId="50767" xr:uid="{00000000-0005-0000-0000-00004FC60000}"/>
    <cellStyle name="输出 2 3 7 2 2 2" xfId="50768" xr:uid="{00000000-0005-0000-0000-000050C60000}"/>
    <cellStyle name="输出 2 3 7 3" xfId="50769" xr:uid="{00000000-0005-0000-0000-000051C60000}"/>
    <cellStyle name="输出 2 3 7 3 2" xfId="50770" xr:uid="{00000000-0005-0000-0000-000052C60000}"/>
    <cellStyle name="输出 2 3 8" xfId="50771" xr:uid="{00000000-0005-0000-0000-000053C60000}"/>
    <cellStyle name="输出 2 3 9" xfId="50772" xr:uid="{00000000-0005-0000-0000-000054C60000}"/>
    <cellStyle name="输出 2 4" xfId="50773" xr:uid="{00000000-0005-0000-0000-000055C60000}"/>
    <cellStyle name="输出 2 4 2" xfId="50774" xr:uid="{00000000-0005-0000-0000-000056C60000}"/>
    <cellStyle name="输出 2 4 2 2" xfId="50775" xr:uid="{00000000-0005-0000-0000-000057C60000}"/>
    <cellStyle name="输出 2 4 2 3" xfId="50776" xr:uid="{00000000-0005-0000-0000-000058C60000}"/>
    <cellStyle name="输出 2 4 2 3 2" xfId="50777" xr:uid="{00000000-0005-0000-0000-000059C60000}"/>
    <cellStyle name="输出 2 4 2 3 2 2" xfId="50778" xr:uid="{00000000-0005-0000-0000-00005AC60000}"/>
    <cellStyle name="输出 2 4 2 4" xfId="50779" xr:uid="{00000000-0005-0000-0000-00005BC60000}"/>
    <cellStyle name="输出 2 4 2 4 2" xfId="50780" xr:uid="{00000000-0005-0000-0000-00005CC60000}"/>
    <cellStyle name="输出 2 4 3" xfId="50781" xr:uid="{00000000-0005-0000-0000-00005DC60000}"/>
    <cellStyle name="输出 2 4 3 2" xfId="50782" xr:uid="{00000000-0005-0000-0000-00005EC60000}"/>
    <cellStyle name="输出 2 4 3 2 2" xfId="50783" xr:uid="{00000000-0005-0000-0000-00005FC60000}"/>
    <cellStyle name="输出 2 4 3 2 2 2" xfId="50784" xr:uid="{00000000-0005-0000-0000-000060C60000}"/>
    <cellStyle name="输出 2 4 3 3" xfId="50785" xr:uid="{00000000-0005-0000-0000-000061C60000}"/>
    <cellStyle name="输出 2 4 3 3 2" xfId="50786" xr:uid="{00000000-0005-0000-0000-000062C60000}"/>
    <cellStyle name="输出 2 4 4" xfId="50787" xr:uid="{00000000-0005-0000-0000-000063C60000}"/>
    <cellStyle name="输出 2 4 5" xfId="50788" xr:uid="{00000000-0005-0000-0000-000064C60000}"/>
    <cellStyle name="输出 2 4 6" xfId="50789" xr:uid="{00000000-0005-0000-0000-000065C60000}"/>
    <cellStyle name="输出 2 5" xfId="50790" xr:uid="{00000000-0005-0000-0000-000066C60000}"/>
    <cellStyle name="输出 2 5 2" xfId="50791" xr:uid="{00000000-0005-0000-0000-000067C60000}"/>
    <cellStyle name="输出 2 5 2 2" xfId="50792" xr:uid="{00000000-0005-0000-0000-000068C60000}"/>
    <cellStyle name="输出 2 5 2 3" xfId="50793" xr:uid="{00000000-0005-0000-0000-000069C60000}"/>
    <cellStyle name="输出 2 5 2 3 2" xfId="50794" xr:uid="{00000000-0005-0000-0000-00006AC60000}"/>
    <cellStyle name="输出 2 5 2 3 2 2" xfId="50795" xr:uid="{00000000-0005-0000-0000-00006BC60000}"/>
    <cellStyle name="输出 2 5 2 4" xfId="50796" xr:uid="{00000000-0005-0000-0000-00006CC60000}"/>
    <cellStyle name="输出 2 5 2 4 2" xfId="50797" xr:uid="{00000000-0005-0000-0000-00006DC60000}"/>
    <cellStyle name="输出 2 5 3" xfId="50798" xr:uid="{00000000-0005-0000-0000-00006EC60000}"/>
    <cellStyle name="输出 2 5 4" xfId="50799" xr:uid="{00000000-0005-0000-0000-00006FC60000}"/>
    <cellStyle name="输出 2 5 5" xfId="50800" xr:uid="{00000000-0005-0000-0000-000070C60000}"/>
    <cellStyle name="输出 2 5 6" xfId="50801" xr:uid="{00000000-0005-0000-0000-000071C60000}"/>
    <cellStyle name="输出 2 6" xfId="50802" xr:uid="{00000000-0005-0000-0000-000072C60000}"/>
    <cellStyle name="输出 2 6 2" xfId="50803" xr:uid="{00000000-0005-0000-0000-000073C60000}"/>
    <cellStyle name="输出 2 6 2 2" xfId="50804" xr:uid="{00000000-0005-0000-0000-000074C60000}"/>
    <cellStyle name="输出 2 6 2 2 2" xfId="50805" xr:uid="{00000000-0005-0000-0000-000075C60000}"/>
    <cellStyle name="输出 2 6 2 2 2 2" xfId="50806" xr:uid="{00000000-0005-0000-0000-000076C60000}"/>
    <cellStyle name="输出 2 6 2 3" xfId="50807" xr:uid="{00000000-0005-0000-0000-000077C60000}"/>
    <cellStyle name="输出 2 6 2 3 2" xfId="50808" xr:uid="{00000000-0005-0000-0000-000078C60000}"/>
    <cellStyle name="输出 2 6 3" xfId="50809" xr:uid="{00000000-0005-0000-0000-000079C60000}"/>
    <cellStyle name="输出 2 6 3 2" xfId="50810" xr:uid="{00000000-0005-0000-0000-00007AC60000}"/>
    <cellStyle name="输出 2 6 3 2 2" xfId="50811" xr:uid="{00000000-0005-0000-0000-00007BC60000}"/>
    <cellStyle name="输出 2 6 4" xfId="50812" xr:uid="{00000000-0005-0000-0000-00007CC60000}"/>
    <cellStyle name="输出 2 6 4 2" xfId="50813" xr:uid="{00000000-0005-0000-0000-00007DC60000}"/>
    <cellStyle name="输出 2 7" xfId="50814" xr:uid="{00000000-0005-0000-0000-00007EC60000}"/>
    <cellStyle name="输出 2 7 2" xfId="50815" xr:uid="{00000000-0005-0000-0000-00007FC60000}"/>
    <cellStyle name="输出 2 7 2 2" xfId="50816" xr:uid="{00000000-0005-0000-0000-000080C60000}"/>
    <cellStyle name="输出 2 7 2 2 2" xfId="50817" xr:uid="{00000000-0005-0000-0000-000081C60000}"/>
    <cellStyle name="输出 2 7 2 2 2 2" xfId="50818" xr:uid="{00000000-0005-0000-0000-000082C60000}"/>
    <cellStyle name="输出 2 7 2 3" xfId="50819" xr:uid="{00000000-0005-0000-0000-000083C60000}"/>
    <cellStyle name="输出 2 7 2 3 2" xfId="50820" xr:uid="{00000000-0005-0000-0000-000084C60000}"/>
    <cellStyle name="输出 2 7 3" xfId="50821" xr:uid="{00000000-0005-0000-0000-000085C60000}"/>
    <cellStyle name="输出 2 7 3 2" xfId="50822" xr:uid="{00000000-0005-0000-0000-000086C60000}"/>
    <cellStyle name="输出 2 7 3 2 2" xfId="50823" xr:uid="{00000000-0005-0000-0000-000087C60000}"/>
    <cellStyle name="输出 2 7 4" xfId="50824" xr:uid="{00000000-0005-0000-0000-000088C60000}"/>
    <cellStyle name="输出 2 7 4 2" xfId="50825" xr:uid="{00000000-0005-0000-0000-000089C60000}"/>
    <cellStyle name="输出 2 8" xfId="50826" xr:uid="{00000000-0005-0000-0000-00008AC60000}"/>
    <cellStyle name="输出 2 8 2" xfId="50827" xr:uid="{00000000-0005-0000-0000-00008BC60000}"/>
    <cellStyle name="输出 2 8 2 2" xfId="50828" xr:uid="{00000000-0005-0000-0000-00008CC60000}"/>
    <cellStyle name="输出 2 8 2 2 2" xfId="50829" xr:uid="{00000000-0005-0000-0000-00008DC60000}"/>
    <cellStyle name="输出 2 8 2 2 2 2" xfId="50830" xr:uid="{00000000-0005-0000-0000-00008EC60000}"/>
    <cellStyle name="输出 2 8 2 3" xfId="50831" xr:uid="{00000000-0005-0000-0000-00008FC60000}"/>
    <cellStyle name="输出 2 8 2 3 2" xfId="50832" xr:uid="{00000000-0005-0000-0000-000090C60000}"/>
    <cellStyle name="输出 2 8 3" xfId="50833" xr:uid="{00000000-0005-0000-0000-000091C60000}"/>
    <cellStyle name="输出 2 8 3 2" xfId="50834" xr:uid="{00000000-0005-0000-0000-000092C60000}"/>
    <cellStyle name="输出 2 8 3 2 2" xfId="50835" xr:uid="{00000000-0005-0000-0000-000093C60000}"/>
    <cellStyle name="输出 2 8 4" xfId="50836" xr:uid="{00000000-0005-0000-0000-000094C60000}"/>
    <cellStyle name="输出 2 8 4 2" xfId="50837" xr:uid="{00000000-0005-0000-0000-000095C60000}"/>
    <cellStyle name="输出 2 9" xfId="50838" xr:uid="{00000000-0005-0000-0000-000096C60000}"/>
    <cellStyle name="输出 2 9 2" xfId="50839" xr:uid="{00000000-0005-0000-0000-000097C60000}"/>
    <cellStyle name="输出 2 9 2 2" xfId="50840" xr:uid="{00000000-0005-0000-0000-000098C60000}"/>
    <cellStyle name="输出 2 9 2 2 2" xfId="50841" xr:uid="{00000000-0005-0000-0000-000099C60000}"/>
    <cellStyle name="输出 2 9 3" xfId="50842" xr:uid="{00000000-0005-0000-0000-00009AC60000}"/>
    <cellStyle name="输出 2 9 3 2" xfId="50843" xr:uid="{00000000-0005-0000-0000-00009BC60000}"/>
    <cellStyle name="输出 3" xfId="50844" xr:uid="{00000000-0005-0000-0000-00009CC60000}"/>
    <cellStyle name="输出 3 2" xfId="50845" xr:uid="{00000000-0005-0000-0000-00009DC60000}"/>
    <cellStyle name="输出 3 2 2" xfId="50846" xr:uid="{00000000-0005-0000-0000-00009EC60000}"/>
    <cellStyle name="输出 3 2 2 2" xfId="50847" xr:uid="{00000000-0005-0000-0000-00009FC60000}"/>
    <cellStyle name="输出 3 2 2 2 2" xfId="50848" xr:uid="{00000000-0005-0000-0000-0000A0C60000}"/>
    <cellStyle name="输出 3 2 2 2 3" xfId="50849" xr:uid="{00000000-0005-0000-0000-0000A1C60000}"/>
    <cellStyle name="输出 3 2 2 2 3 2" xfId="50850" xr:uid="{00000000-0005-0000-0000-0000A2C60000}"/>
    <cellStyle name="输出 3 2 2 2 3 2 2" xfId="50851" xr:uid="{00000000-0005-0000-0000-0000A3C60000}"/>
    <cellStyle name="输出 3 2 2 2 4" xfId="50852" xr:uid="{00000000-0005-0000-0000-0000A4C60000}"/>
    <cellStyle name="输出 3 2 2 2 4 2" xfId="50853" xr:uid="{00000000-0005-0000-0000-0000A5C60000}"/>
    <cellStyle name="输出 3 2 2 3" xfId="50854" xr:uid="{00000000-0005-0000-0000-0000A6C60000}"/>
    <cellStyle name="输出 3 2 2 3 2" xfId="50855" xr:uid="{00000000-0005-0000-0000-0000A7C60000}"/>
    <cellStyle name="输出 3 2 2 3 2 2" xfId="50856" xr:uid="{00000000-0005-0000-0000-0000A8C60000}"/>
    <cellStyle name="输出 3 2 2 3 2 2 2" xfId="50857" xr:uid="{00000000-0005-0000-0000-0000A9C60000}"/>
    <cellStyle name="输出 3 2 2 3 3" xfId="50858" xr:uid="{00000000-0005-0000-0000-0000AAC60000}"/>
    <cellStyle name="输出 3 2 2 3 3 2" xfId="50859" xr:uid="{00000000-0005-0000-0000-0000ABC60000}"/>
    <cellStyle name="输出 3 2 2 4" xfId="50860" xr:uid="{00000000-0005-0000-0000-0000ACC60000}"/>
    <cellStyle name="输出 3 2 2 5" xfId="50861" xr:uid="{00000000-0005-0000-0000-0000ADC60000}"/>
    <cellStyle name="输出 3 2 2 6" xfId="50862" xr:uid="{00000000-0005-0000-0000-0000AEC60000}"/>
    <cellStyle name="输出 3 2 3" xfId="50863" xr:uid="{00000000-0005-0000-0000-0000AFC60000}"/>
    <cellStyle name="输出 3 2 3 2" xfId="50864" xr:uid="{00000000-0005-0000-0000-0000B0C60000}"/>
    <cellStyle name="输出 3 2 3 3" xfId="50865" xr:uid="{00000000-0005-0000-0000-0000B1C60000}"/>
    <cellStyle name="输出 3 2 3 3 2" xfId="50866" xr:uid="{00000000-0005-0000-0000-0000B2C60000}"/>
    <cellStyle name="输出 3 2 3 3 2 2" xfId="50867" xr:uid="{00000000-0005-0000-0000-0000B3C60000}"/>
    <cellStyle name="输出 3 2 3 4" xfId="50868" xr:uid="{00000000-0005-0000-0000-0000B4C60000}"/>
    <cellStyle name="输出 3 2 3 4 2" xfId="50869" xr:uid="{00000000-0005-0000-0000-0000B5C60000}"/>
    <cellStyle name="输出 3 2 4" xfId="50870" xr:uid="{00000000-0005-0000-0000-0000B6C60000}"/>
    <cellStyle name="输出 3 2 4 2" xfId="50871" xr:uid="{00000000-0005-0000-0000-0000B7C60000}"/>
    <cellStyle name="输出 3 2 4 2 2" xfId="50872" xr:uid="{00000000-0005-0000-0000-0000B8C60000}"/>
    <cellStyle name="输出 3 2 4 2 2 2" xfId="50873" xr:uid="{00000000-0005-0000-0000-0000B9C60000}"/>
    <cellStyle name="输出 3 2 4 3" xfId="50874" xr:uid="{00000000-0005-0000-0000-0000BAC60000}"/>
    <cellStyle name="输出 3 2 4 3 2" xfId="50875" xr:uid="{00000000-0005-0000-0000-0000BBC60000}"/>
    <cellStyle name="输出 3 2 5" xfId="50876" xr:uid="{00000000-0005-0000-0000-0000BCC60000}"/>
    <cellStyle name="输出 3 2 6" xfId="50877" xr:uid="{00000000-0005-0000-0000-0000BDC60000}"/>
    <cellStyle name="输出 3 2 7" xfId="50878" xr:uid="{00000000-0005-0000-0000-0000BEC60000}"/>
    <cellStyle name="输出 3 3" xfId="50879" xr:uid="{00000000-0005-0000-0000-0000BFC60000}"/>
    <cellStyle name="输出 3 3 2" xfId="50880" xr:uid="{00000000-0005-0000-0000-0000C0C60000}"/>
    <cellStyle name="输出 3 3 2 2" xfId="50881" xr:uid="{00000000-0005-0000-0000-0000C1C60000}"/>
    <cellStyle name="输出 3 3 2 3" xfId="50882" xr:uid="{00000000-0005-0000-0000-0000C2C60000}"/>
    <cellStyle name="输出 3 3 2 3 2" xfId="50883" xr:uid="{00000000-0005-0000-0000-0000C3C60000}"/>
    <cellStyle name="输出 3 3 2 3 2 2" xfId="50884" xr:uid="{00000000-0005-0000-0000-0000C4C60000}"/>
    <cellStyle name="输出 3 3 2 4" xfId="50885" xr:uid="{00000000-0005-0000-0000-0000C5C60000}"/>
    <cellStyle name="输出 3 3 2 4 2" xfId="50886" xr:uid="{00000000-0005-0000-0000-0000C6C60000}"/>
    <cellStyle name="输出 3 3 3" xfId="50887" xr:uid="{00000000-0005-0000-0000-0000C7C60000}"/>
    <cellStyle name="输出 3 3 3 2" xfId="50888" xr:uid="{00000000-0005-0000-0000-0000C8C60000}"/>
    <cellStyle name="输出 3 3 3 2 2" xfId="50889" xr:uid="{00000000-0005-0000-0000-0000C9C60000}"/>
    <cellStyle name="输出 3 3 3 2 2 2" xfId="50890" xr:uid="{00000000-0005-0000-0000-0000CAC60000}"/>
    <cellStyle name="输出 3 3 3 3" xfId="50891" xr:uid="{00000000-0005-0000-0000-0000CBC60000}"/>
    <cellStyle name="输出 3 3 3 3 2" xfId="50892" xr:uid="{00000000-0005-0000-0000-0000CCC60000}"/>
    <cellStyle name="输出 3 3 4" xfId="50893" xr:uid="{00000000-0005-0000-0000-0000CDC60000}"/>
    <cellStyle name="输出 3 3 5" xfId="50894" xr:uid="{00000000-0005-0000-0000-0000CEC60000}"/>
    <cellStyle name="输出 3 3 6" xfId="50895" xr:uid="{00000000-0005-0000-0000-0000CFC60000}"/>
    <cellStyle name="输出 3 4" xfId="50896" xr:uid="{00000000-0005-0000-0000-0000D0C60000}"/>
    <cellStyle name="输出 3 4 2" xfId="50897" xr:uid="{00000000-0005-0000-0000-0000D1C60000}"/>
    <cellStyle name="输出 3 4 2 2" xfId="50898" xr:uid="{00000000-0005-0000-0000-0000D2C60000}"/>
    <cellStyle name="输出 3 4 2 3" xfId="50899" xr:uid="{00000000-0005-0000-0000-0000D3C60000}"/>
    <cellStyle name="输出 3 4 2 3 2" xfId="50900" xr:uid="{00000000-0005-0000-0000-0000D4C60000}"/>
    <cellStyle name="输出 3 4 2 3 2 2" xfId="50901" xr:uid="{00000000-0005-0000-0000-0000D5C60000}"/>
    <cellStyle name="输出 3 4 2 4" xfId="50902" xr:uid="{00000000-0005-0000-0000-0000D6C60000}"/>
    <cellStyle name="输出 3 4 2 4 2" xfId="50903" xr:uid="{00000000-0005-0000-0000-0000D7C60000}"/>
    <cellStyle name="输出 3 4 3" xfId="50904" xr:uid="{00000000-0005-0000-0000-0000D8C60000}"/>
    <cellStyle name="输出 3 4 4" xfId="50905" xr:uid="{00000000-0005-0000-0000-0000D9C60000}"/>
    <cellStyle name="输出 3 4 5" xfId="50906" xr:uid="{00000000-0005-0000-0000-0000DAC60000}"/>
    <cellStyle name="输出 3 4 6" xfId="50907" xr:uid="{00000000-0005-0000-0000-0000DBC60000}"/>
    <cellStyle name="输出 3 5" xfId="50908" xr:uid="{00000000-0005-0000-0000-0000DCC60000}"/>
    <cellStyle name="输出 3 5 2" xfId="50909" xr:uid="{00000000-0005-0000-0000-0000DDC60000}"/>
    <cellStyle name="输出 3 5 2 2" xfId="50910" xr:uid="{00000000-0005-0000-0000-0000DEC60000}"/>
    <cellStyle name="输出 3 5 2 2 2" xfId="50911" xr:uid="{00000000-0005-0000-0000-0000DFC60000}"/>
    <cellStyle name="输出 3 5 2 2 2 2" xfId="50912" xr:uid="{00000000-0005-0000-0000-0000E0C60000}"/>
    <cellStyle name="输出 3 5 2 3" xfId="50913" xr:uid="{00000000-0005-0000-0000-0000E1C60000}"/>
    <cellStyle name="输出 3 5 2 3 2" xfId="50914" xr:uid="{00000000-0005-0000-0000-0000E2C60000}"/>
    <cellStyle name="输出 3 5 3" xfId="50915" xr:uid="{00000000-0005-0000-0000-0000E3C60000}"/>
    <cellStyle name="输出 3 5 3 2" xfId="50916" xr:uid="{00000000-0005-0000-0000-0000E4C60000}"/>
    <cellStyle name="输出 3 5 3 2 2" xfId="50917" xr:uid="{00000000-0005-0000-0000-0000E5C60000}"/>
    <cellStyle name="输出 3 5 4" xfId="50918" xr:uid="{00000000-0005-0000-0000-0000E6C60000}"/>
    <cellStyle name="输出 3 5 4 2" xfId="50919" xr:uid="{00000000-0005-0000-0000-0000E7C60000}"/>
    <cellStyle name="输出 3 6" xfId="50920" xr:uid="{00000000-0005-0000-0000-0000E8C60000}"/>
    <cellStyle name="输出 3 6 2" xfId="50921" xr:uid="{00000000-0005-0000-0000-0000E9C60000}"/>
    <cellStyle name="输出 3 6 2 2" xfId="50922" xr:uid="{00000000-0005-0000-0000-0000EAC60000}"/>
    <cellStyle name="输出 3 6 2 2 2" xfId="50923" xr:uid="{00000000-0005-0000-0000-0000EBC60000}"/>
    <cellStyle name="输出 3 6 3" xfId="50924" xr:uid="{00000000-0005-0000-0000-0000ECC60000}"/>
    <cellStyle name="输出 3 6 3 2" xfId="50925" xr:uid="{00000000-0005-0000-0000-0000EDC60000}"/>
    <cellStyle name="输出 3 7" xfId="50926" xr:uid="{00000000-0005-0000-0000-0000EEC60000}"/>
    <cellStyle name="输出 3 8" xfId="50927" xr:uid="{00000000-0005-0000-0000-0000EFC60000}"/>
    <cellStyle name="适中 2" xfId="50928" xr:uid="{00000000-0005-0000-0000-0000F0C60000}"/>
    <cellStyle name="适中 2 10" xfId="50929" xr:uid="{00000000-0005-0000-0000-0000F1C60000}"/>
    <cellStyle name="适中 2 11" xfId="50930" xr:uid="{00000000-0005-0000-0000-0000F2C60000}"/>
    <cellStyle name="适中 2 2" xfId="50931" xr:uid="{00000000-0005-0000-0000-0000F3C60000}"/>
    <cellStyle name="适中 2 2 10" xfId="50932" xr:uid="{00000000-0005-0000-0000-0000F4C60000}"/>
    <cellStyle name="适中 2 2 11" xfId="50933" xr:uid="{00000000-0005-0000-0000-0000F5C60000}"/>
    <cellStyle name="适中 2 2 2" xfId="50934" xr:uid="{00000000-0005-0000-0000-0000F6C60000}"/>
    <cellStyle name="适中 2 2 2 2" xfId="50935" xr:uid="{00000000-0005-0000-0000-0000F7C60000}"/>
    <cellStyle name="适中 2 2 2 2 2" xfId="50936" xr:uid="{00000000-0005-0000-0000-0000F8C60000}"/>
    <cellStyle name="适中 2 2 2 2 2 2" xfId="50937" xr:uid="{00000000-0005-0000-0000-0000F9C60000}"/>
    <cellStyle name="适中 2 2 2 2 2 3" xfId="50938" xr:uid="{00000000-0005-0000-0000-0000FAC60000}"/>
    <cellStyle name="适中 2 2 2 2 2 3 2" xfId="50939" xr:uid="{00000000-0005-0000-0000-0000FBC60000}"/>
    <cellStyle name="适中 2 2 2 2 2 3 2 2" xfId="50940" xr:uid="{00000000-0005-0000-0000-0000FCC60000}"/>
    <cellStyle name="适中 2 2 2 2 2 4" xfId="50941" xr:uid="{00000000-0005-0000-0000-0000FDC60000}"/>
    <cellStyle name="适中 2 2 2 2 2 4 2" xfId="50942" xr:uid="{00000000-0005-0000-0000-0000FEC60000}"/>
    <cellStyle name="适中 2 2 2 2 3" xfId="50943" xr:uid="{00000000-0005-0000-0000-0000FFC60000}"/>
    <cellStyle name="适中 2 2 2 2 3 2" xfId="50944" xr:uid="{00000000-0005-0000-0000-000000C70000}"/>
    <cellStyle name="适中 2 2 2 2 3 2 2" xfId="50945" xr:uid="{00000000-0005-0000-0000-000001C70000}"/>
    <cellStyle name="适中 2 2 2 2 3 2 2 2" xfId="50946" xr:uid="{00000000-0005-0000-0000-000002C70000}"/>
    <cellStyle name="适中 2 2 2 2 3 3" xfId="50947" xr:uid="{00000000-0005-0000-0000-000003C70000}"/>
    <cellStyle name="适中 2 2 2 2 3 3 2" xfId="50948" xr:uid="{00000000-0005-0000-0000-000004C70000}"/>
    <cellStyle name="适中 2 2 2 2 4" xfId="50949" xr:uid="{00000000-0005-0000-0000-000005C70000}"/>
    <cellStyle name="适中 2 2 2 2 5" xfId="50950" xr:uid="{00000000-0005-0000-0000-000006C70000}"/>
    <cellStyle name="适中 2 2 2 2 6" xfId="50951" xr:uid="{00000000-0005-0000-0000-000007C70000}"/>
    <cellStyle name="适中 2 2 2 3" xfId="50952" xr:uid="{00000000-0005-0000-0000-000008C70000}"/>
    <cellStyle name="适中 2 2 2 3 2" xfId="50953" xr:uid="{00000000-0005-0000-0000-000009C70000}"/>
    <cellStyle name="适中 2 2 2 3 3" xfId="50954" xr:uid="{00000000-0005-0000-0000-00000AC70000}"/>
    <cellStyle name="适中 2 2 2 3 3 2" xfId="50955" xr:uid="{00000000-0005-0000-0000-00000BC70000}"/>
    <cellStyle name="适中 2 2 2 3 3 2 2" xfId="50956" xr:uid="{00000000-0005-0000-0000-00000CC70000}"/>
    <cellStyle name="适中 2 2 2 3 4" xfId="50957" xr:uid="{00000000-0005-0000-0000-00000DC70000}"/>
    <cellStyle name="适中 2 2 2 3 4 2" xfId="50958" xr:uid="{00000000-0005-0000-0000-00000EC70000}"/>
    <cellStyle name="适中 2 2 2 4" xfId="50959" xr:uid="{00000000-0005-0000-0000-00000FC70000}"/>
    <cellStyle name="适中 2 2 2 4 2" xfId="50960" xr:uid="{00000000-0005-0000-0000-000010C70000}"/>
    <cellStyle name="适中 2 2 2 4 2 2" xfId="50961" xr:uid="{00000000-0005-0000-0000-000011C70000}"/>
    <cellStyle name="适中 2 2 2 4 2 2 2" xfId="50962" xr:uid="{00000000-0005-0000-0000-000012C70000}"/>
    <cellStyle name="适中 2 2 2 4 3" xfId="50963" xr:uid="{00000000-0005-0000-0000-000013C70000}"/>
    <cellStyle name="适中 2 2 2 4 3 2" xfId="50964" xr:uid="{00000000-0005-0000-0000-000014C70000}"/>
    <cellStyle name="适中 2 2 2 5" xfId="50965" xr:uid="{00000000-0005-0000-0000-000015C70000}"/>
    <cellStyle name="适中 2 2 2 6" xfId="50966" xr:uid="{00000000-0005-0000-0000-000016C70000}"/>
    <cellStyle name="适中 2 2 2 7" xfId="50967" xr:uid="{00000000-0005-0000-0000-000017C70000}"/>
    <cellStyle name="适中 2 2 3" xfId="50968" xr:uid="{00000000-0005-0000-0000-000018C70000}"/>
    <cellStyle name="适中 2 2 3 2" xfId="50969" xr:uid="{00000000-0005-0000-0000-000019C70000}"/>
    <cellStyle name="适中 2 2 3 2 2" xfId="50970" xr:uid="{00000000-0005-0000-0000-00001AC70000}"/>
    <cellStyle name="适中 2 2 3 2 3" xfId="50971" xr:uid="{00000000-0005-0000-0000-00001BC70000}"/>
    <cellStyle name="适中 2 2 3 2 3 2" xfId="50972" xr:uid="{00000000-0005-0000-0000-00001CC70000}"/>
    <cellStyle name="适中 2 2 3 2 3 2 2" xfId="50973" xr:uid="{00000000-0005-0000-0000-00001DC70000}"/>
    <cellStyle name="适中 2 2 3 2 4" xfId="50974" xr:uid="{00000000-0005-0000-0000-00001EC70000}"/>
    <cellStyle name="适中 2 2 3 2 4 2" xfId="50975" xr:uid="{00000000-0005-0000-0000-00001FC70000}"/>
    <cellStyle name="适中 2 2 3 3" xfId="50976" xr:uid="{00000000-0005-0000-0000-000020C70000}"/>
    <cellStyle name="适中 2 2 3 3 2" xfId="50977" xr:uid="{00000000-0005-0000-0000-000021C70000}"/>
    <cellStyle name="适中 2 2 3 3 2 2" xfId="50978" xr:uid="{00000000-0005-0000-0000-000022C70000}"/>
    <cellStyle name="适中 2 2 3 3 2 2 2" xfId="50979" xr:uid="{00000000-0005-0000-0000-000023C70000}"/>
    <cellStyle name="适中 2 2 3 3 3" xfId="50980" xr:uid="{00000000-0005-0000-0000-000024C70000}"/>
    <cellStyle name="适中 2 2 3 3 3 2" xfId="50981" xr:uid="{00000000-0005-0000-0000-000025C70000}"/>
    <cellStyle name="适中 2 2 3 4" xfId="50982" xr:uid="{00000000-0005-0000-0000-000026C70000}"/>
    <cellStyle name="适中 2 2 3 5" xfId="50983" xr:uid="{00000000-0005-0000-0000-000027C70000}"/>
    <cellStyle name="适中 2 2 3 6" xfId="50984" xr:uid="{00000000-0005-0000-0000-000028C70000}"/>
    <cellStyle name="适中 2 2 4" xfId="50985" xr:uid="{00000000-0005-0000-0000-000029C70000}"/>
    <cellStyle name="适中 2 2 4 2" xfId="50986" xr:uid="{00000000-0005-0000-0000-00002AC70000}"/>
    <cellStyle name="适中 2 2 4 2 2" xfId="50987" xr:uid="{00000000-0005-0000-0000-00002BC70000}"/>
    <cellStyle name="适中 2 2 4 2 3" xfId="50988" xr:uid="{00000000-0005-0000-0000-00002CC70000}"/>
    <cellStyle name="适中 2 2 4 2 3 2" xfId="50989" xr:uid="{00000000-0005-0000-0000-00002DC70000}"/>
    <cellStyle name="适中 2 2 4 2 3 2 2" xfId="50990" xr:uid="{00000000-0005-0000-0000-00002EC70000}"/>
    <cellStyle name="适中 2 2 4 2 4" xfId="50991" xr:uid="{00000000-0005-0000-0000-00002FC70000}"/>
    <cellStyle name="适中 2 2 4 2 4 2" xfId="50992" xr:uid="{00000000-0005-0000-0000-000030C70000}"/>
    <cellStyle name="适中 2 2 4 3" xfId="50993" xr:uid="{00000000-0005-0000-0000-000031C70000}"/>
    <cellStyle name="适中 2 2 4 4" xfId="50994" xr:uid="{00000000-0005-0000-0000-000032C70000}"/>
    <cellStyle name="适中 2 2 4 5" xfId="50995" xr:uid="{00000000-0005-0000-0000-000033C70000}"/>
    <cellStyle name="适中 2 2 4 6" xfId="50996" xr:uid="{00000000-0005-0000-0000-000034C70000}"/>
    <cellStyle name="适中 2 2 5" xfId="50997" xr:uid="{00000000-0005-0000-0000-000035C70000}"/>
    <cellStyle name="适中 2 2 5 2" xfId="50998" xr:uid="{00000000-0005-0000-0000-000036C70000}"/>
    <cellStyle name="适中 2 2 5 2 2" xfId="50999" xr:uid="{00000000-0005-0000-0000-000037C70000}"/>
    <cellStyle name="适中 2 2 5 2 2 2" xfId="51000" xr:uid="{00000000-0005-0000-0000-000038C70000}"/>
    <cellStyle name="适中 2 2 5 2 2 2 2" xfId="51001" xr:uid="{00000000-0005-0000-0000-000039C70000}"/>
    <cellStyle name="适中 2 2 5 2 3" xfId="51002" xr:uid="{00000000-0005-0000-0000-00003AC70000}"/>
    <cellStyle name="适中 2 2 5 2 3 2" xfId="51003" xr:uid="{00000000-0005-0000-0000-00003BC70000}"/>
    <cellStyle name="适中 2 2 5 3" xfId="51004" xr:uid="{00000000-0005-0000-0000-00003CC70000}"/>
    <cellStyle name="适中 2 2 5 3 2" xfId="51005" xr:uid="{00000000-0005-0000-0000-00003DC70000}"/>
    <cellStyle name="适中 2 2 5 3 2 2" xfId="51006" xr:uid="{00000000-0005-0000-0000-00003EC70000}"/>
    <cellStyle name="适中 2 2 5 4" xfId="51007" xr:uid="{00000000-0005-0000-0000-00003FC70000}"/>
    <cellStyle name="适中 2 2 5 4 2" xfId="51008" xr:uid="{00000000-0005-0000-0000-000040C70000}"/>
    <cellStyle name="适中 2 2 6" xfId="51009" xr:uid="{00000000-0005-0000-0000-000041C70000}"/>
    <cellStyle name="适中 2 2 6 2" xfId="51010" xr:uid="{00000000-0005-0000-0000-000042C70000}"/>
    <cellStyle name="适中 2 2 6 2 2" xfId="51011" xr:uid="{00000000-0005-0000-0000-000043C70000}"/>
    <cellStyle name="适中 2 2 6 2 2 2" xfId="51012" xr:uid="{00000000-0005-0000-0000-000044C70000}"/>
    <cellStyle name="适中 2 2 6 2 2 2 2" xfId="51013" xr:uid="{00000000-0005-0000-0000-000045C70000}"/>
    <cellStyle name="适中 2 2 6 2 3" xfId="51014" xr:uid="{00000000-0005-0000-0000-000046C70000}"/>
    <cellStyle name="适中 2 2 6 2 3 2" xfId="51015" xr:uid="{00000000-0005-0000-0000-000047C70000}"/>
    <cellStyle name="适中 2 2 6 3" xfId="51016" xr:uid="{00000000-0005-0000-0000-000048C70000}"/>
    <cellStyle name="适中 2 2 6 3 2" xfId="51017" xr:uid="{00000000-0005-0000-0000-000049C70000}"/>
    <cellStyle name="适中 2 2 6 3 2 2" xfId="51018" xr:uid="{00000000-0005-0000-0000-00004AC70000}"/>
    <cellStyle name="适中 2 2 6 4" xfId="51019" xr:uid="{00000000-0005-0000-0000-00004BC70000}"/>
    <cellStyle name="适中 2 2 6 4 2" xfId="51020" xr:uid="{00000000-0005-0000-0000-00004CC70000}"/>
    <cellStyle name="适中 2 2 7" xfId="51021" xr:uid="{00000000-0005-0000-0000-00004DC70000}"/>
    <cellStyle name="适中 2 2 7 2" xfId="51022" xr:uid="{00000000-0005-0000-0000-00004EC70000}"/>
    <cellStyle name="适中 2 2 7 2 2" xfId="51023" xr:uid="{00000000-0005-0000-0000-00004FC70000}"/>
    <cellStyle name="适中 2 2 7 2 2 2" xfId="51024" xr:uid="{00000000-0005-0000-0000-000050C70000}"/>
    <cellStyle name="适中 2 2 7 2 2 2 2" xfId="51025" xr:uid="{00000000-0005-0000-0000-000051C70000}"/>
    <cellStyle name="适中 2 2 7 2 3" xfId="51026" xr:uid="{00000000-0005-0000-0000-000052C70000}"/>
    <cellStyle name="适中 2 2 7 2 3 2" xfId="51027" xr:uid="{00000000-0005-0000-0000-000053C70000}"/>
    <cellStyle name="适中 2 2 7 3" xfId="51028" xr:uid="{00000000-0005-0000-0000-000054C70000}"/>
    <cellStyle name="适中 2 2 7 3 2" xfId="51029" xr:uid="{00000000-0005-0000-0000-000055C70000}"/>
    <cellStyle name="适中 2 2 7 3 2 2" xfId="51030" xr:uid="{00000000-0005-0000-0000-000056C70000}"/>
    <cellStyle name="适中 2 2 7 4" xfId="51031" xr:uid="{00000000-0005-0000-0000-000057C70000}"/>
    <cellStyle name="适中 2 2 7 4 2" xfId="51032" xr:uid="{00000000-0005-0000-0000-000058C70000}"/>
    <cellStyle name="适中 2 2 8" xfId="51033" xr:uid="{00000000-0005-0000-0000-000059C70000}"/>
    <cellStyle name="适中 2 2 8 2" xfId="51034" xr:uid="{00000000-0005-0000-0000-00005AC70000}"/>
    <cellStyle name="适中 2 2 8 2 2" xfId="51035" xr:uid="{00000000-0005-0000-0000-00005BC70000}"/>
    <cellStyle name="适中 2 2 8 2 2 2" xfId="51036" xr:uid="{00000000-0005-0000-0000-00005CC70000}"/>
    <cellStyle name="适中 2 2 8 3" xfId="51037" xr:uid="{00000000-0005-0000-0000-00005DC70000}"/>
    <cellStyle name="适中 2 2 8 3 2" xfId="51038" xr:uid="{00000000-0005-0000-0000-00005EC70000}"/>
    <cellStyle name="适中 2 2 9" xfId="51039" xr:uid="{00000000-0005-0000-0000-00005FC70000}"/>
    <cellStyle name="适中 2 2 9 2" xfId="51040" xr:uid="{00000000-0005-0000-0000-000060C70000}"/>
    <cellStyle name="适中 2 2 9 2 2" xfId="51041" xr:uid="{00000000-0005-0000-0000-000061C70000}"/>
    <cellStyle name="适中 2 2 9 2 2 2" xfId="51042" xr:uid="{00000000-0005-0000-0000-000062C70000}"/>
    <cellStyle name="适中 2 2 9 3" xfId="51043" xr:uid="{00000000-0005-0000-0000-000063C70000}"/>
    <cellStyle name="适中 2 2 9 3 2" xfId="51044" xr:uid="{00000000-0005-0000-0000-000064C70000}"/>
    <cellStyle name="适中 2 3" xfId="51045" xr:uid="{00000000-0005-0000-0000-000065C70000}"/>
    <cellStyle name="适中 2 3 2" xfId="51046" xr:uid="{00000000-0005-0000-0000-000066C70000}"/>
    <cellStyle name="适中 2 3 2 2" xfId="51047" xr:uid="{00000000-0005-0000-0000-000067C70000}"/>
    <cellStyle name="适中 2 3 2 2 2" xfId="51048" xr:uid="{00000000-0005-0000-0000-000068C70000}"/>
    <cellStyle name="适中 2 3 2 2 2 2" xfId="51049" xr:uid="{00000000-0005-0000-0000-000069C70000}"/>
    <cellStyle name="适中 2 3 2 2 2 3" xfId="51050" xr:uid="{00000000-0005-0000-0000-00006AC70000}"/>
    <cellStyle name="适中 2 3 2 2 2 3 2" xfId="51051" xr:uid="{00000000-0005-0000-0000-00006BC70000}"/>
    <cellStyle name="适中 2 3 2 2 2 3 2 2" xfId="51052" xr:uid="{00000000-0005-0000-0000-00006CC70000}"/>
    <cellStyle name="适中 2 3 2 2 2 4" xfId="51053" xr:uid="{00000000-0005-0000-0000-00006DC70000}"/>
    <cellStyle name="适中 2 3 2 2 2 4 2" xfId="51054" xr:uid="{00000000-0005-0000-0000-00006EC70000}"/>
    <cellStyle name="适中 2 3 2 2 3" xfId="51055" xr:uid="{00000000-0005-0000-0000-00006FC70000}"/>
    <cellStyle name="适中 2 3 2 2 3 2" xfId="51056" xr:uid="{00000000-0005-0000-0000-000070C70000}"/>
    <cellStyle name="适中 2 3 2 2 3 2 2" xfId="51057" xr:uid="{00000000-0005-0000-0000-000071C70000}"/>
    <cellStyle name="适中 2 3 2 2 3 2 2 2" xfId="51058" xr:uid="{00000000-0005-0000-0000-000072C70000}"/>
    <cellStyle name="适中 2 3 2 2 3 3" xfId="51059" xr:uid="{00000000-0005-0000-0000-000073C70000}"/>
    <cellStyle name="适中 2 3 2 2 3 3 2" xfId="51060" xr:uid="{00000000-0005-0000-0000-000074C70000}"/>
    <cellStyle name="适中 2 3 2 2 4" xfId="51061" xr:uid="{00000000-0005-0000-0000-000075C70000}"/>
    <cellStyle name="适中 2 3 2 2 5" xfId="51062" xr:uid="{00000000-0005-0000-0000-000076C70000}"/>
    <cellStyle name="适中 2 3 2 2 6" xfId="51063" xr:uid="{00000000-0005-0000-0000-000077C70000}"/>
    <cellStyle name="适中 2 3 2 3" xfId="51064" xr:uid="{00000000-0005-0000-0000-000078C70000}"/>
    <cellStyle name="适中 2 3 2 3 2" xfId="51065" xr:uid="{00000000-0005-0000-0000-000079C70000}"/>
    <cellStyle name="适中 2 3 2 3 3" xfId="51066" xr:uid="{00000000-0005-0000-0000-00007AC70000}"/>
    <cellStyle name="适中 2 3 2 3 3 2" xfId="51067" xr:uid="{00000000-0005-0000-0000-00007BC70000}"/>
    <cellStyle name="适中 2 3 2 3 3 2 2" xfId="51068" xr:uid="{00000000-0005-0000-0000-00007CC70000}"/>
    <cellStyle name="适中 2 3 2 3 4" xfId="51069" xr:uid="{00000000-0005-0000-0000-00007DC70000}"/>
    <cellStyle name="适中 2 3 2 3 4 2" xfId="51070" xr:uid="{00000000-0005-0000-0000-00007EC70000}"/>
    <cellStyle name="适中 2 3 2 4" xfId="51071" xr:uid="{00000000-0005-0000-0000-00007FC70000}"/>
    <cellStyle name="适中 2 3 2 4 2" xfId="51072" xr:uid="{00000000-0005-0000-0000-000080C70000}"/>
    <cellStyle name="适中 2 3 2 4 2 2" xfId="51073" xr:uid="{00000000-0005-0000-0000-000081C70000}"/>
    <cellStyle name="适中 2 3 2 4 2 2 2" xfId="51074" xr:uid="{00000000-0005-0000-0000-000082C70000}"/>
    <cellStyle name="适中 2 3 2 4 3" xfId="51075" xr:uid="{00000000-0005-0000-0000-000083C70000}"/>
    <cellStyle name="适中 2 3 2 4 3 2" xfId="51076" xr:uid="{00000000-0005-0000-0000-000084C70000}"/>
    <cellStyle name="适中 2 3 2 5" xfId="51077" xr:uid="{00000000-0005-0000-0000-000085C70000}"/>
    <cellStyle name="适中 2 3 2 6" xfId="51078" xr:uid="{00000000-0005-0000-0000-000086C70000}"/>
    <cellStyle name="适中 2 3 2 7" xfId="51079" xr:uid="{00000000-0005-0000-0000-000087C70000}"/>
    <cellStyle name="适中 2 3 3" xfId="51080" xr:uid="{00000000-0005-0000-0000-000088C70000}"/>
    <cellStyle name="适中 2 3 3 2" xfId="51081" xr:uid="{00000000-0005-0000-0000-000089C70000}"/>
    <cellStyle name="适中 2 3 3 2 2" xfId="51082" xr:uid="{00000000-0005-0000-0000-00008AC70000}"/>
    <cellStyle name="适中 2 3 3 2 3" xfId="51083" xr:uid="{00000000-0005-0000-0000-00008BC70000}"/>
    <cellStyle name="适中 2 3 3 2 3 2" xfId="51084" xr:uid="{00000000-0005-0000-0000-00008CC70000}"/>
    <cellStyle name="适中 2 3 3 2 3 2 2" xfId="51085" xr:uid="{00000000-0005-0000-0000-00008DC70000}"/>
    <cellStyle name="适中 2 3 3 2 4" xfId="51086" xr:uid="{00000000-0005-0000-0000-00008EC70000}"/>
    <cellStyle name="适中 2 3 3 2 4 2" xfId="51087" xr:uid="{00000000-0005-0000-0000-00008FC70000}"/>
    <cellStyle name="适中 2 3 3 3" xfId="51088" xr:uid="{00000000-0005-0000-0000-000090C70000}"/>
    <cellStyle name="适中 2 3 3 3 2" xfId="51089" xr:uid="{00000000-0005-0000-0000-000091C70000}"/>
    <cellStyle name="适中 2 3 3 3 2 2" xfId="51090" xr:uid="{00000000-0005-0000-0000-000092C70000}"/>
    <cellStyle name="适中 2 3 3 3 2 2 2" xfId="51091" xr:uid="{00000000-0005-0000-0000-000093C70000}"/>
    <cellStyle name="适中 2 3 3 3 3" xfId="51092" xr:uid="{00000000-0005-0000-0000-000094C70000}"/>
    <cellStyle name="适中 2 3 3 3 3 2" xfId="51093" xr:uid="{00000000-0005-0000-0000-000095C70000}"/>
    <cellStyle name="适中 2 3 3 4" xfId="51094" xr:uid="{00000000-0005-0000-0000-000096C70000}"/>
    <cellStyle name="适中 2 3 3 5" xfId="51095" xr:uid="{00000000-0005-0000-0000-000097C70000}"/>
    <cellStyle name="适中 2 3 3 6" xfId="51096" xr:uid="{00000000-0005-0000-0000-000098C70000}"/>
    <cellStyle name="适中 2 3 4" xfId="51097" xr:uid="{00000000-0005-0000-0000-000099C70000}"/>
    <cellStyle name="适中 2 3 4 2" xfId="51098" xr:uid="{00000000-0005-0000-0000-00009AC70000}"/>
    <cellStyle name="适中 2 3 4 2 2" xfId="51099" xr:uid="{00000000-0005-0000-0000-00009BC70000}"/>
    <cellStyle name="适中 2 3 4 2 3" xfId="51100" xr:uid="{00000000-0005-0000-0000-00009CC70000}"/>
    <cellStyle name="适中 2 3 4 2 3 2" xfId="51101" xr:uid="{00000000-0005-0000-0000-00009DC70000}"/>
    <cellStyle name="适中 2 3 4 2 3 2 2" xfId="51102" xr:uid="{00000000-0005-0000-0000-00009EC70000}"/>
    <cellStyle name="适中 2 3 4 2 4" xfId="51103" xr:uid="{00000000-0005-0000-0000-00009FC70000}"/>
    <cellStyle name="适中 2 3 4 2 4 2" xfId="51104" xr:uid="{00000000-0005-0000-0000-0000A0C70000}"/>
    <cellStyle name="适中 2 3 4 3" xfId="51105" xr:uid="{00000000-0005-0000-0000-0000A1C70000}"/>
    <cellStyle name="适中 2 3 4 4" xfId="51106" xr:uid="{00000000-0005-0000-0000-0000A2C70000}"/>
    <cellStyle name="适中 2 3 4 5" xfId="51107" xr:uid="{00000000-0005-0000-0000-0000A3C70000}"/>
    <cellStyle name="适中 2 3 4 6" xfId="51108" xr:uid="{00000000-0005-0000-0000-0000A4C70000}"/>
    <cellStyle name="适中 2 3 5" xfId="51109" xr:uid="{00000000-0005-0000-0000-0000A5C70000}"/>
    <cellStyle name="适中 2 3 5 2" xfId="51110" xr:uid="{00000000-0005-0000-0000-0000A6C70000}"/>
    <cellStyle name="适中 2 3 5 2 2" xfId="51111" xr:uid="{00000000-0005-0000-0000-0000A7C70000}"/>
    <cellStyle name="适中 2 3 5 2 2 2" xfId="51112" xr:uid="{00000000-0005-0000-0000-0000A8C70000}"/>
    <cellStyle name="适中 2 3 5 2 2 2 2" xfId="51113" xr:uid="{00000000-0005-0000-0000-0000A9C70000}"/>
    <cellStyle name="适中 2 3 5 2 3" xfId="51114" xr:uid="{00000000-0005-0000-0000-0000AAC70000}"/>
    <cellStyle name="适中 2 3 5 2 3 2" xfId="51115" xr:uid="{00000000-0005-0000-0000-0000ABC70000}"/>
    <cellStyle name="适中 2 3 5 3" xfId="51116" xr:uid="{00000000-0005-0000-0000-0000ACC70000}"/>
    <cellStyle name="适中 2 3 5 3 2" xfId="51117" xr:uid="{00000000-0005-0000-0000-0000ADC70000}"/>
    <cellStyle name="适中 2 3 5 3 2 2" xfId="51118" xr:uid="{00000000-0005-0000-0000-0000AEC70000}"/>
    <cellStyle name="适中 2 3 5 4" xfId="51119" xr:uid="{00000000-0005-0000-0000-0000AFC70000}"/>
    <cellStyle name="适中 2 3 5 4 2" xfId="51120" xr:uid="{00000000-0005-0000-0000-0000B0C70000}"/>
    <cellStyle name="适中 2 3 6" xfId="51121" xr:uid="{00000000-0005-0000-0000-0000B1C70000}"/>
    <cellStyle name="适中 2 3 6 2" xfId="51122" xr:uid="{00000000-0005-0000-0000-0000B2C70000}"/>
    <cellStyle name="适中 2 3 6 2 2" xfId="51123" xr:uid="{00000000-0005-0000-0000-0000B3C70000}"/>
    <cellStyle name="适中 2 3 6 2 2 2" xfId="51124" xr:uid="{00000000-0005-0000-0000-0000B4C70000}"/>
    <cellStyle name="适中 2 3 6 3" xfId="51125" xr:uid="{00000000-0005-0000-0000-0000B5C70000}"/>
    <cellStyle name="适中 2 3 6 3 2" xfId="51126" xr:uid="{00000000-0005-0000-0000-0000B6C70000}"/>
    <cellStyle name="适中 2 3 7" xfId="51127" xr:uid="{00000000-0005-0000-0000-0000B7C70000}"/>
    <cellStyle name="适中 2 3 7 2" xfId="51128" xr:uid="{00000000-0005-0000-0000-0000B8C70000}"/>
    <cellStyle name="适中 2 3 7 2 2" xfId="51129" xr:uid="{00000000-0005-0000-0000-0000B9C70000}"/>
    <cellStyle name="适中 2 3 7 2 2 2" xfId="51130" xr:uid="{00000000-0005-0000-0000-0000BAC70000}"/>
    <cellStyle name="适中 2 3 7 3" xfId="51131" xr:uid="{00000000-0005-0000-0000-0000BBC70000}"/>
    <cellStyle name="适中 2 3 7 3 2" xfId="51132" xr:uid="{00000000-0005-0000-0000-0000BCC70000}"/>
    <cellStyle name="适中 2 3 8" xfId="51133" xr:uid="{00000000-0005-0000-0000-0000BDC70000}"/>
    <cellStyle name="适中 2 3 9" xfId="51134" xr:uid="{00000000-0005-0000-0000-0000BEC70000}"/>
    <cellStyle name="适中 2 4" xfId="51135" xr:uid="{00000000-0005-0000-0000-0000BFC70000}"/>
    <cellStyle name="适中 2 4 2" xfId="51136" xr:uid="{00000000-0005-0000-0000-0000C0C70000}"/>
    <cellStyle name="适中 2 4 2 2" xfId="51137" xr:uid="{00000000-0005-0000-0000-0000C1C70000}"/>
    <cellStyle name="适中 2 4 2 3" xfId="51138" xr:uid="{00000000-0005-0000-0000-0000C2C70000}"/>
    <cellStyle name="适中 2 4 2 3 2" xfId="51139" xr:uid="{00000000-0005-0000-0000-0000C3C70000}"/>
    <cellStyle name="适中 2 4 2 3 2 2" xfId="51140" xr:uid="{00000000-0005-0000-0000-0000C4C70000}"/>
    <cellStyle name="适中 2 4 2 4" xfId="51141" xr:uid="{00000000-0005-0000-0000-0000C5C70000}"/>
    <cellStyle name="适中 2 4 2 4 2" xfId="51142" xr:uid="{00000000-0005-0000-0000-0000C6C70000}"/>
    <cellStyle name="适中 2 4 3" xfId="51143" xr:uid="{00000000-0005-0000-0000-0000C7C70000}"/>
    <cellStyle name="适中 2 4 3 2" xfId="51144" xr:uid="{00000000-0005-0000-0000-0000C8C70000}"/>
    <cellStyle name="适中 2 4 3 2 2" xfId="51145" xr:uid="{00000000-0005-0000-0000-0000C9C70000}"/>
    <cellStyle name="适中 2 4 3 2 2 2" xfId="51146" xr:uid="{00000000-0005-0000-0000-0000CAC70000}"/>
    <cellStyle name="适中 2 4 3 3" xfId="51147" xr:uid="{00000000-0005-0000-0000-0000CBC70000}"/>
    <cellStyle name="适中 2 4 3 3 2" xfId="51148" xr:uid="{00000000-0005-0000-0000-0000CCC70000}"/>
    <cellStyle name="适中 2 4 4" xfId="51149" xr:uid="{00000000-0005-0000-0000-0000CDC70000}"/>
    <cellStyle name="适中 2 4 5" xfId="51150" xr:uid="{00000000-0005-0000-0000-0000CEC70000}"/>
    <cellStyle name="适中 2 4 6" xfId="51151" xr:uid="{00000000-0005-0000-0000-0000CFC70000}"/>
    <cellStyle name="适中 2 5" xfId="51152" xr:uid="{00000000-0005-0000-0000-0000D0C70000}"/>
    <cellStyle name="适中 2 5 2" xfId="51153" xr:uid="{00000000-0005-0000-0000-0000D1C70000}"/>
    <cellStyle name="适中 2 5 2 2" xfId="51154" xr:uid="{00000000-0005-0000-0000-0000D2C70000}"/>
    <cellStyle name="适中 2 5 2 3" xfId="51155" xr:uid="{00000000-0005-0000-0000-0000D3C70000}"/>
    <cellStyle name="适中 2 5 2 3 2" xfId="51156" xr:uid="{00000000-0005-0000-0000-0000D4C70000}"/>
    <cellStyle name="适中 2 5 2 3 2 2" xfId="51157" xr:uid="{00000000-0005-0000-0000-0000D5C70000}"/>
    <cellStyle name="适中 2 5 2 4" xfId="51158" xr:uid="{00000000-0005-0000-0000-0000D6C70000}"/>
    <cellStyle name="适中 2 5 2 4 2" xfId="51159" xr:uid="{00000000-0005-0000-0000-0000D7C70000}"/>
    <cellStyle name="适中 2 5 3" xfId="51160" xr:uid="{00000000-0005-0000-0000-0000D8C70000}"/>
    <cellStyle name="适中 2 5 4" xfId="51161" xr:uid="{00000000-0005-0000-0000-0000D9C70000}"/>
    <cellStyle name="适中 2 5 5" xfId="51162" xr:uid="{00000000-0005-0000-0000-0000DAC70000}"/>
    <cellStyle name="适中 2 5 6" xfId="51163" xr:uid="{00000000-0005-0000-0000-0000DBC70000}"/>
    <cellStyle name="适中 2 6" xfId="51164" xr:uid="{00000000-0005-0000-0000-0000DCC70000}"/>
    <cellStyle name="适中 2 6 2" xfId="51165" xr:uid="{00000000-0005-0000-0000-0000DDC70000}"/>
    <cellStyle name="适中 2 6 2 2" xfId="51166" xr:uid="{00000000-0005-0000-0000-0000DEC70000}"/>
    <cellStyle name="适中 2 6 2 2 2" xfId="51167" xr:uid="{00000000-0005-0000-0000-0000DFC70000}"/>
    <cellStyle name="适中 2 6 2 2 2 2" xfId="51168" xr:uid="{00000000-0005-0000-0000-0000E0C70000}"/>
    <cellStyle name="适中 2 6 2 3" xfId="51169" xr:uid="{00000000-0005-0000-0000-0000E1C70000}"/>
    <cellStyle name="适中 2 6 2 3 2" xfId="51170" xr:uid="{00000000-0005-0000-0000-0000E2C70000}"/>
    <cellStyle name="适中 2 6 3" xfId="51171" xr:uid="{00000000-0005-0000-0000-0000E3C70000}"/>
    <cellStyle name="适中 2 6 3 2" xfId="51172" xr:uid="{00000000-0005-0000-0000-0000E4C70000}"/>
    <cellStyle name="适中 2 6 3 2 2" xfId="51173" xr:uid="{00000000-0005-0000-0000-0000E5C70000}"/>
    <cellStyle name="适中 2 6 4" xfId="51174" xr:uid="{00000000-0005-0000-0000-0000E6C70000}"/>
    <cellStyle name="适中 2 6 4 2" xfId="51175" xr:uid="{00000000-0005-0000-0000-0000E7C70000}"/>
    <cellStyle name="适中 2 7" xfId="51176" xr:uid="{00000000-0005-0000-0000-0000E8C70000}"/>
    <cellStyle name="适中 2 7 2" xfId="51177" xr:uid="{00000000-0005-0000-0000-0000E9C70000}"/>
    <cellStyle name="适中 2 7 2 2" xfId="51178" xr:uid="{00000000-0005-0000-0000-0000EAC70000}"/>
    <cellStyle name="适中 2 7 2 2 2" xfId="51179" xr:uid="{00000000-0005-0000-0000-0000EBC70000}"/>
    <cellStyle name="适中 2 7 2 2 2 2" xfId="51180" xr:uid="{00000000-0005-0000-0000-0000ECC70000}"/>
    <cellStyle name="适中 2 7 2 3" xfId="51181" xr:uid="{00000000-0005-0000-0000-0000EDC70000}"/>
    <cellStyle name="适中 2 7 2 3 2" xfId="51182" xr:uid="{00000000-0005-0000-0000-0000EEC70000}"/>
    <cellStyle name="适中 2 7 3" xfId="51183" xr:uid="{00000000-0005-0000-0000-0000EFC70000}"/>
    <cellStyle name="适中 2 7 3 2" xfId="51184" xr:uid="{00000000-0005-0000-0000-0000F0C70000}"/>
    <cellStyle name="适中 2 7 3 2 2" xfId="51185" xr:uid="{00000000-0005-0000-0000-0000F1C70000}"/>
    <cellStyle name="适中 2 7 4" xfId="51186" xr:uid="{00000000-0005-0000-0000-0000F2C70000}"/>
    <cellStyle name="适中 2 7 4 2" xfId="51187" xr:uid="{00000000-0005-0000-0000-0000F3C70000}"/>
    <cellStyle name="适中 2 8" xfId="51188" xr:uid="{00000000-0005-0000-0000-0000F4C70000}"/>
    <cellStyle name="适中 2 8 2" xfId="51189" xr:uid="{00000000-0005-0000-0000-0000F5C70000}"/>
    <cellStyle name="适中 2 8 2 2" xfId="51190" xr:uid="{00000000-0005-0000-0000-0000F6C70000}"/>
    <cellStyle name="适中 2 8 2 2 2" xfId="51191" xr:uid="{00000000-0005-0000-0000-0000F7C70000}"/>
    <cellStyle name="适中 2 8 2 2 2 2" xfId="51192" xr:uid="{00000000-0005-0000-0000-0000F8C70000}"/>
    <cellStyle name="适中 2 8 2 3" xfId="51193" xr:uid="{00000000-0005-0000-0000-0000F9C70000}"/>
    <cellStyle name="适中 2 8 2 3 2" xfId="51194" xr:uid="{00000000-0005-0000-0000-0000FAC70000}"/>
    <cellStyle name="适中 2 8 3" xfId="51195" xr:uid="{00000000-0005-0000-0000-0000FBC70000}"/>
    <cellStyle name="适中 2 8 3 2" xfId="51196" xr:uid="{00000000-0005-0000-0000-0000FCC70000}"/>
    <cellStyle name="适中 2 8 3 2 2" xfId="51197" xr:uid="{00000000-0005-0000-0000-0000FDC70000}"/>
    <cellStyle name="适中 2 8 4" xfId="51198" xr:uid="{00000000-0005-0000-0000-0000FEC70000}"/>
    <cellStyle name="适中 2 8 4 2" xfId="51199" xr:uid="{00000000-0005-0000-0000-0000FFC70000}"/>
    <cellStyle name="适中 2 9" xfId="51200" xr:uid="{00000000-0005-0000-0000-000000C80000}"/>
    <cellStyle name="适中 2 9 2" xfId="51201" xr:uid="{00000000-0005-0000-0000-000001C80000}"/>
    <cellStyle name="适中 2 9 2 2" xfId="51202" xr:uid="{00000000-0005-0000-0000-000002C80000}"/>
    <cellStyle name="适中 2 9 2 2 2" xfId="51203" xr:uid="{00000000-0005-0000-0000-000003C80000}"/>
    <cellStyle name="适中 2 9 3" xfId="51204" xr:uid="{00000000-0005-0000-0000-000004C80000}"/>
    <cellStyle name="适中 2 9 3 2" xfId="51205" xr:uid="{00000000-0005-0000-0000-000005C80000}"/>
    <cellStyle name="适中 3" xfId="51206" xr:uid="{00000000-0005-0000-0000-000006C80000}"/>
    <cellStyle name="适中 3 2" xfId="51207" xr:uid="{00000000-0005-0000-0000-000007C80000}"/>
    <cellStyle name="适中 3 2 2" xfId="51208" xr:uid="{00000000-0005-0000-0000-000008C80000}"/>
    <cellStyle name="适中 3 2 2 2" xfId="51209" xr:uid="{00000000-0005-0000-0000-000009C80000}"/>
    <cellStyle name="适中 3 2 2 2 2" xfId="51210" xr:uid="{00000000-0005-0000-0000-00000AC80000}"/>
    <cellStyle name="适中 3 2 2 2 3" xfId="51211" xr:uid="{00000000-0005-0000-0000-00000BC80000}"/>
    <cellStyle name="适中 3 2 2 2 3 2" xfId="51212" xr:uid="{00000000-0005-0000-0000-00000CC80000}"/>
    <cellStyle name="适中 3 2 2 2 3 2 2" xfId="51213" xr:uid="{00000000-0005-0000-0000-00000DC80000}"/>
    <cellStyle name="适中 3 2 2 2 4" xfId="51214" xr:uid="{00000000-0005-0000-0000-00000EC80000}"/>
    <cellStyle name="适中 3 2 2 2 4 2" xfId="51215" xr:uid="{00000000-0005-0000-0000-00000FC80000}"/>
    <cellStyle name="适中 3 2 2 3" xfId="51216" xr:uid="{00000000-0005-0000-0000-000010C80000}"/>
    <cellStyle name="适中 3 2 2 3 2" xfId="51217" xr:uid="{00000000-0005-0000-0000-000011C80000}"/>
    <cellStyle name="适中 3 2 2 3 2 2" xfId="51218" xr:uid="{00000000-0005-0000-0000-000012C80000}"/>
    <cellStyle name="适中 3 2 2 3 2 2 2" xfId="51219" xr:uid="{00000000-0005-0000-0000-000013C80000}"/>
    <cellStyle name="适中 3 2 2 3 3" xfId="51220" xr:uid="{00000000-0005-0000-0000-000014C80000}"/>
    <cellStyle name="适中 3 2 2 3 3 2" xfId="51221" xr:uid="{00000000-0005-0000-0000-000015C80000}"/>
    <cellStyle name="适中 3 2 2 4" xfId="51222" xr:uid="{00000000-0005-0000-0000-000016C80000}"/>
    <cellStyle name="适中 3 2 2 5" xfId="51223" xr:uid="{00000000-0005-0000-0000-000017C80000}"/>
    <cellStyle name="适中 3 2 2 6" xfId="51224" xr:uid="{00000000-0005-0000-0000-000018C80000}"/>
    <cellStyle name="适中 3 2 3" xfId="51225" xr:uid="{00000000-0005-0000-0000-000019C80000}"/>
    <cellStyle name="适中 3 2 3 2" xfId="51226" xr:uid="{00000000-0005-0000-0000-00001AC80000}"/>
    <cellStyle name="适中 3 2 3 3" xfId="51227" xr:uid="{00000000-0005-0000-0000-00001BC80000}"/>
    <cellStyle name="适中 3 2 3 3 2" xfId="51228" xr:uid="{00000000-0005-0000-0000-00001CC80000}"/>
    <cellStyle name="适中 3 2 3 3 2 2" xfId="51229" xr:uid="{00000000-0005-0000-0000-00001DC80000}"/>
    <cellStyle name="适中 3 2 3 4" xfId="51230" xr:uid="{00000000-0005-0000-0000-00001EC80000}"/>
    <cellStyle name="适中 3 2 3 4 2" xfId="51231" xr:uid="{00000000-0005-0000-0000-00001FC80000}"/>
    <cellStyle name="适中 3 2 4" xfId="51232" xr:uid="{00000000-0005-0000-0000-000020C80000}"/>
    <cellStyle name="适中 3 2 4 2" xfId="51233" xr:uid="{00000000-0005-0000-0000-000021C80000}"/>
    <cellStyle name="适中 3 2 4 2 2" xfId="51234" xr:uid="{00000000-0005-0000-0000-000022C80000}"/>
    <cellStyle name="适中 3 2 4 2 2 2" xfId="51235" xr:uid="{00000000-0005-0000-0000-000023C80000}"/>
    <cellStyle name="适中 3 2 4 3" xfId="51236" xr:uid="{00000000-0005-0000-0000-000024C80000}"/>
    <cellStyle name="适中 3 2 4 3 2" xfId="51237" xr:uid="{00000000-0005-0000-0000-000025C80000}"/>
    <cellStyle name="适中 3 2 5" xfId="51238" xr:uid="{00000000-0005-0000-0000-000026C80000}"/>
    <cellStyle name="适中 3 2 6" xfId="51239" xr:uid="{00000000-0005-0000-0000-000027C80000}"/>
    <cellStyle name="适中 3 2 7" xfId="51240" xr:uid="{00000000-0005-0000-0000-000028C80000}"/>
    <cellStyle name="适中 3 3" xfId="51241" xr:uid="{00000000-0005-0000-0000-000029C80000}"/>
    <cellStyle name="适中 3 3 2" xfId="51242" xr:uid="{00000000-0005-0000-0000-00002AC80000}"/>
    <cellStyle name="适中 3 3 2 2" xfId="51243" xr:uid="{00000000-0005-0000-0000-00002BC80000}"/>
    <cellStyle name="适中 3 3 2 3" xfId="51244" xr:uid="{00000000-0005-0000-0000-00002CC80000}"/>
    <cellStyle name="适中 3 3 2 3 2" xfId="51245" xr:uid="{00000000-0005-0000-0000-00002DC80000}"/>
    <cellStyle name="适中 3 3 2 3 2 2" xfId="51246" xr:uid="{00000000-0005-0000-0000-00002EC80000}"/>
    <cellStyle name="适中 3 3 2 4" xfId="51247" xr:uid="{00000000-0005-0000-0000-00002FC80000}"/>
    <cellStyle name="适中 3 3 2 4 2" xfId="51248" xr:uid="{00000000-0005-0000-0000-000030C80000}"/>
    <cellStyle name="适中 3 3 3" xfId="51249" xr:uid="{00000000-0005-0000-0000-000031C80000}"/>
    <cellStyle name="适中 3 3 3 2" xfId="51250" xr:uid="{00000000-0005-0000-0000-000032C80000}"/>
    <cellStyle name="适中 3 3 3 2 2" xfId="51251" xr:uid="{00000000-0005-0000-0000-000033C80000}"/>
    <cellStyle name="适中 3 3 3 2 2 2" xfId="51252" xr:uid="{00000000-0005-0000-0000-000034C80000}"/>
    <cellStyle name="适中 3 3 3 3" xfId="51253" xr:uid="{00000000-0005-0000-0000-000035C80000}"/>
    <cellStyle name="适中 3 3 3 3 2" xfId="51254" xr:uid="{00000000-0005-0000-0000-000036C80000}"/>
    <cellStyle name="适中 3 3 4" xfId="51255" xr:uid="{00000000-0005-0000-0000-000037C80000}"/>
    <cellStyle name="适中 3 3 5" xfId="51256" xr:uid="{00000000-0005-0000-0000-000038C80000}"/>
    <cellStyle name="适中 3 3 6" xfId="51257" xr:uid="{00000000-0005-0000-0000-000039C80000}"/>
    <cellStyle name="适中 3 4" xfId="51258" xr:uid="{00000000-0005-0000-0000-00003AC80000}"/>
    <cellStyle name="适中 3 4 2" xfId="51259" xr:uid="{00000000-0005-0000-0000-00003BC80000}"/>
    <cellStyle name="适中 3 4 2 2" xfId="51260" xr:uid="{00000000-0005-0000-0000-00003CC80000}"/>
    <cellStyle name="适中 3 4 2 3" xfId="51261" xr:uid="{00000000-0005-0000-0000-00003DC80000}"/>
    <cellStyle name="适中 3 4 2 3 2" xfId="51262" xr:uid="{00000000-0005-0000-0000-00003EC80000}"/>
    <cellStyle name="适中 3 4 2 3 2 2" xfId="51263" xr:uid="{00000000-0005-0000-0000-00003FC80000}"/>
    <cellStyle name="适中 3 4 2 4" xfId="51264" xr:uid="{00000000-0005-0000-0000-000040C80000}"/>
    <cellStyle name="适中 3 4 2 4 2" xfId="51265" xr:uid="{00000000-0005-0000-0000-000041C80000}"/>
    <cellStyle name="适中 3 4 3" xfId="51266" xr:uid="{00000000-0005-0000-0000-000042C80000}"/>
    <cellStyle name="适中 3 4 4" xfId="51267" xr:uid="{00000000-0005-0000-0000-000043C80000}"/>
    <cellStyle name="适中 3 4 5" xfId="51268" xr:uid="{00000000-0005-0000-0000-000044C80000}"/>
    <cellStyle name="适中 3 4 6" xfId="51269" xr:uid="{00000000-0005-0000-0000-000045C80000}"/>
    <cellStyle name="适中 3 5" xfId="51270" xr:uid="{00000000-0005-0000-0000-000046C80000}"/>
    <cellStyle name="适中 3 5 2" xfId="51271" xr:uid="{00000000-0005-0000-0000-000047C80000}"/>
    <cellStyle name="适中 3 5 2 2" xfId="51272" xr:uid="{00000000-0005-0000-0000-000048C80000}"/>
    <cellStyle name="适中 3 5 2 2 2" xfId="51273" xr:uid="{00000000-0005-0000-0000-000049C80000}"/>
    <cellStyle name="适中 3 5 2 2 2 2" xfId="51274" xr:uid="{00000000-0005-0000-0000-00004AC80000}"/>
    <cellStyle name="适中 3 5 2 3" xfId="51275" xr:uid="{00000000-0005-0000-0000-00004BC80000}"/>
    <cellStyle name="适中 3 5 2 3 2" xfId="51276" xr:uid="{00000000-0005-0000-0000-00004CC80000}"/>
    <cellStyle name="适中 3 5 3" xfId="51277" xr:uid="{00000000-0005-0000-0000-00004DC80000}"/>
    <cellStyle name="适中 3 5 3 2" xfId="51278" xr:uid="{00000000-0005-0000-0000-00004EC80000}"/>
    <cellStyle name="适中 3 5 3 2 2" xfId="51279" xr:uid="{00000000-0005-0000-0000-00004FC80000}"/>
    <cellStyle name="适中 3 5 4" xfId="51280" xr:uid="{00000000-0005-0000-0000-000050C80000}"/>
    <cellStyle name="适中 3 5 4 2" xfId="51281" xr:uid="{00000000-0005-0000-0000-000051C80000}"/>
    <cellStyle name="适中 3 6" xfId="51282" xr:uid="{00000000-0005-0000-0000-000052C80000}"/>
    <cellStyle name="适中 3 6 2" xfId="51283" xr:uid="{00000000-0005-0000-0000-000053C80000}"/>
    <cellStyle name="适中 3 6 2 2" xfId="51284" xr:uid="{00000000-0005-0000-0000-000054C80000}"/>
    <cellStyle name="适中 3 6 2 2 2" xfId="51285" xr:uid="{00000000-0005-0000-0000-000055C80000}"/>
    <cellStyle name="适中 3 6 3" xfId="51286" xr:uid="{00000000-0005-0000-0000-000056C80000}"/>
    <cellStyle name="适中 3 6 3 2" xfId="51287" xr:uid="{00000000-0005-0000-0000-000057C80000}"/>
    <cellStyle name="适中 3 7" xfId="51288" xr:uid="{00000000-0005-0000-0000-000058C80000}"/>
    <cellStyle name="适中 3 8" xfId="51289" xr:uid="{00000000-0005-0000-0000-000059C80000}"/>
    <cellStyle name="链接单元格 2" xfId="51290" xr:uid="{00000000-0005-0000-0000-00005AC80000}"/>
    <cellStyle name="链接单元格 2 10" xfId="51291" xr:uid="{00000000-0005-0000-0000-00005BC80000}"/>
    <cellStyle name="链接单元格 2 11" xfId="51292" xr:uid="{00000000-0005-0000-0000-00005CC80000}"/>
    <cellStyle name="链接单元格 2 2" xfId="51293" xr:uid="{00000000-0005-0000-0000-00005DC80000}"/>
    <cellStyle name="链接单元格 2 2 10" xfId="51294" xr:uid="{00000000-0005-0000-0000-00005EC80000}"/>
    <cellStyle name="链接单元格 2 2 11" xfId="51295" xr:uid="{00000000-0005-0000-0000-00005FC80000}"/>
    <cellStyle name="链接单元格 2 2 2" xfId="51296" xr:uid="{00000000-0005-0000-0000-000060C80000}"/>
    <cellStyle name="链接单元格 2 2 2 2" xfId="51297" xr:uid="{00000000-0005-0000-0000-000061C80000}"/>
    <cellStyle name="链接单元格 2 2 2 2 2" xfId="51298" xr:uid="{00000000-0005-0000-0000-000062C80000}"/>
    <cellStyle name="链接单元格 2 2 2 2 2 2" xfId="51299" xr:uid="{00000000-0005-0000-0000-000063C80000}"/>
    <cellStyle name="链接单元格 2 2 2 2 2 3" xfId="51300" xr:uid="{00000000-0005-0000-0000-000064C80000}"/>
    <cellStyle name="链接单元格 2 2 2 2 2 3 2" xfId="51301" xr:uid="{00000000-0005-0000-0000-000065C80000}"/>
    <cellStyle name="链接单元格 2 2 2 2 2 3 2 2" xfId="51302" xr:uid="{00000000-0005-0000-0000-000066C80000}"/>
    <cellStyle name="链接单元格 2 2 2 2 2 4" xfId="51303" xr:uid="{00000000-0005-0000-0000-000067C80000}"/>
    <cellStyle name="链接单元格 2 2 2 2 2 4 2" xfId="51304" xr:uid="{00000000-0005-0000-0000-000068C80000}"/>
    <cellStyle name="链接单元格 2 2 2 2 3" xfId="51305" xr:uid="{00000000-0005-0000-0000-000069C80000}"/>
    <cellStyle name="链接单元格 2 2 2 2 3 2" xfId="51306" xr:uid="{00000000-0005-0000-0000-00006AC80000}"/>
    <cellStyle name="链接单元格 2 2 2 2 3 2 2" xfId="51307" xr:uid="{00000000-0005-0000-0000-00006BC80000}"/>
    <cellStyle name="链接单元格 2 2 2 2 3 2 2 2" xfId="51308" xr:uid="{00000000-0005-0000-0000-00006CC80000}"/>
    <cellStyle name="链接单元格 2 2 2 2 3 3" xfId="51309" xr:uid="{00000000-0005-0000-0000-00006DC80000}"/>
    <cellStyle name="链接单元格 2 2 2 2 3 3 2" xfId="51310" xr:uid="{00000000-0005-0000-0000-00006EC80000}"/>
    <cellStyle name="链接单元格 2 2 2 2 4" xfId="51311" xr:uid="{00000000-0005-0000-0000-00006FC80000}"/>
    <cellStyle name="链接单元格 2 2 2 2 5" xfId="51312" xr:uid="{00000000-0005-0000-0000-000070C80000}"/>
    <cellStyle name="链接单元格 2 2 2 2 6" xfId="51313" xr:uid="{00000000-0005-0000-0000-000071C80000}"/>
    <cellStyle name="链接单元格 2 2 2 3" xfId="51314" xr:uid="{00000000-0005-0000-0000-000072C80000}"/>
    <cellStyle name="链接单元格 2 2 2 3 2" xfId="51315" xr:uid="{00000000-0005-0000-0000-000073C80000}"/>
    <cellStyle name="链接单元格 2 2 2 3 3" xfId="51316" xr:uid="{00000000-0005-0000-0000-000074C80000}"/>
    <cellStyle name="链接单元格 2 2 2 3 3 2" xfId="51317" xr:uid="{00000000-0005-0000-0000-000075C80000}"/>
    <cellStyle name="链接单元格 2 2 2 3 3 2 2" xfId="51318" xr:uid="{00000000-0005-0000-0000-000076C80000}"/>
    <cellStyle name="链接单元格 2 2 2 3 4" xfId="51319" xr:uid="{00000000-0005-0000-0000-000077C80000}"/>
    <cellStyle name="链接单元格 2 2 2 3 4 2" xfId="51320" xr:uid="{00000000-0005-0000-0000-000078C80000}"/>
    <cellStyle name="链接单元格 2 2 2 4" xfId="51321" xr:uid="{00000000-0005-0000-0000-000079C80000}"/>
    <cellStyle name="链接单元格 2 2 2 4 2" xfId="51322" xr:uid="{00000000-0005-0000-0000-00007AC80000}"/>
    <cellStyle name="链接单元格 2 2 2 4 2 2" xfId="51323" xr:uid="{00000000-0005-0000-0000-00007BC80000}"/>
    <cellStyle name="链接单元格 2 2 2 4 2 2 2" xfId="51324" xr:uid="{00000000-0005-0000-0000-00007CC80000}"/>
    <cellStyle name="链接单元格 2 2 2 4 3" xfId="51325" xr:uid="{00000000-0005-0000-0000-00007DC80000}"/>
    <cellStyle name="链接单元格 2 2 2 4 3 2" xfId="51326" xr:uid="{00000000-0005-0000-0000-00007EC80000}"/>
    <cellStyle name="链接单元格 2 2 2 5" xfId="51327" xr:uid="{00000000-0005-0000-0000-00007FC80000}"/>
    <cellStyle name="链接单元格 2 2 2 6" xfId="51328" xr:uid="{00000000-0005-0000-0000-000080C80000}"/>
    <cellStyle name="链接单元格 2 2 2 7" xfId="51329" xr:uid="{00000000-0005-0000-0000-000081C80000}"/>
    <cellStyle name="链接单元格 2 2 3" xfId="51330" xr:uid="{00000000-0005-0000-0000-000082C80000}"/>
    <cellStyle name="链接单元格 2 2 3 2" xfId="51331" xr:uid="{00000000-0005-0000-0000-000083C80000}"/>
    <cellStyle name="链接单元格 2 2 3 2 2" xfId="51332" xr:uid="{00000000-0005-0000-0000-000084C80000}"/>
    <cellStyle name="链接单元格 2 2 3 2 3" xfId="51333" xr:uid="{00000000-0005-0000-0000-000085C80000}"/>
    <cellStyle name="链接单元格 2 2 3 2 3 2" xfId="51334" xr:uid="{00000000-0005-0000-0000-000086C80000}"/>
    <cellStyle name="链接单元格 2 2 3 2 3 2 2" xfId="51335" xr:uid="{00000000-0005-0000-0000-000087C80000}"/>
    <cellStyle name="链接单元格 2 2 3 2 4" xfId="51336" xr:uid="{00000000-0005-0000-0000-000088C80000}"/>
    <cellStyle name="链接单元格 2 2 3 2 4 2" xfId="51337" xr:uid="{00000000-0005-0000-0000-000089C80000}"/>
    <cellStyle name="链接单元格 2 2 3 3" xfId="51338" xr:uid="{00000000-0005-0000-0000-00008AC80000}"/>
    <cellStyle name="链接单元格 2 2 3 3 2" xfId="51339" xr:uid="{00000000-0005-0000-0000-00008BC80000}"/>
    <cellStyle name="链接单元格 2 2 3 3 2 2" xfId="51340" xr:uid="{00000000-0005-0000-0000-00008CC80000}"/>
    <cellStyle name="链接单元格 2 2 3 3 2 2 2" xfId="51341" xr:uid="{00000000-0005-0000-0000-00008DC80000}"/>
    <cellStyle name="链接单元格 2 2 3 3 3" xfId="51342" xr:uid="{00000000-0005-0000-0000-00008EC80000}"/>
    <cellStyle name="链接单元格 2 2 3 3 3 2" xfId="51343" xr:uid="{00000000-0005-0000-0000-00008FC80000}"/>
    <cellStyle name="链接单元格 2 2 3 4" xfId="51344" xr:uid="{00000000-0005-0000-0000-000090C80000}"/>
    <cellStyle name="链接单元格 2 2 3 5" xfId="51345" xr:uid="{00000000-0005-0000-0000-000091C80000}"/>
    <cellStyle name="链接单元格 2 2 3 6" xfId="51346" xr:uid="{00000000-0005-0000-0000-000092C80000}"/>
    <cellStyle name="链接单元格 2 2 4" xfId="51347" xr:uid="{00000000-0005-0000-0000-000093C80000}"/>
    <cellStyle name="链接单元格 2 2 4 2" xfId="51348" xr:uid="{00000000-0005-0000-0000-000094C80000}"/>
    <cellStyle name="链接单元格 2 2 4 2 2" xfId="51349" xr:uid="{00000000-0005-0000-0000-000095C80000}"/>
    <cellStyle name="链接单元格 2 2 4 2 3" xfId="51350" xr:uid="{00000000-0005-0000-0000-000096C80000}"/>
    <cellStyle name="链接单元格 2 2 4 2 3 2" xfId="51351" xr:uid="{00000000-0005-0000-0000-000097C80000}"/>
    <cellStyle name="链接单元格 2 2 4 2 3 2 2" xfId="51352" xr:uid="{00000000-0005-0000-0000-000098C80000}"/>
    <cellStyle name="链接单元格 2 2 4 2 4" xfId="51353" xr:uid="{00000000-0005-0000-0000-000099C80000}"/>
    <cellStyle name="链接单元格 2 2 4 2 4 2" xfId="51354" xr:uid="{00000000-0005-0000-0000-00009AC80000}"/>
    <cellStyle name="链接单元格 2 2 4 3" xfId="51355" xr:uid="{00000000-0005-0000-0000-00009BC80000}"/>
    <cellStyle name="链接单元格 2 2 4 4" xfId="51356" xr:uid="{00000000-0005-0000-0000-00009CC80000}"/>
    <cellStyle name="链接单元格 2 2 4 5" xfId="51357" xr:uid="{00000000-0005-0000-0000-00009DC80000}"/>
    <cellStyle name="链接单元格 2 2 4 6" xfId="51358" xr:uid="{00000000-0005-0000-0000-00009EC80000}"/>
    <cellStyle name="链接单元格 2 2 5" xfId="51359" xr:uid="{00000000-0005-0000-0000-00009FC80000}"/>
    <cellStyle name="链接单元格 2 2 5 2" xfId="51360" xr:uid="{00000000-0005-0000-0000-0000A0C80000}"/>
    <cellStyle name="链接单元格 2 2 5 2 2" xfId="51361" xr:uid="{00000000-0005-0000-0000-0000A1C80000}"/>
    <cellStyle name="链接单元格 2 2 5 2 2 2" xfId="51362" xr:uid="{00000000-0005-0000-0000-0000A2C80000}"/>
    <cellStyle name="链接单元格 2 2 5 2 2 2 2" xfId="51363" xr:uid="{00000000-0005-0000-0000-0000A3C80000}"/>
    <cellStyle name="链接单元格 2 2 5 2 3" xfId="51364" xr:uid="{00000000-0005-0000-0000-0000A4C80000}"/>
    <cellStyle name="链接单元格 2 2 5 2 3 2" xfId="51365" xr:uid="{00000000-0005-0000-0000-0000A5C80000}"/>
    <cellStyle name="链接单元格 2 2 5 3" xfId="51366" xr:uid="{00000000-0005-0000-0000-0000A6C80000}"/>
    <cellStyle name="链接单元格 2 2 5 3 2" xfId="51367" xr:uid="{00000000-0005-0000-0000-0000A7C80000}"/>
    <cellStyle name="链接单元格 2 2 5 3 2 2" xfId="51368" xr:uid="{00000000-0005-0000-0000-0000A8C80000}"/>
    <cellStyle name="链接单元格 2 2 5 4" xfId="51369" xr:uid="{00000000-0005-0000-0000-0000A9C80000}"/>
    <cellStyle name="链接单元格 2 2 5 4 2" xfId="51370" xr:uid="{00000000-0005-0000-0000-0000AAC80000}"/>
    <cellStyle name="链接单元格 2 2 6" xfId="51371" xr:uid="{00000000-0005-0000-0000-0000ABC80000}"/>
    <cellStyle name="链接单元格 2 2 6 2" xfId="51372" xr:uid="{00000000-0005-0000-0000-0000ACC80000}"/>
    <cellStyle name="链接单元格 2 2 6 2 2" xfId="51373" xr:uid="{00000000-0005-0000-0000-0000ADC80000}"/>
    <cellStyle name="链接单元格 2 2 6 2 2 2" xfId="51374" xr:uid="{00000000-0005-0000-0000-0000AEC80000}"/>
    <cellStyle name="链接单元格 2 2 6 2 2 2 2" xfId="51375" xr:uid="{00000000-0005-0000-0000-0000AFC80000}"/>
    <cellStyle name="链接单元格 2 2 6 2 3" xfId="51376" xr:uid="{00000000-0005-0000-0000-0000B0C80000}"/>
    <cellStyle name="链接单元格 2 2 6 2 3 2" xfId="51377" xr:uid="{00000000-0005-0000-0000-0000B1C80000}"/>
    <cellStyle name="链接单元格 2 2 6 3" xfId="51378" xr:uid="{00000000-0005-0000-0000-0000B2C80000}"/>
    <cellStyle name="链接单元格 2 2 6 3 2" xfId="51379" xr:uid="{00000000-0005-0000-0000-0000B3C80000}"/>
    <cellStyle name="链接单元格 2 2 6 3 2 2" xfId="51380" xr:uid="{00000000-0005-0000-0000-0000B4C80000}"/>
    <cellStyle name="链接单元格 2 2 6 4" xfId="51381" xr:uid="{00000000-0005-0000-0000-0000B5C80000}"/>
    <cellStyle name="链接单元格 2 2 6 4 2" xfId="51382" xr:uid="{00000000-0005-0000-0000-0000B6C80000}"/>
    <cellStyle name="链接单元格 2 2 7" xfId="51383" xr:uid="{00000000-0005-0000-0000-0000B7C80000}"/>
    <cellStyle name="链接单元格 2 2 7 2" xfId="51384" xr:uid="{00000000-0005-0000-0000-0000B8C80000}"/>
    <cellStyle name="链接单元格 2 2 7 2 2" xfId="51385" xr:uid="{00000000-0005-0000-0000-0000B9C80000}"/>
    <cellStyle name="链接单元格 2 2 7 2 2 2" xfId="51386" xr:uid="{00000000-0005-0000-0000-0000BAC80000}"/>
    <cellStyle name="链接单元格 2 2 7 2 2 2 2" xfId="51387" xr:uid="{00000000-0005-0000-0000-0000BBC80000}"/>
    <cellStyle name="链接单元格 2 2 7 2 3" xfId="51388" xr:uid="{00000000-0005-0000-0000-0000BCC80000}"/>
    <cellStyle name="链接单元格 2 2 7 2 3 2" xfId="51389" xr:uid="{00000000-0005-0000-0000-0000BDC80000}"/>
    <cellStyle name="链接单元格 2 2 7 3" xfId="51390" xr:uid="{00000000-0005-0000-0000-0000BEC80000}"/>
    <cellStyle name="链接单元格 2 2 7 3 2" xfId="51391" xr:uid="{00000000-0005-0000-0000-0000BFC80000}"/>
    <cellStyle name="链接单元格 2 2 7 3 2 2" xfId="51392" xr:uid="{00000000-0005-0000-0000-0000C0C80000}"/>
    <cellStyle name="链接单元格 2 2 7 4" xfId="51393" xr:uid="{00000000-0005-0000-0000-0000C1C80000}"/>
    <cellStyle name="链接单元格 2 2 7 4 2" xfId="51394" xr:uid="{00000000-0005-0000-0000-0000C2C80000}"/>
    <cellStyle name="链接单元格 2 2 8" xfId="51395" xr:uid="{00000000-0005-0000-0000-0000C3C80000}"/>
    <cellStyle name="链接单元格 2 2 8 2" xfId="51396" xr:uid="{00000000-0005-0000-0000-0000C4C80000}"/>
    <cellStyle name="链接单元格 2 2 8 2 2" xfId="51397" xr:uid="{00000000-0005-0000-0000-0000C5C80000}"/>
    <cellStyle name="链接单元格 2 2 8 2 2 2" xfId="51398" xr:uid="{00000000-0005-0000-0000-0000C6C80000}"/>
    <cellStyle name="链接单元格 2 2 8 3" xfId="51399" xr:uid="{00000000-0005-0000-0000-0000C7C80000}"/>
    <cellStyle name="链接单元格 2 2 8 3 2" xfId="51400" xr:uid="{00000000-0005-0000-0000-0000C8C80000}"/>
    <cellStyle name="链接单元格 2 2 9" xfId="51401" xr:uid="{00000000-0005-0000-0000-0000C9C80000}"/>
    <cellStyle name="链接单元格 2 2 9 2" xfId="51402" xr:uid="{00000000-0005-0000-0000-0000CAC80000}"/>
    <cellStyle name="链接单元格 2 2 9 2 2" xfId="51403" xr:uid="{00000000-0005-0000-0000-0000CBC80000}"/>
    <cellStyle name="链接单元格 2 2 9 2 2 2" xfId="51404" xr:uid="{00000000-0005-0000-0000-0000CCC80000}"/>
    <cellStyle name="链接单元格 2 2 9 3" xfId="51405" xr:uid="{00000000-0005-0000-0000-0000CDC80000}"/>
    <cellStyle name="链接单元格 2 2 9 3 2" xfId="51406" xr:uid="{00000000-0005-0000-0000-0000CEC80000}"/>
    <cellStyle name="链接单元格 2 3" xfId="51407" xr:uid="{00000000-0005-0000-0000-0000CFC80000}"/>
    <cellStyle name="链接单元格 2 3 2" xfId="51408" xr:uid="{00000000-0005-0000-0000-0000D0C80000}"/>
    <cellStyle name="链接单元格 2 3 2 2" xfId="51409" xr:uid="{00000000-0005-0000-0000-0000D1C80000}"/>
    <cellStyle name="链接单元格 2 3 2 2 2" xfId="51410" xr:uid="{00000000-0005-0000-0000-0000D2C80000}"/>
    <cellStyle name="链接单元格 2 3 2 2 2 2" xfId="51411" xr:uid="{00000000-0005-0000-0000-0000D3C80000}"/>
    <cellStyle name="链接单元格 2 3 2 2 2 3" xfId="51412" xr:uid="{00000000-0005-0000-0000-0000D4C80000}"/>
    <cellStyle name="链接单元格 2 3 2 2 2 3 2" xfId="51413" xr:uid="{00000000-0005-0000-0000-0000D5C80000}"/>
    <cellStyle name="链接单元格 2 3 2 2 2 3 2 2" xfId="51414" xr:uid="{00000000-0005-0000-0000-0000D6C80000}"/>
    <cellStyle name="链接单元格 2 3 2 2 2 4" xfId="51415" xr:uid="{00000000-0005-0000-0000-0000D7C80000}"/>
    <cellStyle name="链接单元格 2 3 2 2 2 4 2" xfId="51416" xr:uid="{00000000-0005-0000-0000-0000D8C80000}"/>
    <cellStyle name="链接单元格 2 3 2 2 3" xfId="51417" xr:uid="{00000000-0005-0000-0000-0000D9C80000}"/>
    <cellStyle name="链接单元格 2 3 2 2 3 2" xfId="51418" xr:uid="{00000000-0005-0000-0000-0000DAC80000}"/>
    <cellStyle name="链接单元格 2 3 2 2 3 2 2" xfId="51419" xr:uid="{00000000-0005-0000-0000-0000DBC80000}"/>
    <cellStyle name="链接单元格 2 3 2 2 3 2 2 2" xfId="51420" xr:uid="{00000000-0005-0000-0000-0000DCC80000}"/>
    <cellStyle name="链接单元格 2 3 2 2 3 3" xfId="51421" xr:uid="{00000000-0005-0000-0000-0000DDC80000}"/>
    <cellStyle name="链接单元格 2 3 2 2 3 3 2" xfId="51422" xr:uid="{00000000-0005-0000-0000-0000DEC80000}"/>
    <cellStyle name="链接单元格 2 3 2 2 4" xfId="51423" xr:uid="{00000000-0005-0000-0000-0000DFC80000}"/>
    <cellStyle name="链接单元格 2 3 2 2 5" xfId="51424" xr:uid="{00000000-0005-0000-0000-0000E0C80000}"/>
    <cellStyle name="链接单元格 2 3 2 2 6" xfId="51425" xr:uid="{00000000-0005-0000-0000-0000E1C80000}"/>
    <cellStyle name="链接单元格 2 3 2 3" xfId="51426" xr:uid="{00000000-0005-0000-0000-0000E2C80000}"/>
    <cellStyle name="链接单元格 2 3 2 3 2" xfId="51427" xr:uid="{00000000-0005-0000-0000-0000E3C80000}"/>
    <cellStyle name="链接单元格 2 3 2 3 3" xfId="51428" xr:uid="{00000000-0005-0000-0000-0000E4C80000}"/>
    <cellStyle name="链接单元格 2 3 2 3 3 2" xfId="51429" xr:uid="{00000000-0005-0000-0000-0000E5C80000}"/>
    <cellStyle name="链接单元格 2 3 2 3 3 2 2" xfId="51430" xr:uid="{00000000-0005-0000-0000-0000E6C80000}"/>
    <cellStyle name="链接单元格 2 3 2 3 4" xfId="51431" xr:uid="{00000000-0005-0000-0000-0000E7C80000}"/>
    <cellStyle name="链接单元格 2 3 2 3 4 2" xfId="51432" xr:uid="{00000000-0005-0000-0000-0000E8C80000}"/>
    <cellStyle name="链接单元格 2 3 2 4" xfId="51433" xr:uid="{00000000-0005-0000-0000-0000E9C80000}"/>
    <cellStyle name="链接单元格 2 3 2 4 2" xfId="51434" xr:uid="{00000000-0005-0000-0000-0000EAC80000}"/>
    <cellStyle name="链接单元格 2 3 2 4 2 2" xfId="51435" xr:uid="{00000000-0005-0000-0000-0000EBC80000}"/>
    <cellStyle name="链接单元格 2 3 2 4 2 2 2" xfId="51436" xr:uid="{00000000-0005-0000-0000-0000ECC80000}"/>
    <cellStyle name="链接单元格 2 3 2 4 3" xfId="51437" xr:uid="{00000000-0005-0000-0000-0000EDC80000}"/>
    <cellStyle name="链接单元格 2 3 2 4 3 2" xfId="51438" xr:uid="{00000000-0005-0000-0000-0000EEC80000}"/>
    <cellStyle name="链接单元格 2 3 2 5" xfId="51439" xr:uid="{00000000-0005-0000-0000-0000EFC80000}"/>
    <cellStyle name="链接单元格 2 3 2 6" xfId="51440" xr:uid="{00000000-0005-0000-0000-0000F0C80000}"/>
    <cellStyle name="链接单元格 2 3 2 7" xfId="51441" xr:uid="{00000000-0005-0000-0000-0000F1C80000}"/>
    <cellStyle name="链接单元格 2 3 3" xfId="51442" xr:uid="{00000000-0005-0000-0000-0000F2C80000}"/>
    <cellStyle name="链接单元格 2 3 3 2" xfId="51443" xr:uid="{00000000-0005-0000-0000-0000F3C80000}"/>
    <cellStyle name="链接单元格 2 3 3 2 2" xfId="51444" xr:uid="{00000000-0005-0000-0000-0000F4C80000}"/>
    <cellStyle name="链接单元格 2 3 3 2 3" xfId="51445" xr:uid="{00000000-0005-0000-0000-0000F5C80000}"/>
    <cellStyle name="链接单元格 2 3 3 2 3 2" xfId="51446" xr:uid="{00000000-0005-0000-0000-0000F6C80000}"/>
    <cellStyle name="链接单元格 2 3 3 2 3 2 2" xfId="51447" xr:uid="{00000000-0005-0000-0000-0000F7C80000}"/>
    <cellStyle name="链接单元格 2 3 3 2 4" xfId="51448" xr:uid="{00000000-0005-0000-0000-0000F8C80000}"/>
    <cellStyle name="链接单元格 2 3 3 2 4 2" xfId="51449" xr:uid="{00000000-0005-0000-0000-0000F9C80000}"/>
    <cellStyle name="链接单元格 2 3 3 3" xfId="51450" xr:uid="{00000000-0005-0000-0000-0000FAC80000}"/>
    <cellStyle name="链接单元格 2 3 3 3 2" xfId="51451" xr:uid="{00000000-0005-0000-0000-0000FBC80000}"/>
    <cellStyle name="链接单元格 2 3 3 3 2 2" xfId="51452" xr:uid="{00000000-0005-0000-0000-0000FCC80000}"/>
    <cellStyle name="链接单元格 2 3 3 3 2 2 2" xfId="51453" xr:uid="{00000000-0005-0000-0000-0000FDC80000}"/>
    <cellStyle name="链接单元格 2 3 3 3 3" xfId="51454" xr:uid="{00000000-0005-0000-0000-0000FEC80000}"/>
    <cellStyle name="链接单元格 2 3 3 3 3 2" xfId="51455" xr:uid="{00000000-0005-0000-0000-0000FFC80000}"/>
    <cellStyle name="链接单元格 2 3 3 4" xfId="51456" xr:uid="{00000000-0005-0000-0000-000000C90000}"/>
    <cellStyle name="链接单元格 2 3 3 5" xfId="51457" xr:uid="{00000000-0005-0000-0000-000001C90000}"/>
    <cellStyle name="链接单元格 2 3 3 6" xfId="51458" xr:uid="{00000000-0005-0000-0000-000002C90000}"/>
    <cellStyle name="链接单元格 2 3 4" xfId="51459" xr:uid="{00000000-0005-0000-0000-000003C90000}"/>
    <cellStyle name="链接单元格 2 3 4 2" xfId="51460" xr:uid="{00000000-0005-0000-0000-000004C90000}"/>
    <cellStyle name="链接单元格 2 3 4 2 2" xfId="51461" xr:uid="{00000000-0005-0000-0000-000005C90000}"/>
    <cellStyle name="链接单元格 2 3 4 2 3" xfId="51462" xr:uid="{00000000-0005-0000-0000-000006C90000}"/>
    <cellStyle name="链接单元格 2 3 4 2 3 2" xfId="51463" xr:uid="{00000000-0005-0000-0000-000007C90000}"/>
    <cellStyle name="链接单元格 2 3 4 2 3 2 2" xfId="51464" xr:uid="{00000000-0005-0000-0000-000008C90000}"/>
    <cellStyle name="链接单元格 2 3 4 2 4" xfId="51465" xr:uid="{00000000-0005-0000-0000-000009C90000}"/>
    <cellStyle name="链接单元格 2 3 4 2 4 2" xfId="51466" xr:uid="{00000000-0005-0000-0000-00000AC90000}"/>
    <cellStyle name="链接单元格 2 3 4 3" xfId="51467" xr:uid="{00000000-0005-0000-0000-00000BC90000}"/>
    <cellStyle name="链接单元格 2 3 4 4" xfId="51468" xr:uid="{00000000-0005-0000-0000-00000CC90000}"/>
    <cellStyle name="链接单元格 2 3 4 5" xfId="51469" xr:uid="{00000000-0005-0000-0000-00000DC90000}"/>
    <cellStyle name="链接单元格 2 3 4 6" xfId="51470" xr:uid="{00000000-0005-0000-0000-00000EC90000}"/>
    <cellStyle name="链接单元格 2 3 5" xfId="51471" xr:uid="{00000000-0005-0000-0000-00000FC90000}"/>
    <cellStyle name="链接单元格 2 3 5 2" xfId="51472" xr:uid="{00000000-0005-0000-0000-000010C90000}"/>
    <cellStyle name="链接单元格 2 3 5 2 2" xfId="51473" xr:uid="{00000000-0005-0000-0000-000011C90000}"/>
    <cellStyle name="链接单元格 2 3 5 2 2 2" xfId="51474" xr:uid="{00000000-0005-0000-0000-000012C90000}"/>
    <cellStyle name="链接单元格 2 3 5 2 2 2 2" xfId="51475" xr:uid="{00000000-0005-0000-0000-000013C90000}"/>
    <cellStyle name="链接单元格 2 3 5 2 3" xfId="51476" xr:uid="{00000000-0005-0000-0000-000014C90000}"/>
    <cellStyle name="链接单元格 2 3 5 2 3 2" xfId="51477" xr:uid="{00000000-0005-0000-0000-000015C90000}"/>
    <cellStyle name="链接单元格 2 3 5 3" xfId="51478" xr:uid="{00000000-0005-0000-0000-000016C90000}"/>
    <cellStyle name="链接单元格 2 3 5 3 2" xfId="51479" xr:uid="{00000000-0005-0000-0000-000017C90000}"/>
    <cellStyle name="链接单元格 2 3 5 3 2 2" xfId="51480" xr:uid="{00000000-0005-0000-0000-000018C90000}"/>
    <cellStyle name="链接单元格 2 3 5 4" xfId="51481" xr:uid="{00000000-0005-0000-0000-000019C90000}"/>
    <cellStyle name="链接单元格 2 3 5 4 2" xfId="51482" xr:uid="{00000000-0005-0000-0000-00001AC90000}"/>
    <cellStyle name="链接单元格 2 3 6" xfId="51483" xr:uid="{00000000-0005-0000-0000-00001BC90000}"/>
    <cellStyle name="链接单元格 2 3 6 2" xfId="51484" xr:uid="{00000000-0005-0000-0000-00001CC90000}"/>
    <cellStyle name="链接单元格 2 3 6 2 2" xfId="51485" xr:uid="{00000000-0005-0000-0000-00001DC90000}"/>
    <cellStyle name="链接单元格 2 3 6 2 2 2" xfId="51486" xr:uid="{00000000-0005-0000-0000-00001EC90000}"/>
    <cellStyle name="链接单元格 2 3 6 3" xfId="51487" xr:uid="{00000000-0005-0000-0000-00001FC90000}"/>
    <cellStyle name="链接单元格 2 3 6 3 2" xfId="51488" xr:uid="{00000000-0005-0000-0000-000020C90000}"/>
    <cellStyle name="链接单元格 2 3 7" xfId="51489" xr:uid="{00000000-0005-0000-0000-000021C90000}"/>
    <cellStyle name="链接单元格 2 3 7 2" xfId="51490" xr:uid="{00000000-0005-0000-0000-000022C90000}"/>
    <cellStyle name="链接单元格 2 3 7 2 2" xfId="51491" xr:uid="{00000000-0005-0000-0000-000023C90000}"/>
    <cellStyle name="链接单元格 2 3 7 2 2 2" xfId="51492" xr:uid="{00000000-0005-0000-0000-000024C90000}"/>
    <cellStyle name="链接单元格 2 3 7 3" xfId="51493" xr:uid="{00000000-0005-0000-0000-000025C90000}"/>
    <cellStyle name="链接单元格 2 3 7 3 2" xfId="51494" xr:uid="{00000000-0005-0000-0000-000026C90000}"/>
    <cellStyle name="链接单元格 2 3 8" xfId="51495" xr:uid="{00000000-0005-0000-0000-000027C90000}"/>
    <cellStyle name="链接单元格 2 3 9" xfId="51496" xr:uid="{00000000-0005-0000-0000-000028C90000}"/>
    <cellStyle name="链接单元格 2 4" xfId="51497" xr:uid="{00000000-0005-0000-0000-000029C90000}"/>
    <cellStyle name="链接单元格 2 4 2" xfId="51498" xr:uid="{00000000-0005-0000-0000-00002AC90000}"/>
    <cellStyle name="链接单元格 2 4 2 2" xfId="51499" xr:uid="{00000000-0005-0000-0000-00002BC90000}"/>
    <cellStyle name="链接单元格 2 4 2 3" xfId="51500" xr:uid="{00000000-0005-0000-0000-00002CC90000}"/>
    <cellStyle name="链接单元格 2 4 2 3 2" xfId="51501" xr:uid="{00000000-0005-0000-0000-00002DC90000}"/>
    <cellStyle name="链接单元格 2 4 2 3 2 2" xfId="51502" xr:uid="{00000000-0005-0000-0000-00002EC90000}"/>
    <cellStyle name="链接单元格 2 4 2 4" xfId="51503" xr:uid="{00000000-0005-0000-0000-00002FC90000}"/>
    <cellStyle name="链接单元格 2 4 2 4 2" xfId="51504" xr:uid="{00000000-0005-0000-0000-000030C90000}"/>
    <cellStyle name="链接单元格 2 4 3" xfId="51505" xr:uid="{00000000-0005-0000-0000-000031C90000}"/>
    <cellStyle name="链接单元格 2 4 3 2" xfId="51506" xr:uid="{00000000-0005-0000-0000-000032C90000}"/>
    <cellStyle name="链接单元格 2 4 3 2 2" xfId="51507" xr:uid="{00000000-0005-0000-0000-000033C90000}"/>
    <cellStyle name="链接单元格 2 4 3 2 2 2" xfId="51508" xr:uid="{00000000-0005-0000-0000-000034C90000}"/>
    <cellStyle name="链接单元格 2 4 3 3" xfId="51509" xr:uid="{00000000-0005-0000-0000-000035C90000}"/>
    <cellStyle name="链接单元格 2 4 3 3 2" xfId="51510" xr:uid="{00000000-0005-0000-0000-000036C90000}"/>
    <cellStyle name="链接单元格 2 4 4" xfId="51511" xr:uid="{00000000-0005-0000-0000-000037C90000}"/>
    <cellStyle name="链接单元格 2 4 5" xfId="51512" xr:uid="{00000000-0005-0000-0000-000038C90000}"/>
    <cellStyle name="链接单元格 2 4 6" xfId="51513" xr:uid="{00000000-0005-0000-0000-000039C90000}"/>
    <cellStyle name="链接单元格 2 5" xfId="51514" xr:uid="{00000000-0005-0000-0000-00003AC90000}"/>
    <cellStyle name="链接单元格 2 5 2" xfId="51515" xr:uid="{00000000-0005-0000-0000-00003BC90000}"/>
    <cellStyle name="链接单元格 2 5 2 2" xfId="51516" xr:uid="{00000000-0005-0000-0000-00003CC90000}"/>
    <cellStyle name="链接单元格 2 5 2 3" xfId="51517" xr:uid="{00000000-0005-0000-0000-00003DC90000}"/>
    <cellStyle name="链接单元格 2 5 2 3 2" xfId="51518" xr:uid="{00000000-0005-0000-0000-00003EC90000}"/>
    <cellStyle name="链接单元格 2 5 2 3 2 2" xfId="51519" xr:uid="{00000000-0005-0000-0000-00003FC90000}"/>
    <cellStyle name="链接单元格 2 5 2 4" xfId="51520" xr:uid="{00000000-0005-0000-0000-000040C90000}"/>
    <cellStyle name="链接单元格 2 5 2 4 2" xfId="51521" xr:uid="{00000000-0005-0000-0000-000041C90000}"/>
    <cellStyle name="链接单元格 2 5 3" xfId="51522" xr:uid="{00000000-0005-0000-0000-000042C90000}"/>
    <cellStyle name="链接单元格 2 5 4" xfId="51523" xr:uid="{00000000-0005-0000-0000-000043C90000}"/>
    <cellStyle name="链接单元格 2 5 5" xfId="51524" xr:uid="{00000000-0005-0000-0000-000044C90000}"/>
    <cellStyle name="链接单元格 2 5 6" xfId="51525" xr:uid="{00000000-0005-0000-0000-000045C90000}"/>
    <cellStyle name="链接单元格 2 6" xfId="51526" xr:uid="{00000000-0005-0000-0000-000046C90000}"/>
    <cellStyle name="链接单元格 2 6 2" xfId="51527" xr:uid="{00000000-0005-0000-0000-000047C90000}"/>
    <cellStyle name="链接单元格 2 6 2 2" xfId="51528" xr:uid="{00000000-0005-0000-0000-000048C90000}"/>
    <cellStyle name="链接单元格 2 6 2 2 2" xfId="51529" xr:uid="{00000000-0005-0000-0000-000049C90000}"/>
    <cellStyle name="链接单元格 2 6 2 2 2 2" xfId="51530" xr:uid="{00000000-0005-0000-0000-00004AC90000}"/>
    <cellStyle name="链接单元格 2 6 2 3" xfId="51531" xr:uid="{00000000-0005-0000-0000-00004BC90000}"/>
    <cellStyle name="链接单元格 2 6 2 3 2" xfId="51532" xr:uid="{00000000-0005-0000-0000-00004CC90000}"/>
    <cellStyle name="链接单元格 2 6 3" xfId="51533" xr:uid="{00000000-0005-0000-0000-00004DC90000}"/>
    <cellStyle name="链接单元格 2 6 3 2" xfId="51534" xr:uid="{00000000-0005-0000-0000-00004EC90000}"/>
    <cellStyle name="链接单元格 2 6 3 2 2" xfId="51535" xr:uid="{00000000-0005-0000-0000-00004FC90000}"/>
    <cellStyle name="链接单元格 2 6 4" xfId="51536" xr:uid="{00000000-0005-0000-0000-000050C90000}"/>
    <cellStyle name="链接单元格 2 6 4 2" xfId="51537" xr:uid="{00000000-0005-0000-0000-000051C90000}"/>
    <cellStyle name="链接单元格 2 7" xfId="51538" xr:uid="{00000000-0005-0000-0000-000052C90000}"/>
    <cellStyle name="链接单元格 2 7 2" xfId="51539" xr:uid="{00000000-0005-0000-0000-000053C90000}"/>
    <cellStyle name="链接单元格 2 7 2 2" xfId="51540" xr:uid="{00000000-0005-0000-0000-000054C90000}"/>
    <cellStyle name="链接单元格 2 7 2 2 2" xfId="51541" xr:uid="{00000000-0005-0000-0000-000055C90000}"/>
    <cellStyle name="链接单元格 2 7 2 2 2 2" xfId="51542" xr:uid="{00000000-0005-0000-0000-000056C90000}"/>
    <cellStyle name="链接单元格 2 7 2 3" xfId="51543" xr:uid="{00000000-0005-0000-0000-000057C90000}"/>
    <cellStyle name="链接单元格 2 7 2 3 2" xfId="51544" xr:uid="{00000000-0005-0000-0000-000058C90000}"/>
    <cellStyle name="链接单元格 2 7 3" xfId="51545" xr:uid="{00000000-0005-0000-0000-000059C90000}"/>
    <cellStyle name="链接单元格 2 7 3 2" xfId="51546" xr:uid="{00000000-0005-0000-0000-00005AC90000}"/>
    <cellStyle name="链接单元格 2 7 3 2 2" xfId="51547" xr:uid="{00000000-0005-0000-0000-00005BC90000}"/>
    <cellStyle name="链接单元格 2 7 4" xfId="51548" xr:uid="{00000000-0005-0000-0000-00005CC90000}"/>
    <cellStyle name="链接单元格 2 7 4 2" xfId="51549" xr:uid="{00000000-0005-0000-0000-00005DC90000}"/>
    <cellStyle name="链接单元格 2 8" xfId="51550" xr:uid="{00000000-0005-0000-0000-00005EC90000}"/>
    <cellStyle name="链接单元格 2 8 2" xfId="51551" xr:uid="{00000000-0005-0000-0000-00005FC90000}"/>
    <cellStyle name="链接单元格 2 8 2 2" xfId="51552" xr:uid="{00000000-0005-0000-0000-000060C90000}"/>
    <cellStyle name="链接单元格 2 8 2 2 2" xfId="51553" xr:uid="{00000000-0005-0000-0000-000061C90000}"/>
    <cellStyle name="链接单元格 2 8 2 2 2 2" xfId="51554" xr:uid="{00000000-0005-0000-0000-000062C90000}"/>
    <cellStyle name="链接单元格 2 8 2 3" xfId="51555" xr:uid="{00000000-0005-0000-0000-000063C90000}"/>
    <cellStyle name="链接单元格 2 8 2 3 2" xfId="51556" xr:uid="{00000000-0005-0000-0000-000064C90000}"/>
    <cellStyle name="链接单元格 2 8 3" xfId="51557" xr:uid="{00000000-0005-0000-0000-000065C90000}"/>
    <cellStyle name="链接单元格 2 8 3 2" xfId="51558" xr:uid="{00000000-0005-0000-0000-000066C90000}"/>
    <cellStyle name="链接单元格 2 8 3 2 2" xfId="51559" xr:uid="{00000000-0005-0000-0000-000067C90000}"/>
    <cellStyle name="链接单元格 2 8 4" xfId="51560" xr:uid="{00000000-0005-0000-0000-000068C90000}"/>
    <cellStyle name="链接单元格 2 8 4 2" xfId="51561" xr:uid="{00000000-0005-0000-0000-000069C90000}"/>
    <cellStyle name="链接单元格 2 9" xfId="51562" xr:uid="{00000000-0005-0000-0000-00006AC90000}"/>
    <cellStyle name="链接单元格 2 9 2" xfId="51563" xr:uid="{00000000-0005-0000-0000-00006BC90000}"/>
    <cellStyle name="链接单元格 2 9 2 2" xfId="51564" xr:uid="{00000000-0005-0000-0000-00006CC90000}"/>
    <cellStyle name="链接单元格 2 9 2 2 2" xfId="51565" xr:uid="{00000000-0005-0000-0000-00006DC90000}"/>
    <cellStyle name="链接单元格 2 9 3" xfId="51566" xr:uid="{00000000-0005-0000-0000-00006EC90000}"/>
    <cellStyle name="链接单元格 2 9 3 2" xfId="51567" xr:uid="{00000000-0005-0000-0000-00006FC90000}"/>
    <cellStyle name="链接单元格 3" xfId="51568" xr:uid="{00000000-0005-0000-0000-000070C90000}"/>
    <cellStyle name="链接单元格 3 2" xfId="51569" xr:uid="{00000000-0005-0000-0000-000071C90000}"/>
    <cellStyle name="链接单元格 3 2 2" xfId="51570" xr:uid="{00000000-0005-0000-0000-000072C90000}"/>
    <cellStyle name="链接单元格 3 2 2 2" xfId="51571" xr:uid="{00000000-0005-0000-0000-000073C90000}"/>
    <cellStyle name="链接单元格 3 2 2 2 2" xfId="51572" xr:uid="{00000000-0005-0000-0000-000074C90000}"/>
    <cellStyle name="链接单元格 3 2 2 2 3" xfId="51573" xr:uid="{00000000-0005-0000-0000-000075C90000}"/>
    <cellStyle name="链接单元格 3 2 2 2 3 2" xfId="51574" xr:uid="{00000000-0005-0000-0000-000076C90000}"/>
    <cellStyle name="链接单元格 3 2 2 2 3 2 2" xfId="51575" xr:uid="{00000000-0005-0000-0000-000077C90000}"/>
    <cellStyle name="链接单元格 3 2 2 2 4" xfId="51576" xr:uid="{00000000-0005-0000-0000-000078C90000}"/>
    <cellStyle name="链接单元格 3 2 2 2 4 2" xfId="51577" xr:uid="{00000000-0005-0000-0000-000079C90000}"/>
    <cellStyle name="链接单元格 3 2 2 3" xfId="51578" xr:uid="{00000000-0005-0000-0000-00007AC90000}"/>
    <cellStyle name="链接单元格 3 2 2 3 2" xfId="51579" xr:uid="{00000000-0005-0000-0000-00007BC90000}"/>
    <cellStyle name="链接单元格 3 2 2 3 2 2" xfId="51580" xr:uid="{00000000-0005-0000-0000-00007CC90000}"/>
    <cellStyle name="链接单元格 3 2 2 3 2 2 2" xfId="51581" xr:uid="{00000000-0005-0000-0000-00007DC90000}"/>
    <cellStyle name="链接单元格 3 2 2 3 3" xfId="51582" xr:uid="{00000000-0005-0000-0000-00007EC90000}"/>
    <cellStyle name="链接单元格 3 2 2 3 3 2" xfId="51583" xr:uid="{00000000-0005-0000-0000-00007FC90000}"/>
    <cellStyle name="链接单元格 3 2 2 4" xfId="51584" xr:uid="{00000000-0005-0000-0000-000080C90000}"/>
    <cellStyle name="链接单元格 3 2 2 5" xfId="51585" xr:uid="{00000000-0005-0000-0000-000081C90000}"/>
    <cellStyle name="链接单元格 3 2 2 6" xfId="51586" xr:uid="{00000000-0005-0000-0000-000082C90000}"/>
    <cellStyle name="链接单元格 3 2 3" xfId="51587" xr:uid="{00000000-0005-0000-0000-000083C90000}"/>
    <cellStyle name="链接单元格 3 2 3 2" xfId="51588" xr:uid="{00000000-0005-0000-0000-000084C90000}"/>
    <cellStyle name="链接单元格 3 2 3 3" xfId="51589" xr:uid="{00000000-0005-0000-0000-000085C90000}"/>
    <cellStyle name="链接单元格 3 2 3 3 2" xfId="51590" xr:uid="{00000000-0005-0000-0000-000086C90000}"/>
    <cellStyle name="链接单元格 3 2 3 3 2 2" xfId="51591" xr:uid="{00000000-0005-0000-0000-000087C90000}"/>
    <cellStyle name="链接单元格 3 2 3 4" xfId="51592" xr:uid="{00000000-0005-0000-0000-000088C90000}"/>
    <cellStyle name="链接单元格 3 2 3 4 2" xfId="51593" xr:uid="{00000000-0005-0000-0000-000089C90000}"/>
    <cellStyle name="链接单元格 3 2 4" xfId="51594" xr:uid="{00000000-0005-0000-0000-00008AC90000}"/>
    <cellStyle name="链接单元格 3 2 4 2" xfId="51595" xr:uid="{00000000-0005-0000-0000-00008BC90000}"/>
    <cellStyle name="链接单元格 3 2 4 2 2" xfId="51596" xr:uid="{00000000-0005-0000-0000-00008CC90000}"/>
    <cellStyle name="链接单元格 3 2 4 2 2 2" xfId="51597" xr:uid="{00000000-0005-0000-0000-00008DC90000}"/>
    <cellStyle name="链接单元格 3 2 4 3" xfId="51598" xr:uid="{00000000-0005-0000-0000-00008EC90000}"/>
    <cellStyle name="链接单元格 3 2 4 3 2" xfId="51599" xr:uid="{00000000-0005-0000-0000-00008FC90000}"/>
    <cellStyle name="链接单元格 3 2 5" xfId="51600" xr:uid="{00000000-0005-0000-0000-000090C90000}"/>
    <cellStyle name="链接单元格 3 2 6" xfId="51601" xr:uid="{00000000-0005-0000-0000-000091C90000}"/>
    <cellStyle name="链接单元格 3 2 7" xfId="51602" xr:uid="{00000000-0005-0000-0000-000092C90000}"/>
    <cellStyle name="链接单元格 3 3" xfId="51603" xr:uid="{00000000-0005-0000-0000-000093C90000}"/>
    <cellStyle name="链接单元格 3 3 2" xfId="51604" xr:uid="{00000000-0005-0000-0000-000094C90000}"/>
    <cellStyle name="链接单元格 3 3 2 2" xfId="51605" xr:uid="{00000000-0005-0000-0000-000095C90000}"/>
    <cellStyle name="链接单元格 3 3 2 3" xfId="51606" xr:uid="{00000000-0005-0000-0000-000096C90000}"/>
    <cellStyle name="链接单元格 3 3 2 3 2" xfId="51607" xr:uid="{00000000-0005-0000-0000-000097C90000}"/>
    <cellStyle name="链接单元格 3 3 2 3 2 2" xfId="51608" xr:uid="{00000000-0005-0000-0000-000098C90000}"/>
    <cellStyle name="链接单元格 3 3 2 4" xfId="51609" xr:uid="{00000000-0005-0000-0000-000099C90000}"/>
    <cellStyle name="链接单元格 3 3 2 4 2" xfId="51610" xr:uid="{00000000-0005-0000-0000-00009AC90000}"/>
    <cellStyle name="链接单元格 3 3 3" xfId="51611" xr:uid="{00000000-0005-0000-0000-00009BC90000}"/>
    <cellStyle name="链接单元格 3 3 3 2" xfId="51612" xr:uid="{00000000-0005-0000-0000-00009CC90000}"/>
    <cellStyle name="链接单元格 3 3 3 2 2" xfId="51613" xr:uid="{00000000-0005-0000-0000-00009DC90000}"/>
    <cellStyle name="链接单元格 3 3 3 2 2 2" xfId="51614" xr:uid="{00000000-0005-0000-0000-00009EC90000}"/>
    <cellStyle name="链接单元格 3 3 3 3" xfId="51615" xr:uid="{00000000-0005-0000-0000-00009FC90000}"/>
    <cellStyle name="链接单元格 3 3 3 3 2" xfId="51616" xr:uid="{00000000-0005-0000-0000-0000A0C90000}"/>
    <cellStyle name="链接单元格 3 3 4" xfId="51617" xr:uid="{00000000-0005-0000-0000-0000A1C90000}"/>
    <cellStyle name="链接单元格 3 3 5" xfId="51618" xr:uid="{00000000-0005-0000-0000-0000A2C90000}"/>
    <cellStyle name="链接单元格 3 3 6" xfId="51619" xr:uid="{00000000-0005-0000-0000-0000A3C90000}"/>
    <cellStyle name="链接单元格 3 4" xfId="51620" xr:uid="{00000000-0005-0000-0000-0000A4C90000}"/>
    <cellStyle name="链接单元格 3 4 2" xfId="51621" xr:uid="{00000000-0005-0000-0000-0000A5C90000}"/>
    <cellStyle name="链接单元格 3 4 2 2" xfId="51622" xr:uid="{00000000-0005-0000-0000-0000A6C90000}"/>
    <cellStyle name="链接单元格 3 4 2 3" xfId="51623" xr:uid="{00000000-0005-0000-0000-0000A7C90000}"/>
    <cellStyle name="链接单元格 3 4 2 3 2" xfId="51624" xr:uid="{00000000-0005-0000-0000-0000A8C90000}"/>
    <cellStyle name="链接单元格 3 4 2 3 2 2" xfId="51625" xr:uid="{00000000-0005-0000-0000-0000A9C90000}"/>
    <cellStyle name="链接单元格 3 4 2 4" xfId="51626" xr:uid="{00000000-0005-0000-0000-0000AAC90000}"/>
    <cellStyle name="链接单元格 3 4 2 4 2" xfId="51627" xr:uid="{00000000-0005-0000-0000-0000ABC90000}"/>
    <cellStyle name="链接单元格 3 4 3" xfId="51628" xr:uid="{00000000-0005-0000-0000-0000ACC90000}"/>
    <cellStyle name="链接单元格 3 4 4" xfId="51629" xr:uid="{00000000-0005-0000-0000-0000ADC90000}"/>
    <cellStyle name="链接单元格 3 4 5" xfId="51630" xr:uid="{00000000-0005-0000-0000-0000AEC90000}"/>
    <cellStyle name="链接单元格 3 4 6" xfId="51631" xr:uid="{00000000-0005-0000-0000-0000AFC90000}"/>
    <cellStyle name="链接单元格 3 5" xfId="51632" xr:uid="{00000000-0005-0000-0000-0000B0C90000}"/>
    <cellStyle name="链接单元格 3 5 2" xfId="51633" xr:uid="{00000000-0005-0000-0000-0000B1C90000}"/>
    <cellStyle name="链接单元格 3 5 2 2" xfId="51634" xr:uid="{00000000-0005-0000-0000-0000B2C90000}"/>
    <cellStyle name="链接单元格 3 5 2 2 2" xfId="51635" xr:uid="{00000000-0005-0000-0000-0000B3C90000}"/>
    <cellStyle name="链接单元格 3 5 2 2 2 2" xfId="51636" xr:uid="{00000000-0005-0000-0000-0000B4C90000}"/>
    <cellStyle name="链接单元格 3 5 2 3" xfId="51637" xr:uid="{00000000-0005-0000-0000-0000B5C90000}"/>
    <cellStyle name="链接单元格 3 5 2 3 2" xfId="51638" xr:uid="{00000000-0005-0000-0000-0000B6C90000}"/>
    <cellStyle name="链接单元格 3 5 3" xfId="51639" xr:uid="{00000000-0005-0000-0000-0000B7C90000}"/>
    <cellStyle name="链接单元格 3 5 3 2" xfId="51640" xr:uid="{00000000-0005-0000-0000-0000B8C90000}"/>
    <cellStyle name="链接单元格 3 5 3 2 2" xfId="51641" xr:uid="{00000000-0005-0000-0000-0000B9C90000}"/>
    <cellStyle name="链接单元格 3 5 4" xfId="51642" xr:uid="{00000000-0005-0000-0000-0000BAC90000}"/>
    <cellStyle name="链接单元格 3 5 4 2" xfId="51643" xr:uid="{00000000-0005-0000-0000-0000BBC90000}"/>
    <cellStyle name="链接单元格 3 6" xfId="51644" xr:uid="{00000000-0005-0000-0000-0000BCC90000}"/>
    <cellStyle name="链接单元格 3 6 2" xfId="51645" xr:uid="{00000000-0005-0000-0000-0000BDC90000}"/>
    <cellStyle name="链接单元格 3 6 2 2" xfId="51646" xr:uid="{00000000-0005-0000-0000-0000BEC90000}"/>
    <cellStyle name="链接单元格 3 6 2 2 2" xfId="51647" xr:uid="{00000000-0005-0000-0000-0000BFC90000}"/>
    <cellStyle name="链接单元格 3 6 3" xfId="51648" xr:uid="{00000000-0005-0000-0000-0000C0C90000}"/>
    <cellStyle name="链接单元格 3 6 3 2" xfId="51649" xr:uid="{00000000-0005-0000-0000-0000C1C90000}"/>
    <cellStyle name="链接单元格 3 7" xfId="51650" xr:uid="{00000000-0005-0000-0000-0000C2C90000}"/>
    <cellStyle name="链接单元格 3 8" xfId="51651" xr:uid="{00000000-0005-0000-0000-0000C3C9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N143"/>
  <sheetViews>
    <sheetView tabSelected="1" topLeftCell="A4" zoomScale="70" zoomScaleNormal="70" workbookViewId="0">
      <selection activeCell="EM25" sqref="EM25"/>
    </sheetView>
  </sheetViews>
  <sheetFormatPr defaultColWidth="12.6640625" defaultRowHeight="18"/>
  <cols>
    <col min="1" max="1" width="21.5546875" style="1" customWidth="1"/>
    <col min="2" max="2" width="10.33203125" style="1" hidden="1" customWidth="1"/>
    <col min="3" max="3" width="10.5546875" style="1" hidden="1" customWidth="1"/>
    <col min="4" max="4" width="10.109375" style="1" customWidth="1"/>
    <col min="5" max="5" width="8" style="1" customWidth="1"/>
    <col min="6" max="6" width="6.44140625" style="1" customWidth="1"/>
    <col min="7" max="7" width="18.6640625" style="1" customWidth="1"/>
    <col min="8" max="8" width="23" style="1" customWidth="1"/>
    <col min="9" max="9" width="9" style="2" customWidth="1"/>
    <col min="10" max="10" width="9.33203125" style="2" customWidth="1"/>
    <col min="11" max="11" width="12.44140625" style="2" customWidth="1"/>
    <col min="12" max="12" width="13.33203125" style="2" customWidth="1"/>
    <col min="13" max="19" width="12.6640625" style="3" hidden="1" customWidth="1"/>
    <col min="20" max="20" width="17.6640625" style="3" hidden="1" customWidth="1"/>
    <col min="21" max="23" width="12.6640625" style="3" hidden="1" customWidth="1"/>
    <col min="24" max="24" width="17.5546875" style="3" hidden="1" customWidth="1"/>
    <col min="25" max="27" width="12.6640625" style="3" hidden="1" customWidth="1"/>
    <col min="28" max="28" width="29.33203125" style="3" hidden="1" customWidth="1"/>
    <col min="29" max="31" width="12.6640625" style="3" hidden="1" customWidth="1"/>
    <col min="32" max="32" width="17.6640625" style="3" hidden="1" customWidth="1"/>
    <col min="33" max="34" width="12.6640625" style="3" hidden="1" customWidth="1"/>
    <col min="35" max="35" width="12.6640625" style="1" hidden="1" customWidth="1"/>
    <col min="36" max="36" width="17.6640625" style="1" hidden="1" customWidth="1"/>
    <col min="37" max="39" width="12.6640625" style="1" hidden="1" customWidth="1"/>
    <col min="40" max="40" width="21.33203125" style="1" hidden="1" customWidth="1"/>
    <col min="41" max="43" width="12.6640625" style="1" hidden="1" customWidth="1"/>
    <col min="44" max="44" width="19.88671875" style="1" hidden="1" customWidth="1"/>
    <col min="45" max="47" width="12.6640625" style="1" hidden="1" customWidth="1"/>
    <col min="48" max="48" width="20.33203125" style="1" hidden="1" customWidth="1"/>
    <col min="49" max="51" width="12.6640625" style="1" hidden="1" customWidth="1"/>
    <col min="52" max="52" width="20.33203125" style="1" hidden="1" customWidth="1"/>
    <col min="53" max="55" width="12.6640625" style="1" hidden="1" customWidth="1"/>
    <col min="56" max="56" width="18.88671875" style="1" hidden="1" customWidth="1"/>
    <col min="57" max="57" width="15.33203125" style="1" hidden="1" customWidth="1"/>
    <col min="58" max="59" width="12.6640625" style="1" hidden="1" customWidth="1"/>
    <col min="60" max="60" width="18" style="1" hidden="1" customWidth="1"/>
    <col min="61" max="64" width="12.6640625" style="1" hidden="1" customWidth="1"/>
    <col min="65" max="65" width="14.44140625" style="1" hidden="1" customWidth="1"/>
    <col min="66" max="71" width="12.6640625" style="1" hidden="1" customWidth="1"/>
    <col min="72" max="72" width="20.109375" style="1" hidden="1" customWidth="1"/>
    <col min="73" max="81" width="12.6640625" style="1" hidden="1" customWidth="1"/>
    <col min="82" max="82" width="18.6640625" style="1" hidden="1" customWidth="1"/>
    <col min="83" max="88" width="12.6640625" style="1" hidden="1" customWidth="1"/>
    <col min="89" max="89" width="11.44140625" style="1" hidden="1" customWidth="1"/>
    <col min="90" max="121" width="12.6640625" style="1" hidden="1" customWidth="1"/>
    <col min="122" max="122" width="18.88671875" style="1" hidden="1" customWidth="1"/>
    <col min="123" max="123" width="13.109375" style="1" hidden="1" customWidth="1"/>
    <col min="124" max="124" width="19.6640625" style="1" hidden="1" customWidth="1"/>
    <col min="125" max="126" width="10.6640625" style="1" hidden="1" customWidth="1"/>
    <col min="127" max="127" width="11.6640625" style="1" hidden="1" customWidth="1"/>
    <col min="128" max="128" width="7.88671875" style="1" hidden="1" customWidth="1"/>
    <col min="129" max="139" width="10.6640625" style="1" hidden="1" customWidth="1"/>
    <col min="140" max="140" width="18.88671875" style="1" hidden="1" bestFit="1" customWidth="1"/>
    <col min="141" max="155" width="10.6640625" style="1" customWidth="1"/>
    <col min="156" max="156" width="18.88671875" style="1" bestFit="1" customWidth="1"/>
    <col min="157" max="173" width="10.6640625" style="1" customWidth="1"/>
    <col min="174" max="174" width="15.109375" style="1" customWidth="1"/>
    <col min="175" max="223" width="10.6640625" style="1" hidden="1" customWidth="1"/>
    <col min="224" max="224" width="13" style="1" hidden="1" customWidth="1"/>
    <col min="225" max="273" width="10.6640625" style="1" hidden="1" customWidth="1"/>
    <col min="274" max="274" width="13.88671875" style="1" hidden="1" customWidth="1"/>
    <col min="275" max="275" width="0" style="1" hidden="1" customWidth="1"/>
    <col min="276" max="16384" width="12.6640625" style="1"/>
  </cols>
  <sheetData>
    <row r="1" spans="1:274">
      <c r="E1" s="4" t="s">
        <v>0</v>
      </c>
      <c r="F1" s="4"/>
      <c r="G1" s="5">
        <v>46178</v>
      </c>
    </row>
    <row r="2" spans="1:274">
      <c r="A2" s="6">
        <v>11.25</v>
      </c>
      <c r="B2" s="6"/>
      <c r="C2" s="7" t="s">
        <v>1</v>
      </c>
      <c r="E2" s="6">
        <v>8.33</v>
      </c>
      <c r="F2" s="6"/>
      <c r="G2" s="7" t="s">
        <v>2</v>
      </c>
      <c r="BA2" s="8"/>
      <c r="BB2" s="8"/>
    </row>
    <row r="3" spans="1:274" ht="43.2">
      <c r="E3" s="4"/>
      <c r="F3" s="4"/>
      <c r="G3" s="7"/>
      <c r="I3" s="219" t="s">
        <v>158</v>
      </c>
      <c r="J3" s="219" t="s">
        <v>159</v>
      </c>
      <c r="K3" s="9"/>
      <c r="L3" s="9"/>
      <c r="M3" s="276" t="s">
        <v>3</v>
      </c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  <c r="AL3" s="276"/>
      <c r="AM3" s="276"/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6"/>
      <c r="BB3" s="276"/>
      <c r="BC3" s="276"/>
      <c r="BD3" s="276"/>
      <c r="BE3" s="276"/>
      <c r="BF3" s="276"/>
      <c r="BG3" s="276"/>
      <c r="BH3" s="276"/>
      <c r="BI3" s="276"/>
      <c r="BJ3" s="276"/>
      <c r="BK3" s="277" t="s">
        <v>4</v>
      </c>
      <c r="BL3" s="278"/>
      <c r="BM3" s="278"/>
      <c r="BN3" s="278"/>
      <c r="BO3" s="278"/>
      <c r="BP3" s="278"/>
      <c r="BQ3" s="278"/>
      <c r="BR3" s="278"/>
      <c r="BS3" s="278"/>
      <c r="BT3" s="278"/>
      <c r="BU3" s="278"/>
      <c r="BV3" s="278"/>
      <c r="BW3" s="278"/>
      <c r="BX3" s="278"/>
      <c r="BY3" s="278"/>
      <c r="BZ3" s="278"/>
      <c r="CA3" s="278"/>
      <c r="CB3" s="278"/>
      <c r="CC3" s="278"/>
      <c r="CD3" s="278"/>
      <c r="CE3" s="278"/>
      <c r="CF3" s="278"/>
      <c r="CG3" s="278"/>
      <c r="CH3" s="278"/>
      <c r="CI3" s="278"/>
      <c r="CJ3" s="278"/>
      <c r="CK3" s="278"/>
      <c r="CL3" s="278"/>
      <c r="CM3" s="278"/>
      <c r="CN3" s="278"/>
      <c r="CO3" s="278"/>
      <c r="CP3" s="278"/>
      <c r="CQ3" s="278"/>
      <c r="CR3" s="278"/>
      <c r="CS3" s="278"/>
      <c r="CT3" s="278"/>
      <c r="CU3" s="278"/>
      <c r="CV3" s="278"/>
      <c r="CW3" s="278"/>
      <c r="CX3" s="278"/>
      <c r="CY3" s="278"/>
      <c r="CZ3" s="278"/>
      <c r="DA3" s="278"/>
      <c r="DB3" s="278"/>
      <c r="DC3" s="278"/>
      <c r="DD3" s="278"/>
      <c r="DE3" s="278"/>
      <c r="DF3" s="278"/>
      <c r="DG3" s="278"/>
      <c r="DH3" s="278"/>
      <c r="DI3" s="278"/>
      <c r="DJ3" s="278"/>
      <c r="DK3" s="278"/>
      <c r="DL3" s="278"/>
      <c r="DM3" s="278"/>
      <c r="DN3" s="278"/>
      <c r="DO3" s="278"/>
      <c r="DP3" s="278"/>
      <c r="DQ3" s="278"/>
      <c r="DR3" s="278"/>
      <c r="DS3" s="278"/>
      <c r="DT3" s="279"/>
      <c r="DU3" s="280" t="s">
        <v>5</v>
      </c>
      <c r="DV3" s="281"/>
      <c r="DW3" s="281"/>
      <c r="DX3" s="281"/>
      <c r="DY3" s="281"/>
      <c r="DZ3" s="281"/>
      <c r="EA3" s="281"/>
      <c r="EB3" s="281"/>
      <c r="EC3" s="281"/>
      <c r="ED3" s="281"/>
      <c r="EE3" s="281"/>
      <c r="EF3" s="281"/>
      <c r="EG3" s="281"/>
      <c r="EH3" s="281"/>
      <c r="EI3" s="281"/>
      <c r="EJ3" s="281"/>
      <c r="EK3" s="281"/>
      <c r="EL3" s="281"/>
      <c r="EM3" s="281"/>
      <c r="EN3" s="281"/>
      <c r="EO3" s="281"/>
      <c r="EP3" s="281"/>
      <c r="EQ3" s="281"/>
      <c r="ER3" s="281"/>
      <c r="ES3" s="281"/>
      <c r="ET3" s="281"/>
      <c r="EU3" s="281"/>
      <c r="EV3" s="281"/>
      <c r="EW3" s="281"/>
      <c r="EX3" s="281"/>
      <c r="EY3" s="281"/>
      <c r="EZ3" s="281"/>
      <c r="FA3" s="281"/>
      <c r="FB3" s="281"/>
      <c r="FC3" s="281"/>
      <c r="FD3" s="281"/>
      <c r="FE3" s="281"/>
      <c r="FF3" s="281"/>
      <c r="FG3" s="281"/>
      <c r="FH3" s="281"/>
      <c r="FI3" s="281"/>
      <c r="FJ3" s="281"/>
      <c r="FK3" s="281"/>
      <c r="FL3" s="281"/>
      <c r="FM3" s="281"/>
      <c r="FN3" s="281"/>
      <c r="FO3" s="281"/>
      <c r="FP3" s="281"/>
      <c r="FQ3" s="281"/>
      <c r="FR3" s="282"/>
      <c r="FS3" s="283" t="s">
        <v>6</v>
      </c>
      <c r="FT3" s="284"/>
      <c r="FU3" s="284"/>
      <c r="FV3" s="284"/>
      <c r="FW3" s="284"/>
      <c r="FX3" s="284"/>
      <c r="FY3" s="284"/>
      <c r="FZ3" s="284"/>
      <c r="GA3" s="284"/>
      <c r="GB3" s="284"/>
      <c r="GC3" s="284"/>
      <c r="GD3" s="284"/>
      <c r="GE3" s="284"/>
      <c r="GF3" s="284"/>
      <c r="GG3" s="284"/>
      <c r="GH3" s="284"/>
      <c r="GI3" s="284"/>
      <c r="GJ3" s="284"/>
      <c r="GK3" s="284"/>
      <c r="GL3" s="284"/>
      <c r="GM3" s="284"/>
      <c r="GN3" s="284"/>
      <c r="GO3" s="284"/>
      <c r="GP3" s="284"/>
      <c r="GQ3" s="284"/>
      <c r="GR3" s="284"/>
      <c r="GS3" s="284"/>
      <c r="GT3" s="284"/>
      <c r="GU3" s="284"/>
      <c r="GV3" s="284"/>
      <c r="GW3" s="284"/>
      <c r="GX3" s="284"/>
      <c r="GY3" s="284"/>
      <c r="GZ3" s="284"/>
      <c r="HA3" s="284"/>
      <c r="HB3" s="284"/>
      <c r="HC3" s="284"/>
      <c r="HD3" s="284"/>
      <c r="HE3" s="284"/>
      <c r="HF3" s="284"/>
      <c r="HG3" s="284"/>
      <c r="HH3" s="284"/>
      <c r="HI3" s="284"/>
      <c r="HJ3" s="284"/>
      <c r="HK3" s="284"/>
      <c r="HL3" s="284"/>
      <c r="HM3" s="284"/>
      <c r="HN3" s="284"/>
      <c r="HO3" s="284"/>
      <c r="HP3" s="285"/>
      <c r="HQ3" s="286" t="s">
        <v>7</v>
      </c>
      <c r="HR3" s="287"/>
      <c r="HS3" s="287"/>
      <c r="HT3" s="287"/>
      <c r="HU3" s="287"/>
      <c r="HV3" s="287"/>
      <c r="HW3" s="287"/>
      <c r="HX3" s="287"/>
      <c r="HY3" s="287"/>
      <c r="HZ3" s="287"/>
      <c r="IA3" s="287"/>
      <c r="IB3" s="287"/>
      <c r="IC3" s="287"/>
      <c r="ID3" s="287"/>
      <c r="IE3" s="287"/>
      <c r="IF3" s="287"/>
      <c r="IG3" s="287"/>
      <c r="IH3" s="287"/>
      <c r="II3" s="287"/>
      <c r="IJ3" s="287"/>
      <c r="IK3" s="287"/>
      <c r="IL3" s="287"/>
      <c r="IM3" s="287"/>
      <c r="IN3" s="287"/>
      <c r="IO3" s="287"/>
      <c r="IP3" s="287"/>
      <c r="IQ3" s="287"/>
      <c r="IR3" s="287"/>
      <c r="IS3" s="287"/>
      <c r="IT3" s="287"/>
      <c r="IU3" s="287"/>
      <c r="IV3" s="287"/>
      <c r="IW3" s="287"/>
      <c r="IX3" s="287"/>
      <c r="IY3" s="287"/>
      <c r="IZ3" s="287"/>
      <c r="JA3" s="287"/>
      <c r="JB3" s="287"/>
      <c r="JC3" s="287"/>
      <c r="JD3" s="287"/>
      <c r="JE3" s="287"/>
      <c r="JF3" s="287"/>
      <c r="JG3" s="287"/>
      <c r="JH3" s="287"/>
      <c r="JI3" s="287"/>
      <c r="JJ3" s="287"/>
      <c r="JK3" s="287"/>
      <c r="JL3" s="287"/>
      <c r="JM3" s="287"/>
      <c r="JN3" s="288"/>
    </row>
    <row r="4" spans="1:274" ht="15" customHeight="1">
      <c r="A4" s="275" t="s">
        <v>8</v>
      </c>
      <c r="B4" s="275" t="s">
        <v>9</v>
      </c>
      <c r="C4" s="275" t="s">
        <v>10</v>
      </c>
      <c r="D4" s="275" t="s">
        <v>11</v>
      </c>
      <c r="E4" s="275" t="s">
        <v>12</v>
      </c>
      <c r="F4" s="271" t="s">
        <v>13</v>
      </c>
      <c r="G4" s="250" t="s">
        <v>14</v>
      </c>
      <c r="H4" s="272" t="s">
        <v>15</v>
      </c>
      <c r="I4" s="273" t="s">
        <v>16</v>
      </c>
      <c r="J4" s="273" t="s">
        <v>16</v>
      </c>
      <c r="K4" s="269" t="s">
        <v>17</v>
      </c>
      <c r="L4" s="269" t="s">
        <v>18</v>
      </c>
      <c r="M4" s="264" t="s">
        <v>19</v>
      </c>
      <c r="N4" s="265"/>
      <c r="O4" s="265"/>
      <c r="P4" s="10"/>
      <c r="Q4" s="264" t="s">
        <v>20</v>
      </c>
      <c r="R4" s="265"/>
      <c r="S4" s="265"/>
      <c r="T4" s="10"/>
      <c r="U4" s="264" t="s">
        <v>21</v>
      </c>
      <c r="V4" s="265"/>
      <c r="W4" s="265"/>
      <c r="X4" s="10"/>
      <c r="Y4" s="264" t="s">
        <v>22</v>
      </c>
      <c r="Z4" s="265"/>
      <c r="AA4" s="265"/>
      <c r="AB4" s="10"/>
      <c r="AC4" s="264" t="s">
        <v>23</v>
      </c>
      <c r="AD4" s="265"/>
      <c r="AE4" s="265"/>
      <c r="AF4" s="10"/>
      <c r="AG4" s="264" t="s">
        <v>24</v>
      </c>
      <c r="AH4" s="265"/>
      <c r="AI4" s="265"/>
      <c r="AJ4" s="10"/>
      <c r="AK4" s="264" t="s">
        <v>25</v>
      </c>
      <c r="AL4" s="265"/>
      <c r="AM4" s="265"/>
      <c r="AN4" s="10"/>
      <c r="AO4" s="264" t="s">
        <v>26</v>
      </c>
      <c r="AP4" s="265"/>
      <c r="AQ4" s="265"/>
      <c r="AR4" s="10"/>
      <c r="AS4" s="264" t="s">
        <v>27</v>
      </c>
      <c r="AT4" s="265"/>
      <c r="AU4" s="265"/>
      <c r="AV4" s="10"/>
      <c r="AW4" s="264" t="s">
        <v>28</v>
      </c>
      <c r="AX4" s="265"/>
      <c r="AY4" s="265"/>
      <c r="AZ4" s="10"/>
      <c r="BA4" s="266">
        <v>45597</v>
      </c>
      <c r="BB4" s="267"/>
      <c r="BC4" s="267"/>
      <c r="BD4" s="11"/>
      <c r="BE4" s="266">
        <v>45627</v>
      </c>
      <c r="BF4" s="267"/>
      <c r="BG4" s="267"/>
      <c r="BH4" s="11"/>
      <c r="BI4" s="268" t="s">
        <v>29</v>
      </c>
      <c r="BJ4" s="268"/>
      <c r="BK4" s="261">
        <v>45658</v>
      </c>
      <c r="BL4" s="262"/>
      <c r="BM4" s="262"/>
      <c r="BN4" s="262"/>
      <c r="BO4" s="12"/>
      <c r="BP4" s="261">
        <v>45689</v>
      </c>
      <c r="BQ4" s="262"/>
      <c r="BR4" s="262"/>
      <c r="BS4" s="262"/>
      <c r="BT4" s="12"/>
      <c r="BU4" s="261">
        <v>45717</v>
      </c>
      <c r="BV4" s="262"/>
      <c r="BW4" s="262"/>
      <c r="BX4" s="262"/>
      <c r="BY4" s="12"/>
      <c r="BZ4" s="261">
        <v>45748</v>
      </c>
      <c r="CA4" s="262"/>
      <c r="CB4" s="262"/>
      <c r="CC4" s="262"/>
      <c r="CD4" s="12"/>
      <c r="CE4" s="261">
        <v>45778</v>
      </c>
      <c r="CF4" s="262"/>
      <c r="CG4" s="262"/>
      <c r="CH4" s="262"/>
      <c r="CI4" s="12"/>
      <c r="CJ4" s="261">
        <v>45809</v>
      </c>
      <c r="CK4" s="262"/>
      <c r="CL4" s="262"/>
      <c r="CM4" s="262"/>
      <c r="CN4" s="12"/>
      <c r="CO4" s="261">
        <v>45839</v>
      </c>
      <c r="CP4" s="262"/>
      <c r="CQ4" s="262"/>
      <c r="CR4" s="262"/>
      <c r="CS4" s="12"/>
      <c r="CT4" s="261">
        <v>45870</v>
      </c>
      <c r="CU4" s="262"/>
      <c r="CV4" s="262"/>
      <c r="CW4" s="262"/>
      <c r="CX4" s="12"/>
      <c r="CY4" s="261">
        <v>45901</v>
      </c>
      <c r="CZ4" s="262"/>
      <c r="DA4" s="262"/>
      <c r="DB4" s="262"/>
      <c r="DC4" s="12"/>
      <c r="DD4" s="261">
        <v>45931</v>
      </c>
      <c r="DE4" s="262"/>
      <c r="DF4" s="262"/>
      <c r="DG4" s="262"/>
      <c r="DH4" s="12"/>
      <c r="DI4" s="261">
        <v>45962</v>
      </c>
      <c r="DJ4" s="262"/>
      <c r="DK4" s="262"/>
      <c r="DL4" s="262"/>
      <c r="DM4" s="12"/>
      <c r="DN4" s="261">
        <v>45992</v>
      </c>
      <c r="DO4" s="262"/>
      <c r="DP4" s="262"/>
      <c r="DQ4" s="262"/>
      <c r="DR4" s="12"/>
      <c r="DS4" s="263" t="s">
        <v>30</v>
      </c>
      <c r="DT4" s="263"/>
      <c r="DU4" s="259">
        <v>46023</v>
      </c>
      <c r="DV4" s="260"/>
      <c r="DW4" s="260"/>
      <c r="DX4" s="13"/>
      <c r="DY4" s="259">
        <v>46054</v>
      </c>
      <c r="DZ4" s="260"/>
      <c r="EA4" s="260"/>
      <c r="EB4" s="13"/>
      <c r="EC4" s="259">
        <v>46082</v>
      </c>
      <c r="ED4" s="260"/>
      <c r="EE4" s="260"/>
      <c r="EF4" s="13"/>
      <c r="EG4" s="259">
        <v>46113</v>
      </c>
      <c r="EH4" s="260"/>
      <c r="EI4" s="260"/>
      <c r="EJ4" s="13"/>
      <c r="EK4" s="259">
        <v>46143</v>
      </c>
      <c r="EL4" s="260"/>
      <c r="EM4" s="260"/>
      <c r="EN4" s="13"/>
      <c r="EO4" s="259">
        <v>46174</v>
      </c>
      <c r="EP4" s="260"/>
      <c r="EQ4" s="260"/>
      <c r="ER4" s="13"/>
      <c r="ES4" s="259">
        <v>46204</v>
      </c>
      <c r="ET4" s="260"/>
      <c r="EU4" s="260"/>
      <c r="EV4" s="13"/>
      <c r="EW4" s="259">
        <v>46235</v>
      </c>
      <c r="EX4" s="260"/>
      <c r="EY4" s="260"/>
      <c r="EZ4" s="13"/>
      <c r="FA4" s="259">
        <v>46266</v>
      </c>
      <c r="FB4" s="260"/>
      <c r="FC4" s="260"/>
      <c r="FD4" s="13"/>
      <c r="FE4" s="259">
        <v>46296</v>
      </c>
      <c r="FF4" s="260"/>
      <c r="FG4" s="260"/>
      <c r="FH4" s="13"/>
      <c r="FI4" s="259">
        <v>46327</v>
      </c>
      <c r="FJ4" s="260"/>
      <c r="FK4" s="260"/>
      <c r="FL4" s="13"/>
      <c r="FM4" s="259">
        <v>46357</v>
      </c>
      <c r="FN4" s="260"/>
      <c r="FO4" s="260"/>
      <c r="FP4" s="13"/>
      <c r="FQ4" s="258" t="s">
        <v>31</v>
      </c>
      <c r="FR4" s="258"/>
      <c r="FS4" s="255">
        <v>46388</v>
      </c>
      <c r="FT4" s="256"/>
      <c r="FU4" s="256"/>
      <c r="FV4" s="14"/>
      <c r="FW4" s="255">
        <v>46419</v>
      </c>
      <c r="FX4" s="256"/>
      <c r="FY4" s="256"/>
      <c r="FZ4" s="14"/>
      <c r="GA4" s="255">
        <v>46447</v>
      </c>
      <c r="GB4" s="256"/>
      <c r="GC4" s="256"/>
      <c r="GD4" s="14"/>
      <c r="GE4" s="255">
        <v>46478</v>
      </c>
      <c r="GF4" s="256"/>
      <c r="GG4" s="256"/>
      <c r="GH4" s="14"/>
      <c r="GI4" s="255">
        <v>46508</v>
      </c>
      <c r="GJ4" s="256"/>
      <c r="GK4" s="256"/>
      <c r="GL4" s="14"/>
      <c r="GM4" s="255">
        <v>46539</v>
      </c>
      <c r="GN4" s="256"/>
      <c r="GO4" s="256"/>
      <c r="GP4" s="14"/>
      <c r="GQ4" s="255">
        <v>46569</v>
      </c>
      <c r="GR4" s="256"/>
      <c r="GS4" s="256"/>
      <c r="GT4" s="14"/>
      <c r="GU4" s="255">
        <v>46600</v>
      </c>
      <c r="GV4" s="256"/>
      <c r="GW4" s="256"/>
      <c r="GX4" s="14"/>
      <c r="GY4" s="255">
        <v>46631</v>
      </c>
      <c r="GZ4" s="256"/>
      <c r="HA4" s="256"/>
      <c r="HB4" s="14"/>
      <c r="HC4" s="255">
        <v>46661</v>
      </c>
      <c r="HD4" s="256"/>
      <c r="HE4" s="256"/>
      <c r="HF4" s="14"/>
      <c r="HG4" s="255">
        <v>46692</v>
      </c>
      <c r="HH4" s="256"/>
      <c r="HI4" s="256"/>
      <c r="HJ4" s="14"/>
      <c r="HK4" s="255">
        <v>46722</v>
      </c>
      <c r="HL4" s="256"/>
      <c r="HM4" s="256"/>
      <c r="HN4" s="14"/>
      <c r="HO4" s="257" t="s">
        <v>32</v>
      </c>
      <c r="HP4" s="257"/>
      <c r="HQ4" s="245">
        <v>46753</v>
      </c>
      <c r="HR4" s="246"/>
      <c r="HS4" s="246"/>
      <c r="HT4" s="15"/>
      <c r="HU4" s="245">
        <v>46784</v>
      </c>
      <c r="HV4" s="246"/>
      <c r="HW4" s="246"/>
      <c r="HX4" s="15"/>
      <c r="HY4" s="245">
        <v>46813</v>
      </c>
      <c r="HZ4" s="246"/>
      <c r="IA4" s="246"/>
      <c r="IB4" s="15"/>
      <c r="IC4" s="245">
        <v>46844</v>
      </c>
      <c r="ID4" s="246"/>
      <c r="IE4" s="246"/>
      <c r="IF4" s="15"/>
      <c r="IG4" s="245">
        <v>46874</v>
      </c>
      <c r="IH4" s="246"/>
      <c r="II4" s="246"/>
      <c r="IJ4" s="15"/>
      <c r="IK4" s="245">
        <v>46905</v>
      </c>
      <c r="IL4" s="246"/>
      <c r="IM4" s="246"/>
      <c r="IN4" s="15"/>
      <c r="IO4" s="245">
        <v>46935</v>
      </c>
      <c r="IP4" s="246"/>
      <c r="IQ4" s="246"/>
      <c r="IR4" s="15"/>
      <c r="IS4" s="245">
        <v>46966</v>
      </c>
      <c r="IT4" s="246"/>
      <c r="IU4" s="246"/>
      <c r="IV4" s="15"/>
      <c r="IW4" s="245">
        <v>46997</v>
      </c>
      <c r="IX4" s="246"/>
      <c r="IY4" s="246"/>
      <c r="IZ4" s="15"/>
      <c r="JA4" s="245">
        <v>47027</v>
      </c>
      <c r="JB4" s="246"/>
      <c r="JC4" s="246"/>
      <c r="JD4" s="15"/>
      <c r="JE4" s="245">
        <v>47058</v>
      </c>
      <c r="JF4" s="246"/>
      <c r="JG4" s="246"/>
      <c r="JH4" s="15"/>
      <c r="JI4" s="245">
        <v>47088</v>
      </c>
      <c r="JJ4" s="246"/>
      <c r="JK4" s="246"/>
      <c r="JL4" s="15"/>
      <c r="JM4" s="247" t="s">
        <v>33</v>
      </c>
      <c r="JN4" s="247"/>
    </row>
    <row r="5" spans="1:274" ht="36">
      <c r="A5" s="275"/>
      <c r="B5" s="275"/>
      <c r="C5" s="275"/>
      <c r="D5" s="275"/>
      <c r="E5" s="275"/>
      <c r="F5" s="271"/>
      <c r="G5" s="250"/>
      <c r="H5" s="272"/>
      <c r="I5" s="274"/>
      <c r="J5" s="274"/>
      <c r="K5" s="270"/>
      <c r="L5" s="270"/>
      <c r="M5" s="16" t="s">
        <v>34</v>
      </c>
      <c r="N5" s="17" t="s">
        <v>35</v>
      </c>
      <c r="O5" s="18" t="s">
        <v>36</v>
      </c>
      <c r="P5" s="19" t="s">
        <v>37</v>
      </c>
      <c r="Q5" s="16" t="s">
        <v>34</v>
      </c>
      <c r="R5" s="17" t="s">
        <v>35</v>
      </c>
      <c r="S5" s="18" t="s">
        <v>36</v>
      </c>
      <c r="T5" s="19" t="s">
        <v>37</v>
      </c>
      <c r="U5" s="16" t="s">
        <v>34</v>
      </c>
      <c r="V5" s="17" t="s">
        <v>35</v>
      </c>
      <c r="W5" s="18" t="s">
        <v>36</v>
      </c>
      <c r="X5" s="19" t="s">
        <v>37</v>
      </c>
      <c r="Y5" s="16" t="s">
        <v>34</v>
      </c>
      <c r="Z5" s="17" t="s">
        <v>35</v>
      </c>
      <c r="AA5" s="18" t="s">
        <v>36</v>
      </c>
      <c r="AB5" s="19" t="s">
        <v>37</v>
      </c>
      <c r="AC5" s="16" t="s">
        <v>34</v>
      </c>
      <c r="AD5" s="17" t="s">
        <v>35</v>
      </c>
      <c r="AE5" s="18" t="s">
        <v>36</v>
      </c>
      <c r="AF5" s="19" t="s">
        <v>37</v>
      </c>
      <c r="AG5" s="16" t="s">
        <v>34</v>
      </c>
      <c r="AH5" s="17" t="s">
        <v>35</v>
      </c>
      <c r="AI5" s="18" t="s">
        <v>36</v>
      </c>
      <c r="AJ5" s="19" t="s">
        <v>37</v>
      </c>
      <c r="AK5" s="16" t="s">
        <v>34</v>
      </c>
      <c r="AL5" s="17" t="s">
        <v>35</v>
      </c>
      <c r="AM5" s="18" t="s">
        <v>36</v>
      </c>
      <c r="AN5" s="19" t="s">
        <v>37</v>
      </c>
      <c r="AO5" s="16" t="s">
        <v>34</v>
      </c>
      <c r="AP5" s="17" t="s">
        <v>35</v>
      </c>
      <c r="AQ5" s="18" t="s">
        <v>36</v>
      </c>
      <c r="AR5" s="19" t="s">
        <v>37</v>
      </c>
      <c r="AS5" s="16" t="s">
        <v>34</v>
      </c>
      <c r="AT5" s="17" t="s">
        <v>35</v>
      </c>
      <c r="AU5" s="18" t="s">
        <v>36</v>
      </c>
      <c r="AV5" s="19" t="s">
        <v>37</v>
      </c>
      <c r="AW5" s="16" t="s">
        <v>34</v>
      </c>
      <c r="AX5" s="17" t="s">
        <v>35</v>
      </c>
      <c r="AY5" s="18" t="s">
        <v>36</v>
      </c>
      <c r="AZ5" s="19" t="s">
        <v>37</v>
      </c>
      <c r="BA5" s="16" t="s">
        <v>34</v>
      </c>
      <c r="BB5" s="17" t="s">
        <v>35</v>
      </c>
      <c r="BC5" s="18" t="s">
        <v>36</v>
      </c>
      <c r="BD5" s="19" t="s">
        <v>37</v>
      </c>
      <c r="BE5" s="16" t="s">
        <v>34</v>
      </c>
      <c r="BF5" s="17" t="s">
        <v>35</v>
      </c>
      <c r="BG5" s="18" t="s">
        <v>36</v>
      </c>
      <c r="BH5" s="19" t="s">
        <v>37</v>
      </c>
      <c r="BI5" s="20" t="s">
        <v>34</v>
      </c>
      <c r="BJ5" s="20" t="s">
        <v>38</v>
      </c>
      <c r="BK5" s="21" t="s">
        <v>34</v>
      </c>
      <c r="BL5" s="22" t="s">
        <v>39</v>
      </c>
      <c r="BM5" s="23" t="s">
        <v>35</v>
      </c>
      <c r="BN5" s="24" t="s">
        <v>36</v>
      </c>
      <c r="BO5" s="25" t="s">
        <v>37</v>
      </c>
      <c r="BP5" s="21" t="s">
        <v>34</v>
      </c>
      <c r="BQ5" s="22" t="s">
        <v>39</v>
      </c>
      <c r="BR5" s="23" t="s">
        <v>35</v>
      </c>
      <c r="BS5" s="24" t="s">
        <v>36</v>
      </c>
      <c r="BT5" s="25" t="s">
        <v>37</v>
      </c>
      <c r="BU5" s="21" t="s">
        <v>34</v>
      </c>
      <c r="BV5" s="22" t="s">
        <v>39</v>
      </c>
      <c r="BW5" s="23" t="s">
        <v>35</v>
      </c>
      <c r="BX5" s="24" t="s">
        <v>36</v>
      </c>
      <c r="BY5" s="25" t="s">
        <v>37</v>
      </c>
      <c r="BZ5" s="21" t="s">
        <v>34</v>
      </c>
      <c r="CA5" s="22" t="s">
        <v>39</v>
      </c>
      <c r="CB5" s="23" t="s">
        <v>35</v>
      </c>
      <c r="CC5" s="24" t="s">
        <v>36</v>
      </c>
      <c r="CD5" s="25" t="s">
        <v>37</v>
      </c>
      <c r="CE5" s="21" t="s">
        <v>34</v>
      </c>
      <c r="CF5" s="22" t="s">
        <v>39</v>
      </c>
      <c r="CG5" s="23" t="s">
        <v>35</v>
      </c>
      <c r="CH5" s="24" t="s">
        <v>36</v>
      </c>
      <c r="CI5" s="25" t="s">
        <v>37</v>
      </c>
      <c r="CJ5" s="21" t="s">
        <v>34</v>
      </c>
      <c r="CK5" s="22" t="s">
        <v>39</v>
      </c>
      <c r="CL5" s="23" t="s">
        <v>35</v>
      </c>
      <c r="CM5" s="24" t="s">
        <v>36</v>
      </c>
      <c r="CN5" s="25" t="s">
        <v>37</v>
      </c>
      <c r="CO5" s="21" t="s">
        <v>34</v>
      </c>
      <c r="CP5" s="22" t="s">
        <v>39</v>
      </c>
      <c r="CQ5" s="23" t="s">
        <v>35</v>
      </c>
      <c r="CR5" s="24" t="s">
        <v>36</v>
      </c>
      <c r="CS5" s="25" t="s">
        <v>37</v>
      </c>
      <c r="CT5" s="21" t="s">
        <v>34</v>
      </c>
      <c r="CU5" s="22" t="s">
        <v>39</v>
      </c>
      <c r="CV5" s="23" t="s">
        <v>35</v>
      </c>
      <c r="CW5" s="24" t="s">
        <v>36</v>
      </c>
      <c r="CX5" s="25" t="s">
        <v>37</v>
      </c>
      <c r="CY5" s="21" t="s">
        <v>34</v>
      </c>
      <c r="CZ5" s="22" t="s">
        <v>39</v>
      </c>
      <c r="DA5" s="23" t="s">
        <v>35</v>
      </c>
      <c r="DB5" s="24" t="s">
        <v>36</v>
      </c>
      <c r="DC5" s="25" t="s">
        <v>37</v>
      </c>
      <c r="DD5" s="21" t="s">
        <v>34</v>
      </c>
      <c r="DE5" s="22" t="s">
        <v>39</v>
      </c>
      <c r="DF5" s="23" t="s">
        <v>35</v>
      </c>
      <c r="DG5" s="24" t="s">
        <v>36</v>
      </c>
      <c r="DH5" s="25" t="s">
        <v>37</v>
      </c>
      <c r="DI5" s="21" t="s">
        <v>34</v>
      </c>
      <c r="DJ5" s="22" t="s">
        <v>39</v>
      </c>
      <c r="DK5" s="23" t="s">
        <v>35</v>
      </c>
      <c r="DL5" s="24" t="s">
        <v>36</v>
      </c>
      <c r="DM5" s="25" t="s">
        <v>37</v>
      </c>
      <c r="DN5" s="21" t="s">
        <v>34</v>
      </c>
      <c r="DO5" s="22" t="s">
        <v>39</v>
      </c>
      <c r="DP5" s="23" t="s">
        <v>35</v>
      </c>
      <c r="DQ5" s="24" t="s">
        <v>36</v>
      </c>
      <c r="DR5" s="25" t="s">
        <v>37</v>
      </c>
      <c r="DS5" s="26" t="s">
        <v>34</v>
      </c>
      <c r="DT5" s="26" t="s">
        <v>38</v>
      </c>
      <c r="DU5" s="21" t="s">
        <v>34</v>
      </c>
      <c r="DV5" s="23" t="s">
        <v>35</v>
      </c>
      <c r="DW5" s="24" t="s">
        <v>36</v>
      </c>
      <c r="DX5" s="25" t="s">
        <v>37</v>
      </c>
      <c r="DY5" s="21" t="s">
        <v>34</v>
      </c>
      <c r="DZ5" s="23" t="s">
        <v>35</v>
      </c>
      <c r="EA5" s="24" t="s">
        <v>36</v>
      </c>
      <c r="EB5" s="25" t="s">
        <v>37</v>
      </c>
      <c r="EC5" s="21" t="s">
        <v>34</v>
      </c>
      <c r="ED5" s="23" t="s">
        <v>35</v>
      </c>
      <c r="EE5" s="24" t="s">
        <v>36</v>
      </c>
      <c r="EF5" s="25" t="s">
        <v>37</v>
      </c>
      <c r="EG5" s="21" t="s">
        <v>34</v>
      </c>
      <c r="EH5" s="23" t="s">
        <v>35</v>
      </c>
      <c r="EI5" s="24" t="s">
        <v>36</v>
      </c>
      <c r="EJ5" s="25" t="s">
        <v>37</v>
      </c>
      <c r="EK5" s="21" t="s">
        <v>34</v>
      </c>
      <c r="EL5" s="23" t="s">
        <v>35</v>
      </c>
      <c r="EM5" s="24" t="s">
        <v>36</v>
      </c>
      <c r="EN5" s="25" t="s">
        <v>37</v>
      </c>
      <c r="EO5" s="21" t="s">
        <v>34</v>
      </c>
      <c r="EP5" s="23" t="s">
        <v>35</v>
      </c>
      <c r="EQ5" s="24" t="s">
        <v>36</v>
      </c>
      <c r="ER5" s="25" t="s">
        <v>37</v>
      </c>
      <c r="ES5" s="21" t="s">
        <v>34</v>
      </c>
      <c r="ET5" s="23" t="s">
        <v>35</v>
      </c>
      <c r="EU5" s="24" t="s">
        <v>36</v>
      </c>
      <c r="EV5" s="25" t="s">
        <v>37</v>
      </c>
      <c r="EW5" s="21" t="s">
        <v>34</v>
      </c>
      <c r="EX5" s="23" t="s">
        <v>35</v>
      </c>
      <c r="EY5" s="24" t="s">
        <v>36</v>
      </c>
      <c r="EZ5" s="25" t="s">
        <v>37</v>
      </c>
      <c r="FA5" s="21" t="s">
        <v>34</v>
      </c>
      <c r="FB5" s="23" t="s">
        <v>35</v>
      </c>
      <c r="FC5" s="24" t="s">
        <v>36</v>
      </c>
      <c r="FD5" s="25" t="s">
        <v>37</v>
      </c>
      <c r="FE5" s="21" t="s">
        <v>34</v>
      </c>
      <c r="FF5" s="23" t="s">
        <v>35</v>
      </c>
      <c r="FG5" s="24" t="s">
        <v>36</v>
      </c>
      <c r="FH5" s="25" t="s">
        <v>37</v>
      </c>
      <c r="FI5" s="21" t="s">
        <v>34</v>
      </c>
      <c r="FJ5" s="23" t="s">
        <v>35</v>
      </c>
      <c r="FK5" s="24" t="s">
        <v>36</v>
      </c>
      <c r="FL5" s="25" t="s">
        <v>37</v>
      </c>
      <c r="FM5" s="21" t="s">
        <v>34</v>
      </c>
      <c r="FN5" s="23" t="s">
        <v>35</v>
      </c>
      <c r="FO5" s="24" t="s">
        <v>36</v>
      </c>
      <c r="FP5" s="25" t="s">
        <v>37</v>
      </c>
      <c r="FQ5" s="26" t="s">
        <v>34</v>
      </c>
      <c r="FR5" s="26" t="s">
        <v>38</v>
      </c>
      <c r="FS5" s="21" t="s">
        <v>34</v>
      </c>
      <c r="FT5" s="23" t="s">
        <v>35</v>
      </c>
      <c r="FU5" s="24" t="s">
        <v>36</v>
      </c>
      <c r="FV5" s="25" t="s">
        <v>37</v>
      </c>
      <c r="FW5" s="21" t="s">
        <v>34</v>
      </c>
      <c r="FX5" s="23" t="s">
        <v>35</v>
      </c>
      <c r="FY5" s="24" t="s">
        <v>36</v>
      </c>
      <c r="FZ5" s="25" t="s">
        <v>37</v>
      </c>
      <c r="GA5" s="21" t="s">
        <v>34</v>
      </c>
      <c r="GB5" s="23" t="s">
        <v>35</v>
      </c>
      <c r="GC5" s="24" t="s">
        <v>36</v>
      </c>
      <c r="GD5" s="25" t="s">
        <v>37</v>
      </c>
      <c r="GE5" s="21" t="s">
        <v>34</v>
      </c>
      <c r="GF5" s="23" t="s">
        <v>35</v>
      </c>
      <c r="GG5" s="24" t="s">
        <v>36</v>
      </c>
      <c r="GH5" s="25" t="s">
        <v>37</v>
      </c>
      <c r="GI5" s="21" t="s">
        <v>34</v>
      </c>
      <c r="GJ5" s="23" t="s">
        <v>35</v>
      </c>
      <c r="GK5" s="24" t="s">
        <v>36</v>
      </c>
      <c r="GL5" s="25" t="s">
        <v>37</v>
      </c>
      <c r="GM5" s="21" t="s">
        <v>34</v>
      </c>
      <c r="GN5" s="23" t="s">
        <v>35</v>
      </c>
      <c r="GO5" s="24" t="s">
        <v>36</v>
      </c>
      <c r="GP5" s="25" t="s">
        <v>37</v>
      </c>
      <c r="GQ5" s="21" t="s">
        <v>34</v>
      </c>
      <c r="GR5" s="23" t="s">
        <v>35</v>
      </c>
      <c r="GS5" s="24" t="s">
        <v>36</v>
      </c>
      <c r="GT5" s="25" t="s">
        <v>37</v>
      </c>
      <c r="GU5" s="21" t="s">
        <v>34</v>
      </c>
      <c r="GV5" s="23" t="s">
        <v>35</v>
      </c>
      <c r="GW5" s="24" t="s">
        <v>36</v>
      </c>
      <c r="GX5" s="25" t="s">
        <v>37</v>
      </c>
      <c r="GY5" s="21" t="s">
        <v>34</v>
      </c>
      <c r="GZ5" s="23" t="s">
        <v>35</v>
      </c>
      <c r="HA5" s="24" t="s">
        <v>36</v>
      </c>
      <c r="HB5" s="25" t="s">
        <v>37</v>
      </c>
      <c r="HC5" s="21" t="s">
        <v>34</v>
      </c>
      <c r="HD5" s="23" t="s">
        <v>35</v>
      </c>
      <c r="HE5" s="24" t="s">
        <v>36</v>
      </c>
      <c r="HF5" s="25" t="s">
        <v>37</v>
      </c>
      <c r="HG5" s="21" t="s">
        <v>34</v>
      </c>
      <c r="HH5" s="23" t="s">
        <v>35</v>
      </c>
      <c r="HI5" s="24" t="s">
        <v>36</v>
      </c>
      <c r="HJ5" s="25" t="s">
        <v>37</v>
      </c>
      <c r="HK5" s="21" t="s">
        <v>34</v>
      </c>
      <c r="HL5" s="23" t="s">
        <v>35</v>
      </c>
      <c r="HM5" s="24" t="s">
        <v>36</v>
      </c>
      <c r="HN5" s="25" t="s">
        <v>37</v>
      </c>
      <c r="HO5" s="26" t="s">
        <v>34</v>
      </c>
      <c r="HP5" s="26" t="s">
        <v>38</v>
      </c>
      <c r="HQ5" s="21" t="s">
        <v>34</v>
      </c>
      <c r="HR5" s="23" t="s">
        <v>35</v>
      </c>
      <c r="HS5" s="24" t="s">
        <v>36</v>
      </c>
      <c r="HT5" s="25" t="s">
        <v>37</v>
      </c>
      <c r="HU5" s="21" t="s">
        <v>34</v>
      </c>
      <c r="HV5" s="23" t="s">
        <v>35</v>
      </c>
      <c r="HW5" s="24" t="s">
        <v>36</v>
      </c>
      <c r="HX5" s="25" t="s">
        <v>37</v>
      </c>
      <c r="HY5" s="21" t="s">
        <v>34</v>
      </c>
      <c r="HZ5" s="23" t="s">
        <v>35</v>
      </c>
      <c r="IA5" s="24" t="s">
        <v>36</v>
      </c>
      <c r="IB5" s="25" t="s">
        <v>37</v>
      </c>
      <c r="IC5" s="21" t="s">
        <v>34</v>
      </c>
      <c r="ID5" s="23" t="s">
        <v>35</v>
      </c>
      <c r="IE5" s="24" t="s">
        <v>36</v>
      </c>
      <c r="IF5" s="25" t="s">
        <v>37</v>
      </c>
      <c r="IG5" s="21" t="s">
        <v>34</v>
      </c>
      <c r="IH5" s="23" t="s">
        <v>35</v>
      </c>
      <c r="II5" s="24" t="s">
        <v>36</v>
      </c>
      <c r="IJ5" s="25" t="s">
        <v>37</v>
      </c>
      <c r="IK5" s="21" t="s">
        <v>34</v>
      </c>
      <c r="IL5" s="23" t="s">
        <v>35</v>
      </c>
      <c r="IM5" s="24" t="s">
        <v>36</v>
      </c>
      <c r="IN5" s="25" t="s">
        <v>37</v>
      </c>
      <c r="IO5" s="21" t="s">
        <v>34</v>
      </c>
      <c r="IP5" s="23" t="s">
        <v>35</v>
      </c>
      <c r="IQ5" s="24" t="s">
        <v>36</v>
      </c>
      <c r="IR5" s="25" t="s">
        <v>37</v>
      </c>
      <c r="IS5" s="21" t="s">
        <v>34</v>
      </c>
      <c r="IT5" s="23" t="s">
        <v>35</v>
      </c>
      <c r="IU5" s="24" t="s">
        <v>36</v>
      </c>
      <c r="IV5" s="25" t="s">
        <v>37</v>
      </c>
      <c r="IW5" s="21" t="s">
        <v>34</v>
      </c>
      <c r="IX5" s="23" t="s">
        <v>35</v>
      </c>
      <c r="IY5" s="24" t="s">
        <v>36</v>
      </c>
      <c r="IZ5" s="25" t="s">
        <v>37</v>
      </c>
      <c r="JA5" s="21" t="s">
        <v>34</v>
      </c>
      <c r="JB5" s="23" t="s">
        <v>35</v>
      </c>
      <c r="JC5" s="24" t="s">
        <v>36</v>
      </c>
      <c r="JD5" s="25" t="s">
        <v>37</v>
      </c>
      <c r="JE5" s="21" t="s">
        <v>34</v>
      </c>
      <c r="JF5" s="23" t="s">
        <v>35</v>
      </c>
      <c r="JG5" s="24" t="s">
        <v>36</v>
      </c>
      <c r="JH5" s="25" t="s">
        <v>37</v>
      </c>
      <c r="JI5" s="21" t="s">
        <v>34</v>
      </c>
      <c r="JJ5" s="23" t="s">
        <v>35</v>
      </c>
      <c r="JK5" s="24" t="s">
        <v>36</v>
      </c>
      <c r="JL5" s="25" t="s">
        <v>37</v>
      </c>
      <c r="JM5" s="26" t="s">
        <v>34</v>
      </c>
      <c r="JN5" s="26" t="s">
        <v>38</v>
      </c>
    </row>
    <row r="6" spans="1:274" ht="18" customHeight="1">
      <c r="A6" s="248" t="s">
        <v>173</v>
      </c>
      <c r="B6" s="250" t="s">
        <v>40</v>
      </c>
      <c r="C6" s="250" t="s">
        <v>41</v>
      </c>
      <c r="D6" s="248" t="s">
        <v>42</v>
      </c>
      <c r="E6" s="36">
        <v>1</v>
      </c>
      <c r="F6" s="37"/>
      <c r="G6" s="38">
        <v>4801020640</v>
      </c>
      <c r="H6" s="39" t="s">
        <v>43</v>
      </c>
      <c r="I6" s="40">
        <v>5386</v>
      </c>
      <c r="J6" s="36"/>
      <c r="K6" s="36">
        <v>60600</v>
      </c>
      <c r="L6" s="36" t="s">
        <v>44</v>
      </c>
      <c r="M6" s="41"/>
      <c r="N6" s="42"/>
      <c r="O6" s="43"/>
      <c r="P6" s="42"/>
      <c r="Q6" s="41"/>
      <c r="R6" s="42"/>
      <c r="S6" s="43"/>
      <c r="T6" s="42"/>
      <c r="U6" s="41"/>
      <c r="V6" s="42"/>
      <c r="W6" s="43"/>
      <c r="X6" s="42"/>
      <c r="Y6" s="41"/>
      <c r="Z6" s="42"/>
      <c r="AA6" s="43"/>
      <c r="AB6" s="42"/>
      <c r="AC6" s="41"/>
      <c r="AD6" s="42"/>
      <c r="AE6" s="44"/>
      <c r="AF6" s="42"/>
      <c r="AG6" s="45"/>
      <c r="AH6" s="46"/>
      <c r="AI6" s="47"/>
      <c r="AJ6" s="252"/>
      <c r="AK6" s="45"/>
      <c r="AL6" s="49"/>
      <c r="AM6" s="47"/>
      <c r="AN6" s="50"/>
      <c r="AO6" s="45"/>
      <c r="AP6" s="42"/>
      <c r="AQ6" s="43"/>
      <c r="AR6" s="51"/>
      <c r="AS6" s="45"/>
      <c r="AT6" s="49"/>
      <c r="AU6" s="47"/>
      <c r="AV6" s="50"/>
      <c r="AW6" s="45"/>
      <c r="AX6" s="49"/>
      <c r="AY6" s="47"/>
      <c r="AZ6" s="50"/>
      <c r="BA6" s="45"/>
      <c r="BB6" s="49"/>
      <c r="BC6" s="52"/>
      <c r="BD6" s="50"/>
      <c r="BE6" s="45"/>
      <c r="BF6" s="49"/>
      <c r="BG6" s="53"/>
      <c r="BH6" s="50"/>
      <c r="BI6" s="54">
        <f t="shared" ref="BI6:BI19" si="0">M6+Q6+U6+Y6+AC6+AG6+AK6+AO6+AS6+AW6+BA6+BE6</f>
        <v>0</v>
      </c>
      <c r="BJ6" s="54">
        <f t="shared" ref="BJ6:BJ19" si="1">BI6*$I6</f>
        <v>0</v>
      </c>
      <c r="BK6" s="41">
        <v>5</v>
      </c>
      <c r="BL6" s="55">
        <f t="shared" ref="BL6:BL37" si="2">ROUND((BK6*0.9),0)</f>
        <v>5</v>
      </c>
      <c r="BM6" s="56">
        <v>5</v>
      </c>
      <c r="BN6" s="43">
        <v>20</v>
      </c>
      <c r="BO6" s="42"/>
      <c r="BP6" s="41">
        <v>5</v>
      </c>
      <c r="BQ6" s="55">
        <f t="shared" ref="BQ6:BQ37" si="3">ROUND((BP6*0.9),0)</f>
        <v>5</v>
      </c>
      <c r="BR6" s="56">
        <v>5</v>
      </c>
      <c r="BS6" s="43">
        <v>14</v>
      </c>
      <c r="BT6" s="42"/>
      <c r="BU6" s="41">
        <v>5</v>
      </c>
      <c r="BV6" s="55">
        <f t="shared" ref="BV6:BV37" si="4">ROUND((BU6*0.9),0)</f>
        <v>5</v>
      </c>
      <c r="BW6" s="56">
        <v>5</v>
      </c>
      <c r="BX6" s="43">
        <v>24</v>
      </c>
      <c r="BY6" s="42"/>
      <c r="BZ6" s="41">
        <v>5</v>
      </c>
      <c r="CA6" s="55">
        <f t="shared" ref="CA6:CA37" si="5">ROUND((BZ6*0.9),0)</f>
        <v>5</v>
      </c>
      <c r="CB6" s="56">
        <v>5</v>
      </c>
      <c r="CC6" s="43">
        <v>0</v>
      </c>
      <c r="CD6" s="42"/>
      <c r="CE6" s="41">
        <v>5</v>
      </c>
      <c r="CF6" s="55">
        <f t="shared" ref="CF6:CF37" si="6">ROUND((CE6*0.9),0)</f>
        <v>5</v>
      </c>
      <c r="CG6" s="56">
        <v>5</v>
      </c>
      <c r="CH6" s="44">
        <v>3</v>
      </c>
      <c r="CI6" s="42"/>
      <c r="CJ6" s="41">
        <v>5</v>
      </c>
      <c r="CK6" s="55">
        <f t="shared" ref="CK6:CK37" si="7">ROUND((CJ6*0.9),0)</f>
        <v>5</v>
      </c>
      <c r="CL6" s="56">
        <v>5</v>
      </c>
      <c r="CM6" s="47">
        <v>1</v>
      </c>
      <c r="CN6" s="57"/>
      <c r="CO6" s="41">
        <v>5</v>
      </c>
      <c r="CP6" s="55">
        <f t="shared" ref="CP6:CP37" si="8">ROUND((CO6*0.9),0)</f>
        <v>5</v>
      </c>
      <c r="CQ6" s="56">
        <v>5</v>
      </c>
      <c r="CR6" s="47">
        <v>8</v>
      </c>
      <c r="CS6" s="50"/>
      <c r="CT6" s="41">
        <v>5</v>
      </c>
      <c r="CU6" s="55">
        <f t="shared" ref="CU6:CU37" si="9">ROUND((CT6*0.9),0)</f>
        <v>5</v>
      </c>
      <c r="CV6" s="56">
        <v>5</v>
      </c>
      <c r="CW6" s="47">
        <v>2</v>
      </c>
      <c r="CX6" s="50"/>
      <c r="CY6" s="41">
        <v>5</v>
      </c>
      <c r="CZ6" s="55">
        <f t="shared" ref="CZ6:CZ37" si="10">ROUND((CY6*0.9),0)</f>
        <v>5</v>
      </c>
      <c r="DA6" s="56">
        <v>5</v>
      </c>
      <c r="DB6" s="47">
        <v>7</v>
      </c>
      <c r="DC6" s="50"/>
      <c r="DD6" s="41">
        <v>5</v>
      </c>
      <c r="DE6" s="55">
        <f t="shared" ref="DE6:DE37" si="11">ROUND((DD6*0.9),0)</f>
        <v>5</v>
      </c>
      <c r="DF6" s="56">
        <v>5</v>
      </c>
      <c r="DG6" s="47">
        <v>11</v>
      </c>
      <c r="DH6" s="50"/>
      <c r="DI6" s="41">
        <v>5</v>
      </c>
      <c r="DJ6" s="55">
        <f t="shared" ref="DJ6:DJ37" si="12">ROUND((DI6*0.9),0)</f>
        <v>5</v>
      </c>
      <c r="DK6" s="56">
        <v>5</v>
      </c>
      <c r="DL6" s="52">
        <v>11</v>
      </c>
      <c r="DM6" s="50"/>
      <c r="DN6" s="41">
        <v>5</v>
      </c>
      <c r="DO6" s="55">
        <f t="shared" ref="DO6:DO37" si="13">ROUND((DN6*0.9),0)</f>
        <v>5</v>
      </c>
      <c r="DP6" s="56">
        <v>5</v>
      </c>
      <c r="DQ6" s="53">
        <v>19</v>
      </c>
      <c r="DR6" s="50"/>
      <c r="DS6" s="54">
        <f t="shared" ref="DS6:DS37" si="14">BK6+BP6+BU6+BZ6+CE6+CJ6+CO6+CT6+CY6+DD6+DI6+DN6</f>
        <v>60</v>
      </c>
      <c r="DT6" s="54">
        <f t="shared" ref="DT6:DT37" si="15">DS6*$I6</f>
        <v>323160</v>
      </c>
      <c r="DU6" s="41">
        <v>9</v>
      </c>
      <c r="DV6" s="56">
        <v>4</v>
      </c>
      <c r="DW6" s="43">
        <v>11</v>
      </c>
      <c r="DX6" s="42"/>
      <c r="DY6" s="41">
        <v>9</v>
      </c>
      <c r="DZ6" s="56">
        <f>ROUNDDOWN(DY6,0)</f>
        <v>9</v>
      </c>
      <c r="EA6" s="43">
        <v>9</v>
      </c>
      <c r="EB6" s="42"/>
      <c r="EC6" s="41">
        <v>9</v>
      </c>
      <c r="ED6" s="56">
        <f t="shared" ref="ED6:ED11" si="16">ROUNDDOWN(EC6,0)</f>
        <v>9</v>
      </c>
      <c r="EE6" s="43">
        <v>9</v>
      </c>
      <c r="EF6" s="42"/>
      <c r="EG6" s="41">
        <v>9</v>
      </c>
      <c r="EH6" s="56">
        <f>ROUNDDOWN(EG6,0)</f>
        <v>9</v>
      </c>
      <c r="EI6" s="43">
        <v>8</v>
      </c>
      <c r="EJ6" s="42"/>
      <c r="EK6" s="41">
        <v>9</v>
      </c>
      <c r="EL6" s="56">
        <f t="shared" ref="EL6:EL11" si="17">ROUNDDOWN(EK6,0)</f>
        <v>9</v>
      </c>
      <c r="EM6" s="44">
        <v>13</v>
      </c>
      <c r="EN6" s="42"/>
      <c r="EO6" s="41">
        <v>9</v>
      </c>
      <c r="EP6" s="56">
        <f t="shared" ref="EP6:EP11" si="18">ROUNDDOWN(EO6,0)</f>
        <v>9</v>
      </c>
      <c r="EQ6" s="47"/>
      <c r="ER6" s="57"/>
      <c r="ES6" s="41">
        <v>9</v>
      </c>
      <c r="ET6" s="56">
        <f t="shared" ref="ET6:ET11" si="19">ROUNDDOWN(ES6,0)</f>
        <v>9</v>
      </c>
      <c r="EU6" s="47"/>
      <c r="EV6" s="50"/>
      <c r="EW6" s="41">
        <v>9</v>
      </c>
      <c r="EX6" s="56">
        <f t="shared" ref="EX6:EX11" si="20">ROUNDDOWN(EW6,0)</f>
        <v>9</v>
      </c>
      <c r="EY6" s="47"/>
      <c r="EZ6" s="50"/>
      <c r="FA6" s="41">
        <v>9</v>
      </c>
      <c r="FB6" s="56">
        <f t="shared" ref="FB6:FB11" si="21">ROUNDDOWN(FA6,0)</f>
        <v>9</v>
      </c>
      <c r="FC6" s="47"/>
      <c r="FD6" s="50"/>
      <c r="FE6" s="41">
        <v>9</v>
      </c>
      <c r="FF6" s="56">
        <f t="shared" ref="FF6:FF11" si="22">ROUNDDOWN(FE6,0)</f>
        <v>9</v>
      </c>
      <c r="FG6" s="47"/>
      <c r="FH6" s="50"/>
      <c r="FI6" s="41">
        <v>9</v>
      </c>
      <c r="FJ6" s="241">
        <f t="shared" ref="FJ6:FJ11" si="23">ROUNDDOWN(FI6,0)</f>
        <v>9</v>
      </c>
      <c r="FK6" s="52"/>
      <c r="FL6" s="50"/>
      <c r="FM6" s="41">
        <v>9</v>
      </c>
      <c r="FN6" s="241">
        <f t="shared" ref="FN6:FN11" si="24">ROUNDDOWN(FM6,0)</f>
        <v>9</v>
      </c>
      <c r="FO6" s="53"/>
      <c r="FP6" s="50"/>
      <c r="FQ6" s="54">
        <f t="shared" ref="FQ6:FQ37" si="25">DU6+DY6+EC6+EG6+EK6+EO6+ES6+EW6+FA6+FE6+FI6+FM6</f>
        <v>108</v>
      </c>
      <c r="FR6" s="54">
        <f t="shared" ref="FR6:FR37" si="26">FQ6*$I6</f>
        <v>581688</v>
      </c>
      <c r="FS6" s="58" t="e">
        <v>#REF!</v>
      </c>
      <c r="FT6" s="56" t="e">
        <f t="shared" ref="FT6:FT37" si="27">ROUNDDOWN(FS6,0)</f>
        <v>#REF!</v>
      </c>
      <c r="FU6" s="43"/>
      <c r="FV6" s="42"/>
      <c r="FW6" s="58">
        <v>5.4375</v>
      </c>
      <c r="FX6" s="56">
        <f t="shared" ref="FX6:FX37" si="28">ROUNDDOWN(FW6,0)</f>
        <v>5</v>
      </c>
      <c r="FY6" s="43"/>
      <c r="FZ6" s="42"/>
      <c r="GA6" s="59">
        <v>6.8750000000000009</v>
      </c>
      <c r="GB6" s="56">
        <f t="shared" ref="GB6:GB37" si="29">ROUNDDOWN(GA6,0)</f>
        <v>6</v>
      </c>
      <c r="GC6" s="43"/>
      <c r="GD6" s="42"/>
      <c r="GE6" s="59">
        <v>6.8750000000000009</v>
      </c>
      <c r="GF6" s="56">
        <f t="shared" ref="GF6:GF37" si="30">ROUNDDOWN(GE6,0)</f>
        <v>6</v>
      </c>
      <c r="GG6" s="43"/>
      <c r="GH6" s="42"/>
      <c r="GI6" s="59">
        <v>6.8750000000000009</v>
      </c>
      <c r="GJ6" s="56">
        <f t="shared" ref="GJ6:GJ37" si="31">ROUNDDOWN(GI6,0)</f>
        <v>6</v>
      </c>
      <c r="GK6" s="44"/>
      <c r="GL6" s="42"/>
      <c r="GM6" s="59">
        <v>6.8750000000000009</v>
      </c>
      <c r="GN6" s="56">
        <f t="shared" ref="GN6:GN37" si="32">ROUNDDOWN(GM6,0)</f>
        <v>6</v>
      </c>
      <c r="GO6" s="47"/>
      <c r="GP6" s="57"/>
      <c r="GQ6" s="59">
        <v>6.8750000000000009</v>
      </c>
      <c r="GR6" s="56">
        <f t="shared" ref="GR6:GR37" si="33">ROUNDDOWN(GQ6,0)</f>
        <v>6</v>
      </c>
      <c r="GS6" s="47"/>
      <c r="GT6" s="50"/>
      <c r="GU6" s="59">
        <v>6.8750000000000009</v>
      </c>
      <c r="GV6" s="56">
        <f t="shared" ref="GV6:GV37" si="34">ROUNDDOWN(GU6,0)</f>
        <v>6</v>
      </c>
      <c r="GW6" s="47"/>
      <c r="GX6" s="50"/>
      <c r="GY6" s="59">
        <v>6.8750000000000009</v>
      </c>
      <c r="GZ6" s="56">
        <f t="shared" ref="GZ6:GZ37" si="35">ROUNDDOWN(GY6,0)</f>
        <v>6</v>
      </c>
      <c r="HA6" s="47"/>
      <c r="HB6" s="50"/>
      <c r="HC6" s="59">
        <v>6.8750000000000009</v>
      </c>
      <c r="HD6" s="56">
        <f t="shared" ref="HD6:HD37" si="36">ROUNDDOWN(HC6,0)</f>
        <v>6</v>
      </c>
      <c r="HE6" s="47"/>
      <c r="HF6" s="50"/>
      <c r="HG6" s="59">
        <v>6.8750000000000009</v>
      </c>
      <c r="HH6" s="56">
        <f t="shared" ref="HH6:HH37" si="37">ROUNDDOWN(HG6,0)</f>
        <v>6</v>
      </c>
      <c r="HI6" s="52"/>
      <c r="HJ6" s="50"/>
      <c r="HK6" s="59">
        <v>6.8750000000000009</v>
      </c>
      <c r="HL6" s="56">
        <f t="shared" ref="HL6:HL37" si="38">ROUNDDOWN(HK6,0)</f>
        <v>6</v>
      </c>
      <c r="HM6" s="53"/>
      <c r="HN6" s="50"/>
      <c r="HO6" s="54" t="e">
        <f t="shared" ref="HO6:HO37" si="39">FS6+FW6+GA6+GE6+GI6+GM6+GQ6+GU6+GY6+HC6+HG6+HK6</f>
        <v>#REF!</v>
      </c>
      <c r="HP6" s="54" t="e">
        <f t="shared" ref="HP6:HP37" si="40">HO6*$I6</f>
        <v>#REF!</v>
      </c>
      <c r="HQ6" s="59">
        <v>6.8750000000000009</v>
      </c>
      <c r="HR6" s="56">
        <f t="shared" ref="HR6:HR37" si="41">ROUNDDOWN(HQ6,0)</f>
        <v>6</v>
      </c>
      <c r="HS6" s="43"/>
      <c r="HT6" s="42"/>
      <c r="HU6" s="59">
        <v>6.8750000000000009</v>
      </c>
      <c r="HV6" s="56">
        <f t="shared" ref="HV6:HV37" si="42">ROUNDDOWN(HU6,0)</f>
        <v>6</v>
      </c>
      <c r="HW6" s="43"/>
      <c r="HX6" s="42"/>
      <c r="HY6" s="59">
        <v>6.8750000000000009</v>
      </c>
      <c r="HZ6" s="56">
        <f t="shared" ref="HZ6:HZ37" si="43">ROUNDDOWN(HY6,0)</f>
        <v>6</v>
      </c>
      <c r="IA6" s="43"/>
      <c r="IB6" s="42"/>
      <c r="IC6" s="59">
        <v>6.8750000000000009</v>
      </c>
      <c r="ID6" s="56">
        <f t="shared" ref="ID6:ID37" si="44">ROUNDDOWN(IC6,0)</f>
        <v>6</v>
      </c>
      <c r="IE6" s="43"/>
      <c r="IF6" s="42"/>
      <c r="IG6" s="59">
        <v>6.8750000000000009</v>
      </c>
      <c r="IH6" s="56">
        <f t="shared" ref="IH6:IH37" si="45">ROUNDDOWN(IG6,0)</f>
        <v>6</v>
      </c>
      <c r="II6" s="44"/>
      <c r="IJ6" s="42"/>
      <c r="IK6" s="59">
        <v>6.8750000000000009</v>
      </c>
      <c r="IL6" s="56">
        <f t="shared" ref="IL6:IL37" si="46">ROUNDDOWN(IK6,0)</f>
        <v>6</v>
      </c>
      <c r="IM6" s="47"/>
      <c r="IN6" s="57"/>
      <c r="IO6" s="59">
        <v>6.8750000000000009</v>
      </c>
      <c r="IP6" s="56">
        <f t="shared" ref="IP6:IP37" si="47">ROUNDDOWN(IO6,0)</f>
        <v>6</v>
      </c>
      <c r="IQ6" s="47"/>
      <c r="IR6" s="50"/>
      <c r="IS6" s="59">
        <v>6.8750000000000009</v>
      </c>
      <c r="IT6" s="56">
        <f t="shared" ref="IT6:IT37" si="48">ROUNDDOWN(IS6,0)</f>
        <v>6</v>
      </c>
      <c r="IU6" s="47"/>
      <c r="IV6" s="50"/>
      <c r="IW6" s="59">
        <v>6.8750000000000009</v>
      </c>
      <c r="IX6" s="56">
        <f t="shared" ref="IX6:IX37" si="49">ROUNDDOWN(IW6,0)</f>
        <v>6</v>
      </c>
      <c r="IY6" s="47"/>
      <c r="IZ6" s="50"/>
      <c r="JA6" s="59">
        <v>6.8750000000000009</v>
      </c>
      <c r="JB6" s="56">
        <f t="shared" ref="JB6:JB37" si="50">ROUNDDOWN(JA6,0)</f>
        <v>6</v>
      </c>
      <c r="JC6" s="47"/>
      <c r="JD6" s="50"/>
      <c r="JE6" s="59">
        <v>6.8750000000000009</v>
      </c>
      <c r="JF6" s="56">
        <f t="shared" ref="JF6:JF37" si="51">ROUNDDOWN(JE6,0)</f>
        <v>6</v>
      </c>
      <c r="JG6" s="52"/>
      <c r="JH6" s="50"/>
      <c r="JI6" s="59">
        <v>6.8750000000000009</v>
      </c>
      <c r="JJ6" s="56">
        <f t="shared" ref="JJ6:JJ37" si="52">ROUNDDOWN(JI6,0)</f>
        <v>6</v>
      </c>
      <c r="JK6" s="53"/>
      <c r="JL6" s="50"/>
      <c r="JM6" s="54">
        <f t="shared" ref="JM6:JM37" si="53">HQ6+HU6+HY6+IC6+IG6+IK6+IO6+IS6+IW6+JA6+JE6+JI6</f>
        <v>82.500000000000014</v>
      </c>
      <c r="JN6" s="54">
        <f t="shared" ref="JN6:JN37" si="54">JM6*$I6</f>
        <v>444345.00000000006</v>
      </c>
    </row>
    <row r="7" spans="1:274">
      <c r="A7" s="249"/>
      <c r="B7" s="250"/>
      <c r="C7" s="250"/>
      <c r="D7" s="249"/>
      <c r="E7" s="36">
        <v>2</v>
      </c>
      <c r="F7" s="37"/>
      <c r="G7" s="38" t="s">
        <v>45</v>
      </c>
      <c r="H7" s="61" t="s">
        <v>46</v>
      </c>
      <c r="I7" s="40">
        <v>2222</v>
      </c>
      <c r="J7" s="36"/>
      <c r="K7" s="36">
        <v>25000</v>
      </c>
      <c r="L7" s="36" t="s">
        <v>44</v>
      </c>
      <c r="M7" s="41"/>
      <c r="N7" s="42"/>
      <c r="O7" s="43"/>
      <c r="P7" s="42"/>
      <c r="Q7" s="41"/>
      <c r="R7" s="42"/>
      <c r="S7" s="43"/>
      <c r="T7" s="42"/>
      <c r="U7" s="41"/>
      <c r="V7" s="42"/>
      <c r="W7" s="43"/>
      <c r="X7" s="42"/>
      <c r="Y7" s="41"/>
      <c r="Z7" s="42"/>
      <c r="AA7" s="43"/>
      <c r="AB7" s="42"/>
      <c r="AC7" s="41"/>
      <c r="AD7" s="42"/>
      <c r="AE7" s="44"/>
      <c r="AF7" s="42"/>
      <c r="AG7" s="41"/>
      <c r="AH7" s="46"/>
      <c r="AI7" s="44"/>
      <c r="AJ7" s="253"/>
      <c r="AK7" s="41"/>
      <c r="AL7" s="42"/>
      <c r="AM7" s="47"/>
      <c r="AN7" s="63"/>
      <c r="AO7" s="41"/>
      <c r="AP7" s="42"/>
      <c r="AQ7" s="43"/>
      <c r="AR7" s="64"/>
      <c r="AS7" s="41"/>
      <c r="AT7" s="42"/>
      <c r="AU7" s="44"/>
      <c r="AV7" s="63"/>
      <c r="AW7" s="41"/>
      <c r="AX7" s="42"/>
      <c r="AY7" s="44"/>
      <c r="AZ7" s="63"/>
      <c r="BA7" s="41"/>
      <c r="BB7" s="42"/>
      <c r="BC7" s="65"/>
      <c r="BD7" s="63"/>
      <c r="BE7" s="41"/>
      <c r="BF7" s="42"/>
      <c r="BG7" s="66"/>
      <c r="BH7" s="63"/>
      <c r="BI7" s="54">
        <f t="shared" si="0"/>
        <v>0</v>
      </c>
      <c r="BJ7" s="54">
        <f t="shared" si="1"/>
        <v>0</v>
      </c>
      <c r="BK7" s="41">
        <v>15</v>
      </c>
      <c r="BL7" s="55">
        <f t="shared" si="2"/>
        <v>14</v>
      </c>
      <c r="BM7" s="56">
        <v>15</v>
      </c>
      <c r="BN7" s="43">
        <v>40</v>
      </c>
      <c r="BO7" s="42"/>
      <c r="BP7" s="41">
        <v>20</v>
      </c>
      <c r="BQ7" s="55">
        <f t="shared" si="3"/>
        <v>18</v>
      </c>
      <c r="BR7" s="56">
        <v>20</v>
      </c>
      <c r="BS7" s="43">
        <v>2</v>
      </c>
      <c r="BT7" s="42"/>
      <c r="BU7" s="41">
        <v>25</v>
      </c>
      <c r="BV7" s="55">
        <f t="shared" si="4"/>
        <v>23</v>
      </c>
      <c r="BW7" s="56">
        <v>25</v>
      </c>
      <c r="BX7" s="43">
        <v>32</v>
      </c>
      <c r="BY7" s="42"/>
      <c r="BZ7" s="41">
        <v>25</v>
      </c>
      <c r="CA7" s="55">
        <f t="shared" si="5"/>
        <v>23</v>
      </c>
      <c r="CB7" s="56">
        <v>25</v>
      </c>
      <c r="CC7" s="43">
        <v>27</v>
      </c>
      <c r="CD7" s="42"/>
      <c r="CE7" s="41">
        <v>25</v>
      </c>
      <c r="CF7" s="55">
        <f t="shared" si="6"/>
        <v>23</v>
      </c>
      <c r="CG7" s="56">
        <v>25</v>
      </c>
      <c r="CH7" s="44">
        <v>10</v>
      </c>
      <c r="CI7" s="42"/>
      <c r="CJ7" s="41">
        <v>25</v>
      </c>
      <c r="CK7" s="55">
        <f t="shared" si="7"/>
        <v>23</v>
      </c>
      <c r="CL7" s="56">
        <v>25</v>
      </c>
      <c r="CM7" s="44"/>
      <c r="CN7" s="57"/>
      <c r="CO7" s="41">
        <v>25</v>
      </c>
      <c r="CP7" s="55">
        <f t="shared" si="8"/>
        <v>23</v>
      </c>
      <c r="CQ7" s="56">
        <v>25</v>
      </c>
      <c r="CR7" s="44">
        <v>30</v>
      </c>
      <c r="CS7" s="63"/>
      <c r="CT7" s="41">
        <v>25</v>
      </c>
      <c r="CU7" s="55">
        <f t="shared" si="9"/>
        <v>23</v>
      </c>
      <c r="CV7" s="56">
        <v>25</v>
      </c>
      <c r="CW7" s="44">
        <v>12</v>
      </c>
      <c r="CX7" s="63"/>
      <c r="CY7" s="41">
        <v>25</v>
      </c>
      <c r="CZ7" s="55">
        <f t="shared" si="10"/>
        <v>23</v>
      </c>
      <c r="DA7" s="56">
        <v>25</v>
      </c>
      <c r="DB7" s="44">
        <v>20</v>
      </c>
      <c r="DC7" s="63"/>
      <c r="DD7" s="41">
        <v>25</v>
      </c>
      <c r="DE7" s="55">
        <f t="shared" si="11"/>
        <v>23</v>
      </c>
      <c r="DF7" s="56">
        <v>25</v>
      </c>
      <c r="DG7" s="44">
        <v>16</v>
      </c>
      <c r="DH7" s="63"/>
      <c r="DI7" s="41">
        <v>25</v>
      </c>
      <c r="DJ7" s="55">
        <f t="shared" si="12"/>
        <v>23</v>
      </c>
      <c r="DK7" s="56">
        <v>25</v>
      </c>
      <c r="DL7" s="65">
        <v>7</v>
      </c>
      <c r="DM7" s="63"/>
      <c r="DN7" s="41">
        <v>25</v>
      </c>
      <c r="DO7" s="55">
        <f t="shared" si="13"/>
        <v>23</v>
      </c>
      <c r="DP7" s="56">
        <v>25</v>
      </c>
      <c r="DQ7" s="66">
        <v>23</v>
      </c>
      <c r="DR7" s="63"/>
      <c r="DS7" s="54">
        <f t="shared" si="14"/>
        <v>285</v>
      </c>
      <c r="DT7" s="54">
        <f t="shared" si="15"/>
        <v>633270</v>
      </c>
      <c r="DU7" s="41">
        <v>18</v>
      </c>
      <c r="DV7" s="56">
        <v>10</v>
      </c>
      <c r="DW7" s="43">
        <v>3</v>
      </c>
      <c r="DX7" s="42"/>
      <c r="DY7" s="41">
        <v>18</v>
      </c>
      <c r="DZ7" s="56">
        <v>13</v>
      </c>
      <c r="EA7" s="43">
        <v>20</v>
      </c>
      <c r="EB7" s="42"/>
      <c r="EC7" s="41">
        <v>18</v>
      </c>
      <c r="ED7" s="56">
        <f t="shared" si="16"/>
        <v>18</v>
      </c>
      <c r="EE7" s="43">
        <v>14</v>
      </c>
      <c r="EF7" s="42"/>
      <c r="EG7" s="41">
        <v>18</v>
      </c>
      <c r="EH7" s="56">
        <f>ROUNDDOWN(EG7,0)</f>
        <v>18</v>
      </c>
      <c r="EI7" s="43">
        <v>35</v>
      </c>
      <c r="EJ7" s="42"/>
      <c r="EK7" s="41">
        <v>18</v>
      </c>
      <c r="EL7" s="56">
        <f t="shared" si="17"/>
        <v>18</v>
      </c>
      <c r="EM7" s="44">
        <v>12</v>
      </c>
      <c r="EN7" s="42"/>
      <c r="EO7" s="41">
        <v>18</v>
      </c>
      <c r="EP7" s="56">
        <f t="shared" si="18"/>
        <v>18</v>
      </c>
      <c r="EQ7" s="44"/>
      <c r="ER7" s="57"/>
      <c r="ES7" s="41">
        <v>18</v>
      </c>
      <c r="ET7" s="56">
        <f t="shared" si="19"/>
        <v>18</v>
      </c>
      <c r="EU7" s="44"/>
      <c r="EV7" s="63"/>
      <c r="EW7" s="41">
        <v>18</v>
      </c>
      <c r="EX7" s="56">
        <f t="shared" si="20"/>
        <v>18</v>
      </c>
      <c r="EY7" s="44"/>
      <c r="EZ7" s="63"/>
      <c r="FA7" s="41">
        <v>18</v>
      </c>
      <c r="FB7" s="56">
        <f t="shared" si="21"/>
        <v>18</v>
      </c>
      <c r="FC7" s="44"/>
      <c r="FD7" s="63"/>
      <c r="FE7" s="41">
        <v>18</v>
      </c>
      <c r="FF7" s="56">
        <f t="shared" si="22"/>
        <v>18</v>
      </c>
      <c r="FG7" s="44"/>
      <c r="FH7" s="63"/>
      <c r="FI7" s="41">
        <v>18</v>
      </c>
      <c r="FJ7" s="241">
        <f t="shared" si="23"/>
        <v>18</v>
      </c>
      <c r="FK7" s="65"/>
      <c r="FL7" s="63"/>
      <c r="FM7" s="41">
        <v>18</v>
      </c>
      <c r="FN7" s="241">
        <f t="shared" si="24"/>
        <v>18</v>
      </c>
      <c r="FO7" s="66"/>
      <c r="FP7" s="63"/>
      <c r="FQ7" s="54">
        <f t="shared" si="25"/>
        <v>216</v>
      </c>
      <c r="FR7" s="54">
        <f t="shared" si="26"/>
        <v>479952</v>
      </c>
      <c r="FS7" s="58" t="e">
        <v>#REF!</v>
      </c>
      <c r="FT7" s="56" t="e">
        <f t="shared" si="27"/>
        <v>#REF!</v>
      </c>
      <c r="FU7" s="43"/>
      <c r="FV7" s="42"/>
      <c r="FW7" s="58">
        <v>16.3125</v>
      </c>
      <c r="FX7" s="56">
        <f t="shared" si="28"/>
        <v>16</v>
      </c>
      <c r="FY7" s="43"/>
      <c r="FZ7" s="42"/>
      <c r="GA7" s="59">
        <v>20.625</v>
      </c>
      <c r="GB7" s="56">
        <f t="shared" si="29"/>
        <v>20</v>
      </c>
      <c r="GC7" s="43"/>
      <c r="GD7" s="42"/>
      <c r="GE7" s="59">
        <v>20.625</v>
      </c>
      <c r="GF7" s="56">
        <f t="shared" si="30"/>
        <v>20</v>
      </c>
      <c r="GG7" s="43"/>
      <c r="GH7" s="42"/>
      <c r="GI7" s="59">
        <v>20.625</v>
      </c>
      <c r="GJ7" s="56">
        <f t="shared" si="31"/>
        <v>20</v>
      </c>
      <c r="GK7" s="44"/>
      <c r="GL7" s="42"/>
      <c r="GM7" s="59">
        <v>20.625</v>
      </c>
      <c r="GN7" s="56">
        <f t="shared" si="32"/>
        <v>20</v>
      </c>
      <c r="GO7" s="44"/>
      <c r="GP7" s="57"/>
      <c r="GQ7" s="59">
        <v>20.625</v>
      </c>
      <c r="GR7" s="56">
        <f t="shared" si="33"/>
        <v>20</v>
      </c>
      <c r="GS7" s="44"/>
      <c r="GT7" s="63"/>
      <c r="GU7" s="59">
        <v>20.625</v>
      </c>
      <c r="GV7" s="56">
        <f t="shared" si="34"/>
        <v>20</v>
      </c>
      <c r="GW7" s="44"/>
      <c r="GX7" s="63"/>
      <c r="GY7" s="59">
        <v>20.625</v>
      </c>
      <c r="GZ7" s="56">
        <f t="shared" si="35"/>
        <v>20</v>
      </c>
      <c r="HA7" s="44"/>
      <c r="HB7" s="63"/>
      <c r="HC7" s="59">
        <v>20.625</v>
      </c>
      <c r="HD7" s="56">
        <f t="shared" si="36"/>
        <v>20</v>
      </c>
      <c r="HE7" s="44"/>
      <c r="HF7" s="63"/>
      <c r="HG7" s="59">
        <v>20.625</v>
      </c>
      <c r="HH7" s="56">
        <f t="shared" si="37"/>
        <v>20</v>
      </c>
      <c r="HI7" s="65"/>
      <c r="HJ7" s="63"/>
      <c r="HK7" s="59">
        <v>20.625</v>
      </c>
      <c r="HL7" s="56">
        <f t="shared" si="38"/>
        <v>20</v>
      </c>
      <c r="HM7" s="66"/>
      <c r="HN7" s="63"/>
      <c r="HO7" s="54" t="e">
        <f t="shared" si="39"/>
        <v>#REF!</v>
      </c>
      <c r="HP7" s="54" t="e">
        <f t="shared" si="40"/>
        <v>#REF!</v>
      </c>
      <c r="HQ7" s="59">
        <v>20.625</v>
      </c>
      <c r="HR7" s="56">
        <f t="shared" si="41"/>
        <v>20</v>
      </c>
      <c r="HS7" s="43"/>
      <c r="HT7" s="42"/>
      <c r="HU7" s="59">
        <v>20.625</v>
      </c>
      <c r="HV7" s="56">
        <f t="shared" si="42"/>
        <v>20</v>
      </c>
      <c r="HW7" s="43"/>
      <c r="HX7" s="42"/>
      <c r="HY7" s="59">
        <v>20.625</v>
      </c>
      <c r="HZ7" s="56">
        <f t="shared" si="43"/>
        <v>20</v>
      </c>
      <c r="IA7" s="43"/>
      <c r="IB7" s="42"/>
      <c r="IC7" s="59">
        <v>20.625</v>
      </c>
      <c r="ID7" s="56">
        <f t="shared" si="44"/>
        <v>20</v>
      </c>
      <c r="IE7" s="43"/>
      <c r="IF7" s="42"/>
      <c r="IG7" s="59">
        <v>20.625</v>
      </c>
      <c r="IH7" s="56">
        <f t="shared" si="45"/>
        <v>20</v>
      </c>
      <c r="II7" s="44"/>
      <c r="IJ7" s="42"/>
      <c r="IK7" s="59">
        <v>20.625</v>
      </c>
      <c r="IL7" s="56">
        <f t="shared" si="46"/>
        <v>20</v>
      </c>
      <c r="IM7" s="44"/>
      <c r="IN7" s="57"/>
      <c r="IO7" s="59">
        <v>20.625</v>
      </c>
      <c r="IP7" s="56">
        <f t="shared" si="47"/>
        <v>20</v>
      </c>
      <c r="IQ7" s="44"/>
      <c r="IR7" s="63"/>
      <c r="IS7" s="59">
        <v>20.625</v>
      </c>
      <c r="IT7" s="56">
        <f t="shared" si="48"/>
        <v>20</v>
      </c>
      <c r="IU7" s="44"/>
      <c r="IV7" s="63"/>
      <c r="IW7" s="59">
        <v>20.625</v>
      </c>
      <c r="IX7" s="56">
        <f t="shared" si="49"/>
        <v>20</v>
      </c>
      <c r="IY7" s="44"/>
      <c r="IZ7" s="63"/>
      <c r="JA7" s="59">
        <v>20.625</v>
      </c>
      <c r="JB7" s="56">
        <f t="shared" si="50"/>
        <v>20</v>
      </c>
      <c r="JC7" s="44"/>
      <c r="JD7" s="63"/>
      <c r="JE7" s="59">
        <v>20.625</v>
      </c>
      <c r="JF7" s="56">
        <f t="shared" si="51"/>
        <v>20</v>
      </c>
      <c r="JG7" s="65"/>
      <c r="JH7" s="63"/>
      <c r="JI7" s="59">
        <v>20.625</v>
      </c>
      <c r="JJ7" s="56">
        <f t="shared" si="52"/>
        <v>20</v>
      </c>
      <c r="JK7" s="66"/>
      <c r="JL7" s="63"/>
      <c r="JM7" s="54">
        <f t="shared" si="53"/>
        <v>247.5</v>
      </c>
      <c r="JN7" s="54">
        <f t="shared" si="54"/>
        <v>549945</v>
      </c>
    </row>
    <row r="8" spans="1:274">
      <c r="A8" s="249"/>
      <c r="B8" s="250"/>
      <c r="C8" s="250"/>
      <c r="D8" s="249"/>
      <c r="E8" s="36">
        <v>3</v>
      </c>
      <c r="F8" s="37"/>
      <c r="G8" s="38">
        <v>4463003700</v>
      </c>
      <c r="H8" s="61" t="s">
        <v>47</v>
      </c>
      <c r="I8" s="67">
        <v>259</v>
      </c>
      <c r="J8" s="36"/>
      <c r="K8" s="36">
        <v>2916</v>
      </c>
      <c r="L8" s="36" t="s">
        <v>44</v>
      </c>
      <c r="M8" s="41"/>
      <c r="N8" s="42"/>
      <c r="O8" s="43"/>
      <c r="P8" s="42"/>
      <c r="Q8" s="41"/>
      <c r="R8" s="42"/>
      <c r="S8" s="43"/>
      <c r="T8" s="42"/>
      <c r="U8" s="41"/>
      <c r="V8" s="42"/>
      <c r="W8" s="43"/>
      <c r="X8" s="42"/>
      <c r="Y8" s="41"/>
      <c r="Z8" s="42"/>
      <c r="AA8" s="43"/>
      <c r="AB8" s="42"/>
      <c r="AC8" s="41"/>
      <c r="AD8" s="42"/>
      <c r="AE8" s="44"/>
      <c r="AF8" s="42"/>
      <c r="AG8" s="41"/>
      <c r="AH8" s="46"/>
      <c r="AI8" s="44"/>
      <c r="AJ8" s="253"/>
      <c r="AK8" s="41"/>
      <c r="AL8" s="42"/>
      <c r="AM8" s="47"/>
      <c r="AN8" s="63"/>
      <c r="AO8" s="41"/>
      <c r="AP8" s="42"/>
      <c r="AQ8" s="43"/>
      <c r="AR8" s="64"/>
      <c r="AS8" s="41"/>
      <c r="AT8" s="42"/>
      <c r="AU8" s="44"/>
      <c r="AV8" s="63"/>
      <c r="AW8" s="41"/>
      <c r="AX8" s="42"/>
      <c r="AY8" s="44"/>
      <c r="AZ8" s="63"/>
      <c r="BA8" s="41"/>
      <c r="BB8" s="42"/>
      <c r="BC8" s="65"/>
      <c r="BD8" s="63"/>
      <c r="BE8" s="41"/>
      <c r="BF8" s="42"/>
      <c r="BG8" s="66"/>
      <c r="BH8" s="63"/>
      <c r="BI8" s="54">
        <f t="shared" si="0"/>
        <v>0</v>
      </c>
      <c r="BJ8" s="54">
        <f t="shared" si="1"/>
        <v>0</v>
      </c>
      <c r="BK8" s="41">
        <v>15</v>
      </c>
      <c r="BL8" s="55">
        <f t="shared" si="2"/>
        <v>14</v>
      </c>
      <c r="BM8" s="56"/>
      <c r="BN8" s="43">
        <v>0</v>
      </c>
      <c r="BO8" s="42"/>
      <c r="BP8" s="41">
        <v>20</v>
      </c>
      <c r="BQ8" s="55">
        <f t="shared" si="3"/>
        <v>18</v>
      </c>
      <c r="BR8" s="56"/>
      <c r="BS8" s="43">
        <v>0</v>
      </c>
      <c r="BT8" s="42"/>
      <c r="BU8" s="41">
        <v>25</v>
      </c>
      <c r="BV8" s="55">
        <f t="shared" si="4"/>
        <v>23</v>
      </c>
      <c r="BW8" s="56">
        <v>100</v>
      </c>
      <c r="BX8" s="43">
        <v>98</v>
      </c>
      <c r="BY8" s="42"/>
      <c r="BZ8" s="41">
        <v>25</v>
      </c>
      <c r="CA8" s="55">
        <f t="shared" si="5"/>
        <v>23</v>
      </c>
      <c r="CB8" s="56">
        <v>50</v>
      </c>
      <c r="CC8" s="43">
        <v>25</v>
      </c>
      <c r="CD8" s="42"/>
      <c r="CE8" s="41">
        <v>25</v>
      </c>
      <c r="CF8" s="55">
        <f t="shared" si="6"/>
        <v>23</v>
      </c>
      <c r="CG8" s="56">
        <v>25</v>
      </c>
      <c r="CH8" s="44">
        <v>6</v>
      </c>
      <c r="CI8" s="42"/>
      <c r="CJ8" s="41">
        <v>25</v>
      </c>
      <c r="CK8" s="55">
        <f t="shared" si="7"/>
        <v>23</v>
      </c>
      <c r="CL8" s="56">
        <v>25</v>
      </c>
      <c r="CM8" s="44"/>
      <c r="CN8" s="57"/>
      <c r="CO8" s="41">
        <v>25</v>
      </c>
      <c r="CP8" s="55">
        <f t="shared" si="8"/>
        <v>23</v>
      </c>
      <c r="CQ8" s="56">
        <v>25</v>
      </c>
      <c r="CR8" s="44">
        <v>17</v>
      </c>
      <c r="CS8" s="63"/>
      <c r="CT8" s="41">
        <v>25</v>
      </c>
      <c r="CU8" s="55">
        <f t="shared" si="9"/>
        <v>23</v>
      </c>
      <c r="CV8" s="56">
        <v>25</v>
      </c>
      <c r="CW8" s="44">
        <v>2</v>
      </c>
      <c r="CX8" s="63"/>
      <c r="CY8" s="41">
        <v>25</v>
      </c>
      <c r="CZ8" s="55">
        <f t="shared" si="10"/>
        <v>23</v>
      </c>
      <c r="DA8" s="56">
        <v>25</v>
      </c>
      <c r="DB8" s="44">
        <v>17</v>
      </c>
      <c r="DC8" s="63"/>
      <c r="DD8" s="41">
        <v>25</v>
      </c>
      <c r="DE8" s="55">
        <f t="shared" si="11"/>
        <v>23</v>
      </c>
      <c r="DF8" s="56">
        <v>25</v>
      </c>
      <c r="DG8" s="44">
        <v>16</v>
      </c>
      <c r="DH8" s="63"/>
      <c r="DI8" s="41">
        <v>25</v>
      </c>
      <c r="DJ8" s="55">
        <f t="shared" si="12"/>
        <v>23</v>
      </c>
      <c r="DK8" s="56">
        <v>25</v>
      </c>
      <c r="DL8" s="65">
        <v>8</v>
      </c>
      <c r="DM8" s="63"/>
      <c r="DN8" s="41">
        <v>25</v>
      </c>
      <c r="DO8" s="55">
        <f t="shared" si="13"/>
        <v>23</v>
      </c>
      <c r="DP8" s="56">
        <v>25</v>
      </c>
      <c r="DQ8" s="66">
        <v>25</v>
      </c>
      <c r="DR8" s="63"/>
      <c r="DS8" s="54">
        <f t="shared" si="14"/>
        <v>285</v>
      </c>
      <c r="DT8" s="54">
        <f t="shared" si="15"/>
        <v>73815</v>
      </c>
      <c r="DU8" s="41">
        <v>18</v>
      </c>
      <c r="DV8" s="56">
        <v>10</v>
      </c>
      <c r="DW8" s="43">
        <v>4</v>
      </c>
      <c r="DX8" s="42"/>
      <c r="DY8" s="41">
        <v>18</v>
      </c>
      <c r="DZ8" s="56">
        <v>13</v>
      </c>
      <c r="EA8" s="43">
        <v>23</v>
      </c>
      <c r="EB8" s="42"/>
      <c r="EC8" s="41">
        <v>18</v>
      </c>
      <c r="ED8" s="56">
        <f t="shared" si="16"/>
        <v>18</v>
      </c>
      <c r="EE8" s="43">
        <v>7</v>
      </c>
      <c r="EF8" s="42"/>
      <c r="EG8" s="41">
        <v>18</v>
      </c>
      <c r="EH8" s="56">
        <f>ROUNDDOWN(EG8,0)</f>
        <v>18</v>
      </c>
      <c r="EI8" s="43">
        <v>23</v>
      </c>
      <c r="EJ8" s="42"/>
      <c r="EK8" s="41">
        <v>18</v>
      </c>
      <c r="EL8" s="56">
        <f t="shared" si="17"/>
        <v>18</v>
      </c>
      <c r="EM8" s="44">
        <v>8</v>
      </c>
      <c r="EN8" s="42"/>
      <c r="EO8" s="41">
        <v>18</v>
      </c>
      <c r="EP8" s="56">
        <f t="shared" si="18"/>
        <v>18</v>
      </c>
      <c r="EQ8" s="44"/>
      <c r="ER8" s="57"/>
      <c r="ES8" s="41">
        <v>18</v>
      </c>
      <c r="ET8" s="56">
        <f t="shared" si="19"/>
        <v>18</v>
      </c>
      <c r="EU8" s="44"/>
      <c r="EV8" s="63"/>
      <c r="EW8" s="41">
        <v>18</v>
      </c>
      <c r="EX8" s="56">
        <f t="shared" si="20"/>
        <v>18</v>
      </c>
      <c r="EY8" s="44"/>
      <c r="EZ8" s="63"/>
      <c r="FA8" s="41">
        <v>18</v>
      </c>
      <c r="FB8" s="56">
        <f t="shared" si="21"/>
        <v>18</v>
      </c>
      <c r="FC8" s="44"/>
      <c r="FD8" s="63"/>
      <c r="FE8" s="41">
        <v>18</v>
      </c>
      <c r="FF8" s="56">
        <f t="shared" si="22"/>
        <v>18</v>
      </c>
      <c r="FG8" s="44"/>
      <c r="FH8" s="63"/>
      <c r="FI8" s="41">
        <v>18</v>
      </c>
      <c r="FJ8" s="241">
        <f t="shared" si="23"/>
        <v>18</v>
      </c>
      <c r="FK8" s="65"/>
      <c r="FL8" s="63"/>
      <c r="FM8" s="41">
        <v>18</v>
      </c>
      <c r="FN8" s="241">
        <f t="shared" si="24"/>
        <v>18</v>
      </c>
      <c r="FO8" s="66"/>
      <c r="FP8" s="63"/>
      <c r="FQ8" s="54">
        <f t="shared" si="25"/>
        <v>216</v>
      </c>
      <c r="FR8" s="54">
        <f t="shared" si="26"/>
        <v>55944</v>
      </c>
      <c r="FS8" s="58" t="e">
        <v>#REF!</v>
      </c>
      <c r="FT8" s="56" t="e">
        <f t="shared" si="27"/>
        <v>#REF!</v>
      </c>
      <c r="FU8" s="43"/>
      <c r="FV8" s="42"/>
      <c r="FW8" s="58">
        <v>16.3125</v>
      </c>
      <c r="FX8" s="56">
        <f t="shared" si="28"/>
        <v>16</v>
      </c>
      <c r="FY8" s="43"/>
      <c r="FZ8" s="42"/>
      <c r="GA8" s="59">
        <v>20.625</v>
      </c>
      <c r="GB8" s="56">
        <f t="shared" si="29"/>
        <v>20</v>
      </c>
      <c r="GC8" s="43"/>
      <c r="GD8" s="42"/>
      <c r="GE8" s="59">
        <v>20.625</v>
      </c>
      <c r="GF8" s="56">
        <f t="shared" si="30"/>
        <v>20</v>
      </c>
      <c r="GG8" s="43"/>
      <c r="GH8" s="42"/>
      <c r="GI8" s="59">
        <v>20.625</v>
      </c>
      <c r="GJ8" s="56">
        <f t="shared" si="31"/>
        <v>20</v>
      </c>
      <c r="GK8" s="44"/>
      <c r="GL8" s="42"/>
      <c r="GM8" s="59">
        <v>20.625</v>
      </c>
      <c r="GN8" s="56">
        <f t="shared" si="32"/>
        <v>20</v>
      </c>
      <c r="GO8" s="44"/>
      <c r="GP8" s="57"/>
      <c r="GQ8" s="59">
        <v>20.625</v>
      </c>
      <c r="GR8" s="56">
        <f t="shared" si="33"/>
        <v>20</v>
      </c>
      <c r="GS8" s="44"/>
      <c r="GT8" s="63"/>
      <c r="GU8" s="59">
        <v>20.625</v>
      </c>
      <c r="GV8" s="56">
        <f t="shared" si="34"/>
        <v>20</v>
      </c>
      <c r="GW8" s="44"/>
      <c r="GX8" s="63"/>
      <c r="GY8" s="59">
        <v>20.625</v>
      </c>
      <c r="GZ8" s="56">
        <f t="shared" si="35"/>
        <v>20</v>
      </c>
      <c r="HA8" s="44"/>
      <c r="HB8" s="63"/>
      <c r="HC8" s="59">
        <v>20.625</v>
      </c>
      <c r="HD8" s="56">
        <f t="shared" si="36"/>
        <v>20</v>
      </c>
      <c r="HE8" s="44"/>
      <c r="HF8" s="63"/>
      <c r="HG8" s="59">
        <v>20.625</v>
      </c>
      <c r="HH8" s="56">
        <f t="shared" si="37"/>
        <v>20</v>
      </c>
      <c r="HI8" s="65"/>
      <c r="HJ8" s="63"/>
      <c r="HK8" s="59">
        <v>20.625</v>
      </c>
      <c r="HL8" s="56">
        <f t="shared" si="38"/>
        <v>20</v>
      </c>
      <c r="HM8" s="66"/>
      <c r="HN8" s="63"/>
      <c r="HO8" s="54" t="e">
        <f t="shared" si="39"/>
        <v>#REF!</v>
      </c>
      <c r="HP8" s="54" t="e">
        <f t="shared" si="40"/>
        <v>#REF!</v>
      </c>
      <c r="HQ8" s="59">
        <v>20.625</v>
      </c>
      <c r="HR8" s="56">
        <f t="shared" si="41"/>
        <v>20</v>
      </c>
      <c r="HS8" s="43"/>
      <c r="HT8" s="42"/>
      <c r="HU8" s="59">
        <v>20.625</v>
      </c>
      <c r="HV8" s="56">
        <f t="shared" si="42"/>
        <v>20</v>
      </c>
      <c r="HW8" s="43"/>
      <c r="HX8" s="42"/>
      <c r="HY8" s="59">
        <v>20.625</v>
      </c>
      <c r="HZ8" s="56">
        <f t="shared" si="43"/>
        <v>20</v>
      </c>
      <c r="IA8" s="43"/>
      <c r="IB8" s="42"/>
      <c r="IC8" s="59">
        <v>20.625</v>
      </c>
      <c r="ID8" s="56">
        <f t="shared" si="44"/>
        <v>20</v>
      </c>
      <c r="IE8" s="43"/>
      <c r="IF8" s="42"/>
      <c r="IG8" s="59">
        <v>20.625</v>
      </c>
      <c r="IH8" s="56">
        <f t="shared" si="45"/>
        <v>20</v>
      </c>
      <c r="II8" s="44"/>
      <c r="IJ8" s="42"/>
      <c r="IK8" s="59">
        <v>20.625</v>
      </c>
      <c r="IL8" s="56">
        <f t="shared" si="46"/>
        <v>20</v>
      </c>
      <c r="IM8" s="44"/>
      <c r="IN8" s="57"/>
      <c r="IO8" s="59">
        <v>20.625</v>
      </c>
      <c r="IP8" s="56">
        <f t="shared" si="47"/>
        <v>20</v>
      </c>
      <c r="IQ8" s="44"/>
      <c r="IR8" s="63"/>
      <c r="IS8" s="59">
        <v>20.625</v>
      </c>
      <c r="IT8" s="56">
        <f t="shared" si="48"/>
        <v>20</v>
      </c>
      <c r="IU8" s="44"/>
      <c r="IV8" s="63"/>
      <c r="IW8" s="59">
        <v>20.625</v>
      </c>
      <c r="IX8" s="56">
        <f t="shared" si="49"/>
        <v>20</v>
      </c>
      <c r="IY8" s="44"/>
      <c r="IZ8" s="63"/>
      <c r="JA8" s="59">
        <v>20.625</v>
      </c>
      <c r="JB8" s="56">
        <f t="shared" si="50"/>
        <v>20</v>
      </c>
      <c r="JC8" s="44"/>
      <c r="JD8" s="63"/>
      <c r="JE8" s="59">
        <v>20.625</v>
      </c>
      <c r="JF8" s="56">
        <f t="shared" si="51"/>
        <v>20</v>
      </c>
      <c r="JG8" s="65"/>
      <c r="JH8" s="63"/>
      <c r="JI8" s="59">
        <v>20.625</v>
      </c>
      <c r="JJ8" s="56">
        <f t="shared" si="52"/>
        <v>20</v>
      </c>
      <c r="JK8" s="66"/>
      <c r="JL8" s="63"/>
      <c r="JM8" s="54">
        <f t="shared" si="53"/>
        <v>247.5</v>
      </c>
      <c r="JN8" s="54">
        <f t="shared" si="54"/>
        <v>64102.5</v>
      </c>
    </row>
    <row r="9" spans="1:274">
      <c r="A9" s="249"/>
      <c r="B9" s="250"/>
      <c r="C9" s="250"/>
      <c r="D9" s="249"/>
      <c r="E9" s="36">
        <v>4</v>
      </c>
      <c r="F9" s="37"/>
      <c r="G9" s="38">
        <v>4231069000</v>
      </c>
      <c r="H9" s="39" t="s">
        <v>48</v>
      </c>
      <c r="I9" s="68">
        <v>111.85123703112529</v>
      </c>
      <c r="J9" s="36"/>
      <c r="K9" s="36"/>
      <c r="L9" s="36"/>
      <c r="M9" s="41"/>
      <c r="N9" s="42"/>
      <c r="O9" s="43"/>
      <c r="P9" s="42"/>
      <c r="Q9" s="41"/>
      <c r="R9" s="42"/>
      <c r="S9" s="43"/>
      <c r="T9" s="42"/>
      <c r="U9" s="41"/>
      <c r="V9" s="42"/>
      <c r="W9" s="43"/>
      <c r="X9" s="42"/>
      <c r="Y9" s="41"/>
      <c r="Z9" s="42"/>
      <c r="AA9" s="43"/>
      <c r="AB9" s="42"/>
      <c r="AC9" s="41"/>
      <c r="AD9" s="42"/>
      <c r="AE9" s="44"/>
      <c r="AF9" s="42"/>
      <c r="AG9" s="41"/>
      <c r="AH9" s="46"/>
      <c r="AI9" s="44"/>
      <c r="AJ9" s="253"/>
      <c r="AK9" s="41"/>
      <c r="AL9" s="42"/>
      <c r="AM9" s="47"/>
      <c r="AN9" s="63"/>
      <c r="AO9" s="41"/>
      <c r="AP9" s="42"/>
      <c r="AQ9" s="43"/>
      <c r="AR9" s="64"/>
      <c r="AS9" s="41"/>
      <c r="AT9" s="42"/>
      <c r="AU9" s="44"/>
      <c r="AV9" s="63"/>
      <c r="AW9" s="41"/>
      <c r="AX9" s="42"/>
      <c r="AY9" s="44"/>
      <c r="AZ9" s="63"/>
      <c r="BA9" s="41"/>
      <c r="BB9" s="42"/>
      <c r="BC9" s="65"/>
      <c r="BD9" s="63"/>
      <c r="BE9" s="41"/>
      <c r="BF9" s="42"/>
      <c r="BG9" s="66"/>
      <c r="BH9" s="63"/>
      <c r="BI9" s="54">
        <f t="shared" si="0"/>
        <v>0</v>
      </c>
      <c r="BJ9" s="54">
        <f t="shared" si="1"/>
        <v>0</v>
      </c>
      <c r="BK9" s="41">
        <v>10</v>
      </c>
      <c r="BL9" s="55">
        <f t="shared" si="2"/>
        <v>9</v>
      </c>
      <c r="BM9" s="56">
        <v>10</v>
      </c>
      <c r="BN9" s="43">
        <v>0</v>
      </c>
      <c r="BO9" s="42"/>
      <c r="BP9" s="41">
        <v>10</v>
      </c>
      <c r="BQ9" s="55">
        <f t="shared" si="3"/>
        <v>9</v>
      </c>
      <c r="BR9" s="56">
        <v>10</v>
      </c>
      <c r="BS9" s="43">
        <v>2</v>
      </c>
      <c r="BT9" s="42"/>
      <c r="BU9" s="41">
        <v>10</v>
      </c>
      <c r="BV9" s="55">
        <f t="shared" si="4"/>
        <v>9</v>
      </c>
      <c r="BW9" s="56">
        <v>10</v>
      </c>
      <c r="BX9" s="43">
        <v>0</v>
      </c>
      <c r="BY9" s="42"/>
      <c r="BZ9" s="41">
        <v>10</v>
      </c>
      <c r="CA9" s="55">
        <f t="shared" si="5"/>
        <v>9</v>
      </c>
      <c r="CB9" s="56">
        <v>10</v>
      </c>
      <c r="CC9" s="43">
        <v>0</v>
      </c>
      <c r="CD9" s="42"/>
      <c r="CE9" s="41">
        <v>10</v>
      </c>
      <c r="CF9" s="55">
        <f t="shared" si="6"/>
        <v>9</v>
      </c>
      <c r="CG9" s="56">
        <v>10</v>
      </c>
      <c r="CH9" s="44">
        <v>0</v>
      </c>
      <c r="CI9" s="42"/>
      <c r="CJ9" s="41">
        <v>10</v>
      </c>
      <c r="CK9" s="55">
        <f t="shared" si="7"/>
        <v>9</v>
      </c>
      <c r="CL9" s="56">
        <v>10</v>
      </c>
      <c r="CM9" s="44">
        <v>6</v>
      </c>
      <c r="CN9" s="57"/>
      <c r="CO9" s="41">
        <v>10</v>
      </c>
      <c r="CP9" s="55">
        <f t="shared" si="8"/>
        <v>9</v>
      </c>
      <c r="CQ9" s="56">
        <v>10</v>
      </c>
      <c r="CR9" s="44">
        <v>2</v>
      </c>
      <c r="CS9" s="63"/>
      <c r="CT9" s="41">
        <v>10</v>
      </c>
      <c r="CU9" s="55">
        <f t="shared" si="9"/>
        <v>9</v>
      </c>
      <c r="CV9" s="56">
        <v>3</v>
      </c>
      <c r="CW9" s="44"/>
      <c r="CX9" s="63"/>
      <c r="CY9" s="41">
        <v>10</v>
      </c>
      <c r="CZ9" s="55">
        <f t="shared" si="10"/>
        <v>9</v>
      </c>
      <c r="DA9" s="56">
        <v>3</v>
      </c>
      <c r="DB9" s="44"/>
      <c r="DC9" s="63"/>
      <c r="DD9" s="41">
        <v>10</v>
      </c>
      <c r="DE9" s="55">
        <f t="shared" si="11"/>
        <v>9</v>
      </c>
      <c r="DF9" s="56">
        <v>3</v>
      </c>
      <c r="DG9" s="44">
        <v>6</v>
      </c>
      <c r="DH9" s="63"/>
      <c r="DI9" s="41">
        <v>10</v>
      </c>
      <c r="DJ9" s="55">
        <f t="shared" si="12"/>
        <v>9</v>
      </c>
      <c r="DK9" s="56">
        <v>3</v>
      </c>
      <c r="DL9" s="65"/>
      <c r="DM9" s="63"/>
      <c r="DN9" s="41">
        <v>10</v>
      </c>
      <c r="DO9" s="55">
        <f t="shared" si="13"/>
        <v>9</v>
      </c>
      <c r="DP9" s="56">
        <v>3</v>
      </c>
      <c r="DQ9" s="66"/>
      <c r="DR9" s="63"/>
      <c r="DS9" s="54">
        <f t="shared" si="14"/>
        <v>120</v>
      </c>
      <c r="DT9" s="54">
        <f t="shared" si="15"/>
        <v>13422.148443735035</v>
      </c>
      <c r="DU9" s="41">
        <v>2</v>
      </c>
      <c r="DV9" s="56">
        <f>ROUNDDOWN(DU9,0)</f>
        <v>2</v>
      </c>
      <c r="DW9" s="43"/>
      <c r="DX9" s="42"/>
      <c r="DY9" s="41">
        <v>2</v>
      </c>
      <c r="DZ9" s="56">
        <f>ROUNDDOWN(DY9,0)</f>
        <v>2</v>
      </c>
      <c r="EA9" s="43">
        <v>3</v>
      </c>
      <c r="EB9" s="42"/>
      <c r="EC9" s="41">
        <v>2</v>
      </c>
      <c r="ED9" s="56">
        <f t="shared" si="16"/>
        <v>2</v>
      </c>
      <c r="EE9" s="43"/>
      <c r="EF9" s="42"/>
      <c r="EG9" s="41">
        <v>2</v>
      </c>
      <c r="EH9" s="56">
        <f>ROUNDDOWN(EG9,0)</f>
        <v>2</v>
      </c>
      <c r="EI9" s="43">
        <v>13</v>
      </c>
      <c r="EJ9" s="42"/>
      <c r="EK9" s="41">
        <v>2</v>
      </c>
      <c r="EL9" s="56">
        <f t="shared" si="17"/>
        <v>2</v>
      </c>
      <c r="EM9" s="44">
        <v>5</v>
      </c>
      <c r="EN9" s="42"/>
      <c r="EO9" s="41">
        <v>2</v>
      </c>
      <c r="EP9" s="56">
        <f t="shared" si="18"/>
        <v>2</v>
      </c>
      <c r="EQ9" s="44"/>
      <c r="ER9" s="57"/>
      <c r="ES9" s="41">
        <v>2</v>
      </c>
      <c r="ET9" s="56">
        <f t="shared" si="19"/>
        <v>2</v>
      </c>
      <c r="EU9" s="44"/>
      <c r="EV9" s="63"/>
      <c r="EW9" s="41">
        <v>2</v>
      </c>
      <c r="EX9" s="56">
        <f t="shared" si="20"/>
        <v>2</v>
      </c>
      <c r="EY9" s="44"/>
      <c r="EZ9" s="63"/>
      <c r="FA9" s="41">
        <v>2</v>
      </c>
      <c r="FB9" s="56">
        <f t="shared" si="21"/>
        <v>2</v>
      </c>
      <c r="FC9" s="44"/>
      <c r="FD9" s="63"/>
      <c r="FE9" s="41">
        <v>2</v>
      </c>
      <c r="FF9" s="56">
        <f t="shared" si="22"/>
        <v>2</v>
      </c>
      <c r="FG9" s="44"/>
      <c r="FH9" s="63"/>
      <c r="FI9" s="41">
        <v>2</v>
      </c>
      <c r="FJ9" s="241">
        <f t="shared" si="23"/>
        <v>2</v>
      </c>
      <c r="FK9" s="65"/>
      <c r="FL9" s="63"/>
      <c r="FM9" s="41">
        <v>2</v>
      </c>
      <c r="FN9" s="241">
        <f t="shared" si="24"/>
        <v>2</v>
      </c>
      <c r="FO9" s="66"/>
      <c r="FP9" s="63"/>
      <c r="FQ9" s="54">
        <f t="shared" si="25"/>
        <v>24</v>
      </c>
      <c r="FR9" s="54">
        <f t="shared" si="26"/>
        <v>2684.4296887470073</v>
      </c>
      <c r="FS9" s="58" t="e">
        <v>#REF!</v>
      </c>
      <c r="FT9" s="56" t="e">
        <f t="shared" si="27"/>
        <v>#REF!</v>
      </c>
      <c r="FU9" s="43"/>
      <c r="FV9" s="42"/>
      <c r="FW9" s="58">
        <v>10.875</v>
      </c>
      <c r="FX9" s="56">
        <f t="shared" si="28"/>
        <v>10</v>
      </c>
      <c r="FY9" s="43"/>
      <c r="FZ9" s="42"/>
      <c r="GA9" s="59">
        <v>13.750000000000002</v>
      </c>
      <c r="GB9" s="56">
        <f t="shared" si="29"/>
        <v>13</v>
      </c>
      <c r="GC9" s="43"/>
      <c r="GD9" s="42"/>
      <c r="GE9" s="59">
        <v>13.750000000000002</v>
      </c>
      <c r="GF9" s="56">
        <f t="shared" si="30"/>
        <v>13</v>
      </c>
      <c r="GG9" s="43"/>
      <c r="GH9" s="42"/>
      <c r="GI9" s="59">
        <v>13.750000000000002</v>
      </c>
      <c r="GJ9" s="56">
        <f t="shared" si="31"/>
        <v>13</v>
      </c>
      <c r="GK9" s="44"/>
      <c r="GL9" s="42"/>
      <c r="GM9" s="59">
        <v>13.750000000000002</v>
      </c>
      <c r="GN9" s="56">
        <f t="shared" si="32"/>
        <v>13</v>
      </c>
      <c r="GO9" s="44"/>
      <c r="GP9" s="57"/>
      <c r="GQ9" s="59">
        <v>13.750000000000002</v>
      </c>
      <c r="GR9" s="56">
        <f t="shared" si="33"/>
        <v>13</v>
      </c>
      <c r="GS9" s="44"/>
      <c r="GT9" s="63"/>
      <c r="GU9" s="59">
        <v>13.750000000000002</v>
      </c>
      <c r="GV9" s="56">
        <f t="shared" si="34"/>
        <v>13</v>
      </c>
      <c r="GW9" s="44"/>
      <c r="GX9" s="63"/>
      <c r="GY9" s="59">
        <v>13.750000000000002</v>
      </c>
      <c r="GZ9" s="56">
        <f t="shared" si="35"/>
        <v>13</v>
      </c>
      <c r="HA9" s="44"/>
      <c r="HB9" s="63"/>
      <c r="HC9" s="59">
        <v>13.750000000000002</v>
      </c>
      <c r="HD9" s="56">
        <f t="shared" si="36"/>
        <v>13</v>
      </c>
      <c r="HE9" s="44"/>
      <c r="HF9" s="63"/>
      <c r="HG9" s="59">
        <v>13.750000000000002</v>
      </c>
      <c r="HH9" s="56">
        <f t="shared" si="37"/>
        <v>13</v>
      </c>
      <c r="HI9" s="65"/>
      <c r="HJ9" s="63"/>
      <c r="HK9" s="59">
        <v>13.750000000000002</v>
      </c>
      <c r="HL9" s="56">
        <f t="shared" si="38"/>
        <v>13</v>
      </c>
      <c r="HM9" s="66"/>
      <c r="HN9" s="63"/>
      <c r="HO9" s="54" t="e">
        <f t="shared" si="39"/>
        <v>#REF!</v>
      </c>
      <c r="HP9" s="54" t="e">
        <f t="shared" si="40"/>
        <v>#REF!</v>
      </c>
      <c r="HQ9" s="59">
        <v>13.750000000000002</v>
      </c>
      <c r="HR9" s="56">
        <f t="shared" si="41"/>
        <v>13</v>
      </c>
      <c r="HS9" s="43"/>
      <c r="HT9" s="42"/>
      <c r="HU9" s="59">
        <v>13.750000000000002</v>
      </c>
      <c r="HV9" s="56">
        <f t="shared" si="42"/>
        <v>13</v>
      </c>
      <c r="HW9" s="43"/>
      <c r="HX9" s="42"/>
      <c r="HY9" s="59">
        <v>13.750000000000002</v>
      </c>
      <c r="HZ9" s="56">
        <f t="shared" si="43"/>
        <v>13</v>
      </c>
      <c r="IA9" s="43"/>
      <c r="IB9" s="42"/>
      <c r="IC9" s="59">
        <v>13.750000000000002</v>
      </c>
      <c r="ID9" s="56">
        <f t="shared" si="44"/>
        <v>13</v>
      </c>
      <c r="IE9" s="43"/>
      <c r="IF9" s="42"/>
      <c r="IG9" s="59">
        <v>13.750000000000002</v>
      </c>
      <c r="IH9" s="56">
        <f t="shared" si="45"/>
        <v>13</v>
      </c>
      <c r="II9" s="44"/>
      <c r="IJ9" s="42"/>
      <c r="IK9" s="59">
        <v>13.750000000000002</v>
      </c>
      <c r="IL9" s="56">
        <f t="shared" si="46"/>
        <v>13</v>
      </c>
      <c r="IM9" s="44"/>
      <c r="IN9" s="57"/>
      <c r="IO9" s="59">
        <v>13.750000000000002</v>
      </c>
      <c r="IP9" s="56">
        <f t="shared" si="47"/>
        <v>13</v>
      </c>
      <c r="IQ9" s="44"/>
      <c r="IR9" s="63"/>
      <c r="IS9" s="59">
        <v>13.750000000000002</v>
      </c>
      <c r="IT9" s="56">
        <f t="shared" si="48"/>
        <v>13</v>
      </c>
      <c r="IU9" s="44"/>
      <c r="IV9" s="63"/>
      <c r="IW9" s="59">
        <v>13.750000000000002</v>
      </c>
      <c r="IX9" s="56">
        <f t="shared" si="49"/>
        <v>13</v>
      </c>
      <c r="IY9" s="44"/>
      <c r="IZ9" s="63"/>
      <c r="JA9" s="59">
        <v>13.750000000000002</v>
      </c>
      <c r="JB9" s="56">
        <f t="shared" si="50"/>
        <v>13</v>
      </c>
      <c r="JC9" s="44"/>
      <c r="JD9" s="63"/>
      <c r="JE9" s="59">
        <v>13.750000000000002</v>
      </c>
      <c r="JF9" s="56">
        <f t="shared" si="51"/>
        <v>13</v>
      </c>
      <c r="JG9" s="65"/>
      <c r="JH9" s="63"/>
      <c r="JI9" s="59">
        <v>13.750000000000002</v>
      </c>
      <c r="JJ9" s="56">
        <f t="shared" si="52"/>
        <v>13</v>
      </c>
      <c r="JK9" s="66"/>
      <c r="JL9" s="63"/>
      <c r="JM9" s="54">
        <f t="shared" si="53"/>
        <v>165.00000000000003</v>
      </c>
      <c r="JN9" s="54">
        <f t="shared" si="54"/>
        <v>18455.454110135677</v>
      </c>
    </row>
    <row r="10" spans="1:274" ht="18" customHeight="1">
      <c r="A10" s="249"/>
      <c r="B10" s="250"/>
      <c r="C10" s="250"/>
      <c r="D10" s="249"/>
      <c r="E10" s="36">
        <v>5</v>
      </c>
      <c r="F10" s="37"/>
      <c r="G10" s="38">
        <v>4324102227</v>
      </c>
      <c r="H10" s="39" t="s">
        <v>49</v>
      </c>
      <c r="I10" s="69">
        <v>64.103040000000007</v>
      </c>
      <c r="J10" s="36"/>
      <c r="K10" s="36"/>
      <c r="L10" s="36"/>
      <c r="M10" s="41"/>
      <c r="N10" s="42"/>
      <c r="O10" s="43"/>
      <c r="P10" s="42"/>
      <c r="Q10" s="41"/>
      <c r="R10" s="42"/>
      <c r="S10" s="43"/>
      <c r="T10" s="42"/>
      <c r="U10" s="41"/>
      <c r="V10" s="42"/>
      <c r="W10" s="43"/>
      <c r="X10" s="42"/>
      <c r="Y10" s="41"/>
      <c r="Z10" s="42"/>
      <c r="AA10" s="43"/>
      <c r="AB10" s="42"/>
      <c r="AC10" s="41"/>
      <c r="AD10" s="42"/>
      <c r="AE10" s="44"/>
      <c r="AF10" s="42"/>
      <c r="AG10" s="41"/>
      <c r="AH10" s="46"/>
      <c r="AI10" s="44"/>
      <c r="AJ10" s="253"/>
      <c r="AK10" s="41"/>
      <c r="AL10" s="42"/>
      <c r="AM10" s="47"/>
      <c r="AN10" s="63"/>
      <c r="AO10" s="41"/>
      <c r="AP10" s="42"/>
      <c r="AQ10" s="43"/>
      <c r="AR10" s="64"/>
      <c r="AS10" s="41"/>
      <c r="AT10" s="42"/>
      <c r="AU10" s="44"/>
      <c r="AV10" s="63"/>
      <c r="AW10" s="41"/>
      <c r="AX10" s="42"/>
      <c r="AY10" s="44"/>
      <c r="AZ10" s="63"/>
      <c r="BA10" s="41"/>
      <c r="BB10" s="42"/>
      <c r="BC10" s="65"/>
      <c r="BD10" s="63"/>
      <c r="BE10" s="41"/>
      <c r="BF10" s="42"/>
      <c r="BG10" s="66"/>
      <c r="BH10" s="63"/>
      <c r="BI10" s="54">
        <f t="shared" si="0"/>
        <v>0</v>
      </c>
      <c r="BJ10" s="54">
        <f t="shared" si="1"/>
        <v>0</v>
      </c>
      <c r="BK10" s="41">
        <v>0</v>
      </c>
      <c r="BL10" s="55">
        <f t="shared" si="2"/>
        <v>0</v>
      </c>
      <c r="BM10" s="56">
        <v>0</v>
      </c>
      <c r="BN10" s="43">
        <v>0</v>
      </c>
      <c r="BO10" s="42"/>
      <c r="BP10" s="41">
        <v>0</v>
      </c>
      <c r="BQ10" s="55">
        <f t="shared" si="3"/>
        <v>0</v>
      </c>
      <c r="BR10" s="56">
        <v>0</v>
      </c>
      <c r="BS10" s="43">
        <v>110</v>
      </c>
      <c r="BT10" s="42"/>
      <c r="BU10" s="41">
        <v>0</v>
      </c>
      <c r="BV10" s="55">
        <f t="shared" si="4"/>
        <v>0</v>
      </c>
      <c r="BW10" s="56">
        <v>0</v>
      </c>
      <c r="BX10" s="43">
        <v>200</v>
      </c>
      <c r="BY10" s="42"/>
      <c r="BZ10" s="41">
        <v>0</v>
      </c>
      <c r="CA10" s="55">
        <f t="shared" si="5"/>
        <v>0</v>
      </c>
      <c r="CB10" s="56">
        <v>0</v>
      </c>
      <c r="CC10" s="43">
        <v>0</v>
      </c>
      <c r="CD10" s="42"/>
      <c r="CE10" s="41">
        <v>0</v>
      </c>
      <c r="CF10" s="55">
        <f t="shared" si="6"/>
        <v>0</v>
      </c>
      <c r="CG10" s="56">
        <v>0</v>
      </c>
      <c r="CH10" s="44">
        <v>8</v>
      </c>
      <c r="CI10" s="42"/>
      <c r="CJ10" s="41">
        <v>0</v>
      </c>
      <c r="CK10" s="55">
        <f t="shared" si="7"/>
        <v>0</v>
      </c>
      <c r="CL10" s="56">
        <v>0</v>
      </c>
      <c r="CM10" s="44">
        <v>20</v>
      </c>
      <c r="CN10" s="57"/>
      <c r="CO10" s="41">
        <v>0</v>
      </c>
      <c r="CP10" s="55">
        <f t="shared" si="8"/>
        <v>0</v>
      </c>
      <c r="CQ10" s="56">
        <v>0</v>
      </c>
      <c r="CR10" s="44"/>
      <c r="CS10" s="63"/>
      <c r="CT10" s="41">
        <v>0</v>
      </c>
      <c r="CU10" s="55">
        <f t="shared" si="9"/>
        <v>0</v>
      </c>
      <c r="CV10" s="56">
        <v>0</v>
      </c>
      <c r="CW10" s="44">
        <v>220</v>
      </c>
      <c r="CX10" s="63"/>
      <c r="CY10" s="41">
        <v>0</v>
      </c>
      <c r="CZ10" s="55">
        <f t="shared" si="10"/>
        <v>0</v>
      </c>
      <c r="DA10" s="56">
        <v>0</v>
      </c>
      <c r="DB10" s="44">
        <v>150</v>
      </c>
      <c r="DC10" s="63"/>
      <c r="DD10" s="41">
        <v>0</v>
      </c>
      <c r="DE10" s="55">
        <f t="shared" si="11"/>
        <v>0</v>
      </c>
      <c r="DF10" s="56">
        <v>0</v>
      </c>
      <c r="DG10" s="44">
        <v>210</v>
      </c>
      <c r="DH10" s="63"/>
      <c r="DI10" s="41">
        <v>0</v>
      </c>
      <c r="DJ10" s="55">
        <f t="shared" si="12"/>
        <v>0</v>
      </c>
      <c r="DK10" s="56">
        <v>0</v>
      </c>
      <c r="DL10" s="65">
        <v>120</v>
      </c>
      <c r="DM10" s="63"/>
      <c r="DN10" s="41">
        <v>0</v>
      </c>
      <c r="DO10" s="55">
        <f t="shared" si="13"/>
        <v>0</v>
      </c>
      <c r="DP10" s="56">
        <v>0</v>
      </c>
      <c r="DQ10" s="66">
        <v>310</v>
      </c>
      <c r="DR10" s="63"/>
      <c r="DS10" s="54">
        <f t="shared" si="14"/>
        <v>0</v>
      </c>
      <c r="DT10" s="54">
        <f t="shared" si="15"/>
        <v>0</v>
      </c>
      <c r="DU10" s="41">
        <v>80</v>
      </c>
      <c r="DV10" s="56">
        <f>ROUNDDOWN(DU10,0)</f>
        <v>80</v>
      </c>
      <c r="DW10" s="43">
        <v>15</v>
      </c>
      <c r="DX10" s="42"/>
      <c r="DY10" s="41">
        <v>80</v>
      </c>
      <c r="DZ10" s="56">
        <f>ROUNDDOWN(DY10,0)</f>
        <v>80</v>
      </c>
      <c r="EA10" s="43">
        <v>220</v>
      </c>
      <c r="EB10" s="42"/>
      <c r="EC10" s="41">
        <v>40</v>
      </c>
      <c r="ED10" s="56">
        <f t="shared" si="16"/>
        <v>40</v>
      </c>
      <c r="EE10" s="43">
        <v>125</v>
      </c>
      <c r="EF10" s="42"/>
      <c r="EG10" s="41">
        <v>40</v>
      </c>
      <c r="EH10" s="56">
        <v>135</v>
      </c>
      <c r="EI10" s="43">
        <v>208</v>
      </c>
      <c r="EJ10" s="42"/>
      <c r="EK10" s="41">
        <v>20</v>
      </c>
      <c r="EL10" s="56">
        <f t="shared" si="17"/>
        <v>20</v>
      </c>
      <c r="EM10" s="44">
        <v>65</v>
      </c>
      <c r="EN10" s="42"/>
      <c r="EO10" s="41">
        <v>20</v>
      </c>
      <c r="EP10" s="56">
        <f t="shared" si="18"/>
        <v>20</v>
      </c>
      <c r="EQ10" s="44"/>
      <c r="ER10" s="57"/>
      <c r="ES10" s="41">
        <v>20</v>
      </c>
      <c r="ET10" s="56">
        <f t="shared" si="19"/>
        <v>20</v>
      </c>
      <c r="EU10" s="44"/>
      <c r="EV10" s="63"/>
      <c r="EW10" s="41">
        <v>20</v>
      </c>
      <c r="EX10" s="56">
        <f t="shared" si="20"/>
        <v>20</v>
      </c>
      <c r="EY10" s="44"/>
      <c r="EZ10" s="63"/>
      <c r="FA10" s="41">
        <v>20</v>
      </c>
      <c r="FB10" s="56">
        <f t="shared" si="21"/>
        <v>20</v>
      </c>
      <c r="FC10" s="44"/>
      <c r="FD10" s="63"/>
      <c r="FE10" s="41">
        <v>20</v>
      </c>
      <c r="FF10" s="56">
        <f t="shared" si="22"/>
        <v>20</v>
      </c>
      <c r="FG10" s="44"/>
      <c r="FH10" s="63"/>
      <c r="FI10" s="41">
        <v>20</v>
      </c>
      <c r="FJ10" s="241">
        <f t="shared" si="23"/>
        <v>20</v>
      </c>
      <c r="FK10" s="65"/>
      <c r="FL10" s="63"/>
      <c r="FM10" s="41">
        <v>20</v>
      </c>
      <c r="FN10" s="241">
        <f t="shared" si="24"/>
        <v>20</v>
      </c>
      <c r="FO10" s="66"/>
      <c r="FP10" s="63"/>
      <c r="FQ10" s="54">
        <f t="shared" si="25"/>
        <v>400</v>
      </c>
      <c r="FR10" s="54">
        <f t="shared" si="26"/>
        <v>25641.216000000004</v>
      </c>
      <c r="FS10" s="58" t="e">
        <v>#REF!</v>
      </c>
      <c r="FT10" s="56" t="e">
        <f t="shared" si="27"/>
        <v>#REF!</v>
      </c>
      <c r="FU10" s="43"/>
      <c r="FV10" s="42"/>
      <c r="FW10" s="58">
        <v>0</v>
      </c>
      <c r="FX10" s="56">
        <f t="shared" si="28"/>
        <v>0</v>
      </c>
      <c r="FY10" s="43"/>
      <c r="FZ10" s="42"/>
      <c r="GA10" s="59">
        <v>0</v>
      </c>
      <c r="GB10" s="56">
        <f t="shared" si="29"/>
        <v>0</v>
      </c>
      <c r="GC10" s="43"/>
      <c r="GD10" s="42"/>
      <c r="GE10" s="59">
        <v>0</v>
      </c>
      <c r="GF10" s="56">
        <f t="shared" si="30"/>
        <v>0</v>
      </c>
      <c r="GG10" s="43"/>
      <c r="GH10" s="42"/>
      <c r="GI10" s="59">
        <v>0</v>
      </c>
      <c r="GJ10" s="56">
        <f t="shared" si="31"/>
        <v>0</v>
      </c>
      <c r="GK10" s="44"/>
      <c r="GL10" s="42"/>
      <c r="GM10" s="59">
        <v>0</v>
      </c>
      <c r="GN10" s="56">
        <f t="shared" si="32"/>
        <v>0</v>
      </c>
      <c r="GO10" s="44"/>
      <c r="GP10" s="57"/>
      <c r="GQ10" s="59">
        <v>0</v>
      </c>
      <c r="GR10" s="56">
        <f t="shared" si="33"/>
        <v>0</v>
      </c>
      <c r="GS10" s="44"/>
      <c r="GT10" s="63"/>
      <c r="GU10" s="59">
        <v>0</v>
      </c>
      <c r="GV10" s="56">
        <f t="shared" si="34"/>
        <v>0</v>
      </c>
      <c r="GW10" s="44"/>
      <c r="GX10" s="63"/>
      <c r="GY10" s="59">
        <v>0</v>
      </c>
      <c r="GZ10" s="56">
        <f t="shared" si="35"/>
        <v>0</v>
      </c>
      <c r="HA10" s="44"/>
      <c r="HB10" s="63"/>
      <c r="HC10" s="59">
        <v>0</v>
      </c>
      <c r="HD10" s="56">
        <f t="shared" si="36"/>
        <v>0</v>
      </c>
      <c r="HE10" s="44"/>
      <c r="HF10" s="63"/>
      <c r="HG10" s="59">
        <v>0</v>
      </c>
      <c r="HH10" s="56">
        <f t="shared" si="37"/>
        <v>0</v>
      </c>
      <c r="HI10" s="65"/>
      <c r="HJ10" s="63"/>
      <c r="HK10" s="59">
        <v>0</v>
      </c>
      <c r="HL10" s="56">
        <f t="shared" si="38"/>
        <v>0</v>
      </c>
      <c r="HM10" s="66"/>
      <c r="HN10" s="63"/>
      <c r="HO10" s="54" t="e">
        <f t="shared" si="39"/>
        <v>#REF!</v>
      </c>
      <c r="HP10" s="54" t="e">
        <f t="shared" si="40"/>
        <v>#REF!</v>
      </c>
      <c r="HQ10" s="59">
        <v>0</v>
      </c>
      <c r="HR10" s="56">
        <f t="shared" si="41"/>
        <v>0</v>
      </c>
      <c r="HS10" s="43"/>
      <c r="HT10" s="42"/>
      <c r="HU10" s="59">
        <v>0</v>
      </c>
      <c r="HV10" s="56">
        <f t="shared" si="42"/>
        <v>0</v>
      </c>
      <c r="HW10" s="43"/>
      <c r="HX10" s="42"/>
      <c r="HY10" s="59">
        <v>0</v>
      </c>
      <c r="HZ10" s="56">
        <f t="shared" si="43"/>
        <v>0</v>
      </c>
      <c r="IA10" s="43"/>
      <c r="IB10" s="42"/>
      <c r="IC10" s="59">
        <v>0</v>
      </c>
      <c r="ID10" s="56">
        <f t="shared" si="44"/>
        <v>0</v>
      </c>
      <c r="IE10" s="43"/>
      <c r="IF10" s="42"/>
      <c r="IG10" s="59">
        <v>0</v>
      </c>
      <c r="IH10" s="56">
        <f t="shared" si="45"/>
        <v>0</v>
      </c>
      <c r="II10" s="44"/>
      <c r="IJ10" s="42"/>
      <c r="IK10" s="59">
        <v>0</v>
      </c>
      <c r="IL10" s="56">
        <f t="shared" si="46"/>
        <v>0</v>
      </c>
      <c r="IM10" s="44"/>
      <c r="IN10" s="57"/>
      <c r="IO10" s="59">
        <v>0</v>
      </c>
      <c r="IP10" s="56">
        <f t="shared" si="47"/>
        <v>0</v>
      </c>
      <c r="IQ10" s="44"/>
      <c r="IR10" s="63"/>
      <c r="IS10" s="59">
        <v>0</v>
      </c>
      <c r="IT10" s="56">
        <f t="shared" si="48"/>
        <v>0</v>
      </c>
      <c r="IU10" s="44"/>
      <c r="IV10" s="63"/>
      <c r="IW10" s="59">
        <v>0</v>
      </c>
      <c r="IX10" s="56">
        <f t="shared" si="49"/>
        <v>0</v>
      </c>
      <c r="IY10" s="44"/>
      <c r="IZ10" s="63"/>
      <c r="JA10" s="59">
        <v>0</v>
      </c>
      <c r="JB10" s="56">
        <f t="shared" si="50"/>
        <v>0</v>
      </c>
      <c r="JC10" s="44"/>
      <c r="JD10" s="63"/>
      <c r="JE10" s="59">
        <v>0</v>
      </c>
      <c r="JF10" s="56">
        <f t="shared" si="51"/>
        <v>0</v>
      </c>
      <c r="JG10" s="65"/>
      <c r="JH10" s="63"/>
      <c r="JI10" s="59">
        <v>0</v>
      </c>
      <c r="JJ10" s="56">
        <f t="shared" si="52"/>
        <v>0</v>
      </c>
      <c r="JK10" s="66"/>
      <c r="JL10" s="63"/>
      <c r="JM10" s="54">
        <f t="shared" si="53"/>
        <v>0</v>
      </c>
      <c r="JN10" s="54">
        <f t="shared" si="54"/>
        <v>0</v>
      </c>
    </row>
    <row r="11" spans="1:274">
      <c r="A11" s="249"/>
      <c r="B11" s="250"/>
      <c r="C11" s="250"/>
      <c r="D11" s="249"/>
      <c r="E11" s="36">
        <v>6</v>
      </c>
      <c r="F11" s="37"/>
      <c r="G11" s="38">
        <v>4329012232</v>
      </c>
      <c r="H11" s="39" t="s">
        <v>50</v>
      </c>
      <c r="I11" s="69">
        <v>92.129520000000014</v>
      </c>
      <c r="J11" s="36"/>
      <c r="K11" s="36"/>
      <c r="L11" s="36"/>
      <c r="M11" s="41"/>
      <c r="N11" s="42"/>
      <c r="O11" s="43"/>
      <c r="P11" s="42"/>
      <c r="Q11" s="41"/>
      <c r="R11" s="42"/>
      <c r="S11" s="43"/>
      <c r="T11" s="42"/>
      <c r="U11" s="41"/>
      <c r="V11" s="42"/>
      <c r="W11" s="43"/>
      <c r="X11" s="42"/>
      <c r="Y11" s="41"/>
      <c r="Z11" s="42"/>
      <c r="AA11" s="43"/>
      <c r="AB11" s="42"/>
      <c r="AC11" s="41"/>
      <c r="AD11" s="42"/>
      <c r="AE11" s="44"/>
      <c r="AF11" s="42"/>
      <c r="AG11" s="41"/>
      <c r="AH11" s="46"/>
      <c r="AI11" s="44"/>
      <c r="AJ11" s="253"/>
      <c r="AK11" s="41"/>
      <c r="AL11" s="42"/>
      <c r="AM11" s="47"/>
      <c r="AN11" s="63"/>
      <c r="AO11" s="41"/>
      <c r="AP11" s="42"/>
      <c r="AQ11" s="43"/>
      <c r="AR11" s="64"/>
      <c r="AS11" s="41"/>
      <c r="AT11" s="42"/>
      <c r="AU11" s="44"/>
      <c r="AV11" s="63"/>
      <c r="AW11" s="41"/>
      <c r="AX11" s="42"/>
      <c r="AY11" s="44"/>
      <c r="AZ11" s="63"/>
      <c r="BA11" s="41"/>
      <c r="BB11" s="42"/>
      <c r="BC11" s="65"/>
      <c r="BD11" s="63"/>
      <c r="BE11" s="41"/>
      <c r="BF11" s="42"/>
      <c r="BG11" s="66"/>
      <c r="BH11" s="63"/>
      <c r="BI11" s="54">
        <f t="shared" si="0"/>
        <v>0</v>
      </c>
      <c r="BJ11" s="54">
        <f t="shared" si="1"/>
        <v>0</v>
      </c>
      <c r="BK11" s="41">
        <v>0</v>
      </c>
      <c r="BL11" s="55">
        <f t="shared" si="2"/>
        <v>0</v>
      </c>
      <c r="BM11" s="56">
        <v>0</v>
      </c>
      <c r="BN11" s="43">
        <v>30</v>
      </c>
      <c r="BO11" s="42"/>
      <c r="BP11" s="41">
        <v>0</v>
      </c>
      <c r="BQ11" s="55">
        <f t="shared" si="3"/>
        <v>0</v>
      </c>
      <c r="BR11" s="56">
        <v>0</v>
      </c>
      <c r="BS11" s="43">
        <v>10</v>
      </c>
      <c r="BT11" s="42"/>
      <c r="BU11" s="41">
        <v>0</v>
      </c>
      <c r="BV11" s="55">
        <f t="shared" si="4"/>
        <v>0</v>
      </c>
      <c r="BW11" s="56">
        <v>0</v>
      </c>
      <c r="BX11" s="43">
        <v>50</v>
      </c>
      <c r="BY11" s="42"/>
      <c r="BZ11" s="41">
        <v>0</v>
      </c>
      <c r="CA11" s="55">
        <f t="shared" si="5"/>
        <v>0</v>
      </c>
      <c r="CB11" s="56">
        <v>0</v>
      </c>
      <c r="CC11" s="43">
        <v>0</v>
      </c>
      <c r="CD11" s="42"/>
      <c r="CE11" s="41">
        <v>0</v>
      </c>
      <c r="CF11" s="55">
        <f t="shared" si="6"/>
        <v>0</v>
      </c>
      <c r="CG11" s="56">
        <v>0</v>
      </c>
      <c r="CH11" s="44">
        <v>8</v>
      </c>
      <c r="CI11" s="42"/>
      <c r="CJ11" s="41">
        <v>0</v>
      </c>
      <c r="CK11" s="55">
        <f t="shared" si="7"/>
        <v>0</v>
      </c>
      <c r="CL11" s="56">
        <v>0</v>
      </c>
      <c r="CM11" s="44">
        <v>10</v>
      </c>
      <c r="CN11" s="57"/>
      <c r="CO11" s="41">
        <v>0</v>
      </c>
      <c r="CP11" s="55">
        <f t="shared" si="8"/>
        <v>0</v>
      </c>
      <c r="CQ11" s="56">
        <v>0</v>
      </c>
      <c r="CR11" s="44">
        <v>10</v>
      </c>
      <c r="CS11" s="63"/>
      <c r="CT11" s="41">
        <v>0</v>
      </c>
      <c r="CU11" s="55">
        <f t="shared" si="9"/>
        <v>0</v>
      </c>
      <c r="CV11" s="56">
        <v>0</v>
      </c>
      <c r="CW11" s="44">
        <v>200</v>
      </c>
      <c r="CX11" s="63"/>
      <c r="CY11" s="41">
        <v>0</v>
      </c>
      <c r="CZ11" s="55">
        <f t="shared" si="10"/>
        <v>0</v>
      </c>
      <c r="DA11" s="56">
        <v>0</v>
      </c>
      <c r="DB11" s="44"/>
      <c r="DC11" s="63"/>
      <c r="DD11" s="41">
        <v>0</v>
      </c>
      <c r="DE11" s="55">
        <f t="shared" si="11"/>
        <v>0</v>
      </c>
      <c r="DF11" s="56">
        <v>0</v>
      </c>
      <c r="DG11" s="44">
        <v>215</v>
      </c>
      <c r="DH11" s="63"/>
      <c r="DI11" s="41">
        <v>0</v>
      </c>
      <c r="DJ11" s="55">
        <f t="shared" si="12"/>
        <v>0</v>
      </c>
      <c r="DK11" s="56">
        <v>0</v>
      </c>
      <c r="DL11" s="65"/>
      <c r="DM11" s="63"/>
      <c r="DN11" s="41">
        <v>0</v>
      </c>
      <c r="DO11" s="55">
        <f t="shared" si="13"/>
        <v>0</v>
      </c>
      <c r="DP11" s="56">
        <v>0</v>
      </c>
      <c r="DQ11" s="66">
        <v>284</v>
      </c>
      <c r="DR11" s="63"/>
      <c r="DS11" s="54">
        <f t="shared" si="14"/>
        <v>0</v>
      </c>
      <c r="DT11" s="54">
        <f t="shared" si="15"/>
        <v>0</v>
      </c>
      <c r="DU11" s="41">
        <v>80</v>
      </c>
      <c r="DV11" s="56">
        <f>ROUNDDOWN(DU11,0)</f>
        <v>80</v>
      </c>
      <c r="DW11" s="43">
        <v>35</v>
      </c>
      <c r="DX11" s="42"/>
      <c r="DY11" s="41">
        <v>80</v>
      </c>
      <c r="DZ11" s="56">
        <f>ROUNDDOWN(DY11,0)</f>
        <v>80</v>
      </c>
      <c r="EA11" s="43">
        <v>40</v>
      </c>
      <c r="EB11" s="42"/>
      <c r="EC11" s="41">
        <v>40</v>
      </c>
      <c r="ED11" s="56">
        <f t="shared" si="16"/>
        <v>40</v>
      </c>
      <c r="EE11" s="43">
        <v>200</v>
      </c>
      <c r="EF11" s="42"/>
      <c r="EG11" s="41">
        <v>40</v>
      </c>
      <c r="EH11" s="56">
        <f>ROUNDDOWN(EG11,0)</f>
        <v>40</v>
      </c>
      <c r="EI11" s="43">
        <v>41</v>
      </c>
      <c r="EJ11" s="42"/>
      <c r="EK11" s="41">
        <v>20</v>
      </c>
      <c r="EL11" s="56">
        <f t="shared" si="17"/>
        <v>20</v>
      </c>
      <c r="EM11" s="44">
        <v>15</v>
      </c>
      <c r="EN11" s="42"/>
      <c r="EO11" s="41">
        <v>20</v>
      </c>
      <c r="EP11" s="56">
        <f t="shared" si="18"/>
        <v>20</v>
      </c>
      <c r="EQ11" s="44"/>
      <c r="ER11" s="57"/>
      <c r="ES11" s="41">
        <v>20</v>
      </c>
      <c r="ET11" s="56">
        <f t="shared" si="19"/>
        <v>20</v>
      </c>
      <c r="EU11" s="44"/>
      <c r="EV11" s="63"/>
      <c r="EW11" s="41">
        <v>20</v>
      </c>
      <c r="EX11" s="56">
        <f t="shared" si="20"/>
        <v>20</v>
      </c>
      <c r="EY11" s="44"/>
      <c r="EZ11" s="63"/>
      <c r="FA11" s="41">
        <v>20</v>
      </c>
      <c r="FB11" s="56">
        <f t="shared" si="21"/>
        <v>20</v>
      </c>
      <c r="FC11" s="44"/>
      <c r="FD11" s="63"/>
      <c r="FE11" s="41">
        <v>20</v>
      </c>
      <c r="FF11" s="56">
        <f t="shared" si="22"/>
        <v>20</v>
      </c>
      <c r="FG11" s="44"/>
      <c r="FH11" s="63"/>
      <c r="FI11" s="41">
        <v>20</v>
      </c>
      <c r="FJ11" s="241">
        <f t="shared" si="23"/>
        <v>20</v>
      </c>
      <c r="FK11" s="65"/>
      <c r="FL11" s="63"/>
      <c r="FM11" s="41">
        <v>20</v>
      </c>
      <c r="FN11" s="241">
        <f t="shared" si="24"/>
        <v>20</v>
      </c>
      <c r="FO11" s="66"/>
      <c r="FP11" s="63"/>
      <c r="FQ11" s="54">
        <f t="shared" si="25"/>
        <v>400</v>
      </c>
      <c r="FR11" s="54">
        <f t="shared" si="26"/>
        <v>36851.808000000005</v>
      </c>
      <c r="FS11" s="58" t="e">
        <v>#REF!</v>
      </c>
      <c r="FT11" s="56" t="e">
        <f t="shared" si="27"/>
        <v>#REF!</v>
      </c>
      <c r="FU11" s="43"/>
      <c r="FV11" s="42"/>
      <c r="FW11" s="58">
        <v>0</v>
      </c>
      <c r="FX11" s="56">
        <f t="shared" si="28"/>
        <v>0</v>
      </c>
      <c r="FY11" s="43"/>
      <c r="FZ11" s="42"/>
      <c r="GA11" s="59">
        <v>0</v>
      </c>
      <c r="GB11" s="56">
        <f t="shared" si="29"/>
        <v>0</v>
      </c>
      <c r="GC11" s="43"/>
      <c r="GD11" s="42"/>
      <c r="GE11" s="59">
        <v>0</v>
      </c>
      <c r="GF11" s="56">
        <f t="shared" si="30"/>
        <v>0</v>
      </c>
      <c r="GG11" s="43"/>
      <c r="GH11" s="42"/>
      <c r="GI11" s="59">
        <v>0</v>
      </c>
      <c r="GJ11" s="56">
        <f t="shared" si="31"/>
        <v>0</v>
      </c>
      <c r="GK11" s="44"/>
      <c r="GL11" s="42"/>
      <c r="GM11" s="59">
        <v>0</v>
      </c>
      <c r="GN11" s="56">
        <f t="shared" si="32"/>
        <v>0</v>
      </c>
      <c r="GO11" s="44"/>
      <c r="GP11" s="57"/>
      <c r="GQ11" s="59">
        <v>0</v>
      </c>
      <c r="GR11" s="56">
        <f t="shared" si="33"/>
        <v>0</v>
      </c>
      <c r="GS11" s="44"/>
      <c r="GT11" s="63"/>
      <c r="GU11" s="59">
        <v>0</v>
      </c>
      <c r="GV11" s="56">
        <f t="shared" si="34"/>
        <v>0</v>
      </c>
      <c r="GW11" s="44"/>
      <c r="GX11" s="63"/>
      <c r="GY11" s="59">
        <v>0</v>
      </c>
      <c r="GZ11" s="56">
        <f t="shared" si="35"/>
        <v>0</v>
      </c>
      <c r="HA11" s="44"/>
      <c r="HB11" s="63"/>
      <c r="HC11" s="59">
        <v>0</v>
      </c>
      <c r="HD11" s="56">
        <f t="shared" si="36"/>
        <v>0</v>
      </c>
      <c r="HE11" s="44"/>
      <c r="HF11" s="63"/>
      <c r="HG11" s="59">
        <v>0</v>
      </c>
      <c r="HH11" s="56">
        <f t="shared" si="37"/>
        <v>0</v>
      </c>
      <c r="HI11" s="65"/>
      <c r="HJ11" s="63"/>
      <c r="HK11" s="59">
        <v>0</v>
      </c>
      <c r="HL11" s="56">
        <f t="shared" si="38"/>
        <v>0</v>
      </c>
      <c r="HM11" s="66"/>
      <c r="HN11" s="63"/>
      <c r="HO11" s="54" t="e">
        <f t="shared" si="39"/>
        <v>#REF!</v>
      </c>
      <c r="HP11" s="54" t="e">
        <f t="shared" si="40"/>
        <v>#REF!</v>
      </c>
      <c r="HQ11" s="59">
        <v>0</v>
      </c>
      <c r="HR11" s="56">
        <f t="shared" si="41"/>
        <v>0</v>
      </c>
      <c r="HS11" s="43"/>
      <c r="HT11" s="42"/>
      <c r="HU11" s="59">
        <v>0</v>
      </c>
      <c r="HV11" s="56">
        <f t="shared" si="42"/>
        <v>0</v>
      </c>
      <c r="HW11" s="43"/>
      <c r="HX11" s="42"/>
      <c r="HY11" s="59">
        <v>0</v>
      </c>
      <c r="HZ11" s="56">
        <f t="shared" si="43"/>
        <v>0</v>
      </c>
      <c r="IA11" s="43"/>
      <c r="IB11" s="42"/>
      <c r="IC11" s="59">
        <v>0</v>
      </c>
      <c r="ID11" s="56">
        <f t="shared" si="44"/>
        <v>0</v>
      </c>
      <c r="IE11" s="43"/>
      <c r="IF11" s="42"/>
      <c r="IG11" s="59">
        <v>0</v>
      </c>
      <c r="IH11" s="56">
        <f t="shared" si="45"/>
        <v>0</v>
      </c>
      <c r="II11" s="44"/>
      <c r="IJ11" s="42"/>
      <c r="IK11" s="59">
        <v>0</v>
      </c>
      <c r="IL11" s="56">
        <f t="shared" si="46"/>
        <v>0</v>
      </c>
      <c r="IM11" s="44"/>
      <c r="IN11" s="57"/>
      <c r="IO11" s="59">
        <v>0</v>
      </c>
      <c r="IP11" s="56">
        <f t="shared" si="47"/>
        <v>0</v>
      </c>
      <c r="IQ11" s="44"/>
      <c r="IR11" s="63"/>
      <c r="IS11" s="59">
        <v>0</v>
      </c>
      <c r="IT11" s="56">
        <f t="shared" si="48"/>
        <v>0</v>
      </c>
      <c r="IU11" s="44"/>
      <c r="IV11" s="63"/>
      <c r="IW11" s="59">
        <v>0</v>
      </c>
      <c r="IX11" s="56">
        <f t="shared" si="49"/>
        <v>0</v>
      </c>
      <c r="IY11" s="44"/>
      <c r="IZ11" s="63"/>
      <c r="JA11" s="59">
        <v>0</v>
      </c>
      <c r="JB11" s="56">
        <f t="shared" si="50"/>
        <v>0</v>
      </c>
      <c r="JC11" s="44"/>
      <c r="JD11" s="63"/>
      <c r="JE11" s="59">
        <v>0</v>
      </c>
      <c r="JF11" s="56">
        <f t="shared" si="51"/>
        <v>0</v>
      </c>
      <c r="JG11" s="65"/>
      <c r="JH11" s="63"/>
      <c r="JI11" s="59">
        <v>0</v>
      </c>
      <c r="JJ11" s="56">
        <f t="shared" si="52"/>
        <v>0</v>
      </c>
      <c r="JK11" s="66"/>
      <c r="JL11" s="63"/>
      <c r="JM11" s="54">
        <f t="shared" si="53"/>
        <v>0</v>
      </c>
      <c r="JN11" s="54">
        <f t="shared" si="54"/>
        <v>0</v>
      </c>
    </row>
    <row r="12" spans="1:274">
      <c r="A12" s="249"/>
      <c r="B12" s="250"/>
      <c r="C12" s="250"/>
      <c r="D12" s="249"/>
      <c r="E12" s="36">
        <v>7</v>
      </c>
      <c r="F12" s="37"/>
      <c r="G12" s="38">
        <v>4410328090</v>
      </c>
      <c r="H12" s="39" t="s">
        <v>51</v>
      </c>
      <c r="I12" s="69">
        <v>70.400000000000006</v>
      </c>
      <c r="J12" s="36"/>
      <c r="K12" s="36"/>
      <c r="L12" s="36"/>
      <c r="M12" s="41"/>
      <c r="N12" s="42"/>
      <c r="O12" s="43"/>
      <c r="P12" s="42"/>
      <c r="Q12" s="41"/>
      <c r="R12" s="42"/>
      <c r="S12" s="43"/>
      <c r="T12" s="42"/>
      <c r="U12" s="41"/>
      <c r="V12" s="42"/>
      <c r="W12" s="43"/>
      <c r="X12" s="42"/>
      <c r="Y12" s="41"/>
      <c r="Z12" s="42"/>
      <c r="AA12" s="43"/>
      <c r="AB12" s="42"/>
      <c r="AC12" s="41"/>
      <c r="AD12" s="42"/>
      <c r="AE12" s="44"/>
      <c r="AF12" s="42"/>
      <c r="AG12" s="41"/>
      <c r="AH12" s="46"/>
      <c r="AI12" s="44"/>
      <c r="AJ12" s="253"/>
      <c r="AK12" s="41"/>
      <c r="AL12" s="42"/>
      <c r="AM12" s="47"/>
      <c r="AN12" s="63"/>
      <c r="AO12" s="41"/>
      <c r="AP12" s="42"/>
      <c r="AQ12" s="43"/>
      <c r="AR12" s="64"/>
      <c r="AS12" s="41"/>
      <c r="AT12" s="42"/>
      <c r="AU12" s="44"/>
      <c r="AV12" s="63"/>
      <c r="AW12" s="41"/>
      <c r="AX12" s="42"/>
      <c r="AY12" s="44"/>
      <c r="AZ12" s="63"/>
      <c r="BA12" s="41"/>
      <c r="BB12" s="42"/>
      <c r="BC12" s="65"/>
      <c r="BD12" s="63"/>
      <c r="BE12" s="41"/>
      <c r="BF12" s="42"/>
      <c r="BG12" s="66"/>
      <c r="BH12" s="63"/>
      <c r="BI12" s="54">
        <f t="shared" si="0"/>
        <v>0</v>
      </c>
      <c r="BJ12" s="54">
        <f t="shared" si="1"/>
        <v>0</v>
      </c>
      <c r="BK12" s="41">
        <v>200</v>
      </c>
      <c r="BL12" s="55">
        <f t="shared" si="2"/>
        <v>180</v>
      </c>
      <c r="BM12" s="56">
        <v>200</v>
      </c>
      <c r="BN12" s="43">
        <v>85</v>
      </c>
      <c r="BO12" s="42"/>
      <c r="BP12" s="41">
        <v>200</v>
      </c>
      <c r="BQ12" s="55">
        <f t="shared" si="3"/>
        <v>180</v>
      </c>
      <c r="BR12" s="56">
        <v>200</v>
      </c>
      <c r="BS12" s="43">
        <v>140</v>
      </c>
      <c r="BT12" s="42"/>
      <c r="BU12" s="41">
        <v>200</v>
      </c>
      <c r="BV12" s="55">
        <f t="shared" si="4"/>
        <v>180</v>
      </c>
      <c r="BW12" s="56">
        <v>200</v>
      </c>
      <c r="BX12" s="43">
        <v>481</v>
      </c>
      <c r="BY12" s="42"/>
      <c r="BZ12" s="41">
        <v>200</v>
      </c>
      <c r="CA12" s="55">
        <f t="shared" si="5"/>
        <v>180</v>
      </c>
      <c r="CB12" s="56">
        <v>200</v>
      </c>
      <c r="CC12" s="43">
        <v>70</v>
      </c>
      <c r="CD12" s="42"/>
      <c r="CE12" s="41">
        <v>200</v>
      </c>
      <c r="CF12" s="55">
        <f t="shared" si="6"/>
        <v>180</v>
      </c>
      <c r="CG12" s="56">
        <v>200</v>
      </c>
      <c r="CH12" s="44">
        <v>240</v>
      </c>
      <c r="CI12" s="42"/>
      <c r="CJ12" s="41">
        <v>200</v>
      </c>
      <c r="CK12" s="55">
        <f t="shared" si="7"/>
        <v>180</v>
      </c>
      <c r="CL12" s="56">
        <v>200</v>
      </c>
      <c r="CM12" s="44">
        <v>30</v>
      </c>
      <c r="CN12" s="57"/>
      <c r="CO12" s="41">
        <v>200</v>
      </c>
      <c r="CP12" s="55">
        <f t="shared" si="8"/>
        <v>180</v>
      </c>
      <c r="CQ12" s="56">
        <v>200</v>
      </c>
      <c r="CR12" s="44">
        <v>80</v>
      </c>
      <c r="CS12" s="63"/>
      <c r="CT12" s="41">
        <v>200</v>
      </c>
      <c r="CU12" s="55">
        <f t="shared" si="9"/>
        <v>180</v>
      </c>
      <c r="CV12" s="56">
        <v>200</v>
      </c>
      <c r="CW12" s="44">
        <v>100</v>
      </c>
      <c r="CX12" s="63"/>
      <c r="CY12" s="41">
        <v>200</v>
      </c>
      <c r="CZ12" s="55">
        <f t="shared" si="10"/>
        <v>180</v>
      </c>
      <c r="DA12" s="56">
        <v>200</v>
      </c>
      <c r="DB12" s="44">
        <v>230</v>
      </c>
      <c r="DC12" s="63"/>
      <c r="DD12" s="41">
        <v>200</v>
      </c>
      <c r="DE12" s="55">
        <f t="shared" si="11"/>
        <v>180</v>
      </c>
      <c r="DF12" s="56">
        <v>200</v>
      </c>
      <c r="DG12" s="44">
        <v>135</v>
      </c>
      <c r="DH12" s="63"/>
      <c r="DI12" s="41">
        <v>200</v>
      </c>
      <c r="DJ12" s="55">
        <f t="shared" si="12"/>
        <v>180</v>
      </c>
      <c r="DK12" s="56">
        <v>200</v>
      </c>
      <c r="DL12" s="65">
        <v>78</v>
      </c>
      <c r="DM12" s="63"/>
      <c r="DN12" s="41">
        <v>200</v>
      </c>
      <c r="DO12" s="55">
        <f t="shared" si="13"/>
        <v>180</v>
      </c>
      <c r="DP12" s="56">
        <v>200</v>
      </c>
      <c r="DQ12" s="66">
        <v>213</v>
      </c>
      <c r="DR12" s="63"/>
      <c r="DS12" s="54">
        <f t="shared" si="14"/>
        <v>2400</v>
      </c>
      <c r="DT12" s="54">
        <f t="shared" si="15"/>
        <v>168960</v>
      </c>
      <c r="DU12" s="41">
        <v>144</v>
      </c>
      <c r="DV12" s="56">
        <v>50</v>
      </c>
      <c r="DW12" s="43">
        <v>186</v>
      </c>
      <c r="DX12" s="42"/>
      <c r="DY12" s="41">
        <v>144</v>
      </c>
      <c r="DZ12" s="56">
        <v>100</v>
      </c>
      <c r="EA12" s="43">
        <v>168</v>
      </c>
      <c r="EB12" s="42"/>
      <c r="EC12" s="41">
        <v>144</v>
      </c>
      <c r="ED12" s="56">
        <v>150</v>
      </c>
      <c r="EE12" s="43"/>
      <c r="EF12" s="42"/>
      <c r="EG12" s="41">
        <v>144</v>
      </c>
      <c r="EH12" s="56">
        <v>300</v>
      </c>
      <c r="EI12" s="43"/>
      <c r="EJ12" s="42"/>
      <c r="EK12" s="41">
        <v>144</v>
      </c>
      <c r="EL12" s="56">
        <v>450</v>
      </c>
      <c r="EM12" s="44">
        <v>422</v>
      </c>
      <c r="EN12" s="42"/>
      <c r="EO12" s="41">
        <v>144</v>
      </c>
      <c r="EP12" s="56">
        <v>300</v>
      </c>
      <c r="EQ12" s="44"/>
      <c r="ER12" s="57"/>
      <c r="ES12" s="41">
        <v>144</v>
      </c>
      <c r="ET12" s="56">
        <v>300</v>
      </c>
      <c r="EU12" s="44"/>
      <c r="EV12" s="63"/>
      <c r="EW12" s="41">
        <v>144</v>
      </c>
      <c r="EX12" s="56">
        <v>300</v>
      </c>
      <c r="EY12" s="44"/>
      <c r="EZ12" s="63"/>
      <c r="FA12" s="41">
        <v>144</v>
      </c>
      <c r="FB12" s="56">
        <v>300</v>
      </c>
      <c r="FC12" s="44"/>
      <c r="FD12" s="63"/>
      <c r="FE12" s="41">
        <v>144</v>
      </c>
      <c r="FF12" s="56">
        <v>300</v>
      </c>
      <c r="FG12" s="44"/>
      <c r="FH12" s="63"/>
      <c r="FI12" s="41">
        <v>144</v>
      </c>
      <c r="FJ12" s="241">
        <v>300</v>
      </c>
      <c r="FK12" s="65"/>
      <c r="FL12" s="63"/>
      <c r="FM12" s="41">
        <v>144</v>
      </c>
      <c r="FN12" s="241">
        <v>300</v>
      </c>
      <c r="FO12" s="66"/>
      <c r="FP12" s="63"/>
      <c r="FQ12" s="54">
        <f t="shared" si="25"/>
        <v>1728</v>
      </c>
      <c r="FR12" s="54">
        <f t="shared" si="26"/>
        <v>121651.20000000001</v>
      </c>
      <c r="FS12" s="58" t="e">
        <v>#REF!</v>
      </c>
      <c r="FT12" s="56" t="e">
        <f t="shared" si="27"/>
        <v>#REF!</v>
      </c>
      <c r="FU12" s="43"/>
      <c r="FV12" s="42"/>
      <c r="FW12" s="58">
        <v>217.5</v>
      </c>
      <c r="FX12" s="56">
        <f t="shared" si="28"/>
        <v>217</v>
      </c>
      <c r="FY12" s="43"/>
      <c r="FZ12" s="42"/>
      <c r="GA12" s="59">
        <v>275</v>
      </c>
      <c r="GB12" s="56">
        <f t="shared" si="29"/>
        <v>275</v>
      </c>
      <c r="GC12" s="43"/>
      <c r="GD12" s="42"/>
      <c r="GE12" s="59">
        <v>275</v>
      </c>
      <c r="GF12" s="56">
        <f t="shared" si="30"/>
        <v>275</v>
      </c>
      <c r="GG12" s="43"/>
      <c r="GH12" s="42"/>
      <c r="GI12" s="59">
        <v>275</v>
      </c>
      <c r="GJ12" s="56">
        <f t="shared" si="31"/>
        <v>275</v>
      </c>
      <c r="GK12" s="44"/>
      <c r="GL12" s="42"/>
      <c r="GM12" s="59">
        <v>275</v>
      </c>
      <c r="GN12" s="56">
        <f t="shared" si="32"/>
        <v>275</v>
      </c>
      <c r="GO12" s="44"/>
      <c r="GP12" s="57"/>
      <c r="GQ12" s="59">
        <v>275</v>
      </c>
      <c r="GR12" s="56">
        <f t="shared" si="33"/>
        <v>275</v>
      </c>
      <c r="GS12" s="44"/>
      <c r="GT12" s="63"/>
      <c r="GU12" s="59">
        <v>275</v>
      </c>
      <c r="GV12" s="56">
        <f t="shared" si="34"/>
        <v>275</v>
      </c>
      <c r="GW12" s="44"/>
      <c r="GX12" s="63"/>
      <c r="GY12" s="59">
        <v>275</v>
      </c>
      <c r="GZ12" s="56">
        <f t="shared" si="35"/>
        <v>275</v>
      </c>
      <c r="HA12" s="44"/>
      <c r="HB12" s="63"/>
      <c r="HC12" s="59">
        <v>275</v>
      </c>
      <c r="HD12" s="56">
        <f t="shared" si="36"/>
        <v>275</v>
      </c>
      <c r="HE12" s="44"/>
      <c r="HF12" s="63"/>
      <c r="HG12" s="59">
        <v>275</v>
      </c>
      <c r="HH12" s="56">
        <f t="shared" si="37"/>
        <v>275</v>
      </c>
      <c r="HI12" s="65"/>
      <c r="HJ12" s="63"/>
      <c r="HK12" s="59">
        <v>275</v>
      </c>
      <c r="HL12" s="56">
        <f t="shared" si="38"/>
        <v>275</v>
      </c>
      <c r="HM12" s="66"/>
      <c r="HN12" s="63"/>
      <c r="HO12" s="54" t="e">
        <f t="shared" si="39"/>
        <v>#REF!</v>
      </c>
      <c r="HP12" s="54" t="e">
        <f t="shared" si="40"/>
        <v>#REF!</v>
      </c>
      <c r="HQ12" s="59">
        <v>275</v>
      </c>
      <c r="HR12" s="56">
        <f t="shared" si="41"/>
        <v>275</v>
      </c>
      <c r="HS12" s="43"/>
      <c r="HT12" s="42"/>
      <c r="HU12" s="59">
        <v>275</v>
      </c>
      <c r="HV12" s="56">
        <f t="shared" si="42"/>
        <v>275</v>
      </c>
      <c r="HW12" s="43"/>
      <c r="HX12" s="42"/>
      <c r="HY12" s="59">
        <v>275</v>
      </c>
      <c r="HZ12" s="56">
        <f t="shared" si="43"/>
        <v>275</v>
      </c>
      <c r="IA12" s="43"/>
      <c r="IB12" s="42"/>
      <c r="IC12" s="59">
        <v>275</v>
      </c>
      <c r="ID12" s="56">
        <f t="shared" si="44"/>
        <v>275</v>
      </c>
      <c r="IE12" s="43"/>
      <c r="IF12" s="42"/>
      <c r="IG12" s="59">
        <v>275</v>
      </c>
      <c r="IH12" s="56">
        <f t="shared" si="45"/>
        <v>275</v>
      </c>
      <c r="II12" s="44"/>
      <c r="IJ12" s="42"/>
      <c r="IK12" s="59">
        <v>275</v>
      </c>
      <c r="IL12" s="56">
        <f t="shared" si="46"/>
        <v>275</v>
      </c>
      <c r="IM12" s="44"/>
      <c r="IN12" s="57"/>
      <c r="IO12" s="59">
        <v>275</v>
      </c>
      <c r="IP12" s="56">
        <f t="shared" si="47"/>
        <v>275</v>
      </c>
      <c r="IQ12" s="44"/>
      <c r="IR12" s="63"/>
      <c r="IS12" s="59">
        <v>275</v>
      </c>
      <c r="IT12" s="56">
        <f t="shared" si="48"/>
        <v>275</v>
      </c>
      <c r="IU12" s="44"/>
      <c r="IV12" s="63"/>
      <c r="IW12" s="59">
        <v>275</v>
      </c>
      <c r="IX12" s="56">
        <f t="shared" si="49"/>
        <v>275</v>
      </c>
      <c r="IY12" s="44"/>
      <c r="IZ12" s="63"/>
      <c r="JA12" s="59">
        <v>275</v>
      </c>
      <c r="JB12" s="56">
        <f t="shared" si="50"/>
        <v>275</v>
      </c>
      <c r="JC12" s="44"/>
      <c r="JD12" s="63"/>
      <c r="JE12" s="59">
        <v>275</v>
      </c>
      <c r="JF12" s="56">
        <f t="shared" si="51"/>
        <v>275</v>
      </c>
      <c r="JG12" s="65"/>
      <c r="JH12" s="63"/>
      <c r="JI12" s="59">
        <v>275</v>
      </c>
      <c r="JJ12" s="56">
        <f t="shared" si="52"/>
        <v>275</v>
      </c>
      <c r="JK12" s="66"/>
      <c r="JL12" s="63"/>
      <c r="JM12" s="54">
        <f t="shared" si="53"/>
        <v>3300</v>
      </c>
      <c r="JN12" s="54">
        <f t="shared" si="54"/>
        <v>232320.00000000003</v>
      </c>
    </row>
    <row r="13" spans="1:274">
      <c r="A13" s="249"/>
      <c r="B13" s="250"/>
      <c r="C13" s="250"/>
      <c r="D13" s="249"/>
      <c r="E13" s="36">
        <v>8</v>
      </c>
      <c r="F13" s="37"/>
      <c r="G13" s="38">
        <v>4410441020</v>
      </c>
      <c r="H13" s="39" t="s">
        <v>52</v>
      </c>
      <c r="I13" s="69">
        <v>256.59355679999999</v>
      </c>
      <c r="J13" s="36"/>
      <c r="K13" s="36"/>
      <c r="L13" s="36"/>
      <c r="M13" s="41"/>
      <c r="N13" s="42"/>
      <c r="O13" s="43"/>
      <c r="P13" s="42"/>
      <c r="Q13" s="41"/>
      <c r="R13" s="42"/>
      <c r="S13" s="43"/>
      <c r="T13" s="42"/>
      <c r="U13" s="41"/>
      <c r="V13" s="42"/>
      <c r="W13" s="43"/>
      <c r="X13" s="42"/>
      <c r="Y13" s="41"/>
      <c r="Z13" s="42"/>
      <c r="AA13" s="43"/>
      <c r="AB13" s="42"/>
      <c r="AC13" s="41"/>
      <c r="AD13" s="42"/>
      <c r="AE13" s="44"/>
      <c r="AF13" s="42"/>
      <c r="AG13" s="41"/>
      <c r="AH13" s="46"/>
      <c r="AI13" s="44"/>
      <c r="AJ13" s="253"/>
      <c r="AK13" s="41"/>
      <c r="AL13" s="42"/>
      <c r="AM13" s="47"/>
      <c r="AN13" s="63"/>
      <c r="AO13" s="41"/>
      <c r="AP13" s="42"/>
      <c r="AQ13" s="43"/>
      <c r="AR13" s="64"/>
      <c r="AS13" s="41"/>
      <c r="AT13" s="42"/>
      <c r="AU13" s="44"/>
      <c r="AV13" s="63"/>
      <c r="AW13" s="41"/>
      <c r="AX13" s="42"/>
      <c r="AY13" s="44"/>
      <c r="AZ13" s="63"/>
      <c r="BA13" s="41"/>
      <c r="BB13" s="42"/>
      <c r="BC13" s="65"/>
      <c r="BD13" s="63"/>
      <c r="BE13" s="41"/>
      <c r="BF13" s="42"/>
      <c r="BG13" s="66"/>
      <c r="BH13" s="63"/>
      <c r="BI13" s="54">
        <f t="shared" si="0"/>
        <v>0</v>
      </c>
      <c r="BJ13" s="54">
        <f t="shared" si="1"/>
        <v>0</v>
      </c>
      <c r="BK13" s="41">
        <v>50</v>
      </c>
      <c r="BL13" s="55">
        <f t="shared" si="2"/>
        <v>45</v>
      </c>
      <c r="BM13" s="56">
        <v>50</v>
      </c>
      <c r="BN13" s="43">
        <v>0</v>
      </c>
      <c r="BO13" s="42"/>
      <c r="BP13" s="41">
        <v>50</v>
      </c>
      <c r="BQ13" s="55">
        <f t="shared" si="3"/>
        <v>45</v>
      </c>
      <c r="BR13" s="56">
        <v>50</v>
      </c>
      <c r="BS13" s="43">
        <v>2</v>
      </c>
      <c r="BT13" s="42"/>
      <c r="BU13" s="41">
        <v>50</v>
      </c>
      <c r="BV13" s="55">
        <f t="shared" si="4"/>
        <v>45</v>
      </c>
      <c r="BW13" s="56">
        <v>50</v>
      </c>
      <c r="BX13" s="43">
        <v>0</v>
      </c>
      <c r="BY13" s="42"/>
      <c r="BZ13" s="41">
        <v>50</v>
      </c>
      <c r="CA13" s="55">
        <f t="shared" si="5"/>
        <v>45</v>
      </c>
      <c r="CB13" s="56">
        <v>50</v>
      </c>
      <c r="CC13" s="43">
        <v>4</v>
      </c>
      <c r="CD13" s="42"/>
      <c r="CE13" s="41">
        <v>50</v>
      </c>
      <c r="CF13" s="55">
        <f t="shared" si="6"/>
        <v>45</v>
      </c>
      <c r="CG13" s="56">
        <v>50</v>
      </c>
      <c r="CH13" s="44">
        <v>0</v>
      </c>
      <c r="CI13" s="42"/>
      <c r="CJ13" s="41">
        <v>50</v>
      </c>
      <c r="CK13" s="55">
        <f t="shared" si="7"/>
        <v>45</v>
      </c>
      <c r="CL13" s="56">
        <v>50</v>
      </c>
      <c r="CM13" s="44">
        <v>8</v>
      </c>
      <c r="CN13" s="57"/>
      <c r="CO13" s="41">
        <v>50</v>
      </c>
      <c r="CP13" s="55">
        <f t="shared" si="8"/>
        <v>45</v>
      </c>
      <c r="CQ13" s="56">
        <v>50</v>
      </c>
      <c r="CR13" s="44">
        <v>23</v>
      </c>
      <c r="CS13" s="63"/>
      <c r="CT13" s="41">
        <v>50</v>
      </c>
      <c r="CU13" s="55">
        <f t="shared" si="9"/>
        <v>45</v>
      </c>
      <c r="CV13" s="56">
        <v>10</v>
      </c>
      <c r="CW13" s="44"/>
      <c r="CX13" s="63"/>
      <c r="CY13" s="41">
        <v>50</v>
      </c>
      <c r="CZ13" s="55">
        <f t="shared" si="10"/>
        <v>45</v>
      </c>
      <c r="DA13" s="56">
        <v>10</v>
      </c>
      <c r="DB13" s="44">
        <v>6</v>
      </c>
      <c r="DC13" s="63"/>
      <c r="DD13" s="41">
        <v>50</v>
      </c>
      <c r="DE13" s="55">
        <f t="shared" si="11"/>
        <v>45</v>
      </c>
      <c r="DF13" s="56">
        <v>10</v>
      </c>
      <c r="DG13" s="44">
        <v>3</v>
      </c>
      <c r="DH13" s="63"/>
      <c r="DI13" s="41">
        <v>50</v>
      </c>
      <c r="DJ13" s="55">
        <f t="shared" si="12"/>
        <v>45</v>
      </c>
      <c r="DK13" s="56">
        <v>10</v>
      </c>
      <c r="DL13" s="65">
        <v>3</v>
      </c>
      <c r="DM13" s="63"/>
      <c r="DN13" s="41">
        <v>50</v>
      </c>
      <c r="DO13" s="55">
        <f t="shared" si="13"/>
        <v>45</v>
      </c>
      <c r="DP13" s="56">
        <v>10</v>
      </c>
      <c r="DQ13" s="66">
        <v>24</v>
      </c>
      <c r="DR13" s="63"/>
      <c r="DS13" s="54">
        <f t="shared" si="14"/>
        <v>600</v>
      </c>
      <c r="DT13" s="54">
        <f t="shared" si="15"/>
        <v>153956.13407999999</v>
      </c>
      <c r="DU13" s="41">
        <v>5</v>
      </c>
      <c r="DV13" s="56">
        <f>ROUNDDOWN(DU13,0)</f>
        <v>5</v>
      </c>
      <c r="DW13" s="43">
        <v>4</v>
      </c>
      <c r="DX13" s="42"/>
      <c r="DY13" s="41">
        <v>5</v>
      </c>
      <c r="DZ13" s="56">
        <f t="shared" ref="DZ13:DZ28" si="55">ROUNDDOWN(DY13,0)</f>
        <v>5</v>
      </c>
      <c r="EA13" s="43">
        <v>30</v>
      </c>
      <c r="EB13" s="42"/>
      <c r="EC13" s="41">
        <v>5</v>
      </c>
      <c r="ED13" s="56">
        <f>ROUNDDOWN(EC13,0)</f>
        <v>5</v>
      </c>
      <c r="EE13" s="43"/>
      <c r="EF13" s="42"/>
      <c r="EG13" s="41">
        <v>5</v>
      </c>
      <c r="EH13" s="56">
        <v>15</v>
      </c>
      <c r="EI13" s="43">
        <v>18</v>
      </c>
      <c r="EJ13" s="42"/>
      <c r="EK13" s="41">
        <v>5</v>
      </c>
      <c r="EL13" s="56">
        <v>50</v>
      </c>
      <c r="EM13" s="44">
        <v>30</v>
      </c>
      <c r="EN13" s="42"/>
      <c r="EO13" s="41">
        <v>5</v>
      </c>
      <c r="EP13" s="56">
        <v>10</v>
      </c>
      <c r="EQ13" s="44"/>
      <c r="ER13" s="57"/>
      <c r="ES13" s="41">
        <v>5</v>
      </c>
      <c r="ET13" s="56">
        <v>10</v>
      </c>
      <c r="EU13" s="44"/>
      <c r="EV13" s="63"/>
      <c r="EW13" s="41">
        <v>5</v>
      </c>
      <c r="EX13" s="56">
        <v>10</v>
      </c>
      <c r="EY13" s="44"/>
      <c r="EZ13" s="63"/>
      <c r="FA13" s="41">
        <v>5</v>
      </c>
      <c r="FB13" s="56">
        <v>10</v>
      </c>
      <c r="FC13" s="44"/>
      <c r="FD13" s="63"/>
      <c r="FE13" s="41">
        <v>5</v>
      </c>
      <c r="FF13" s="56">
        <v>10</v>
      </c>
      <c r="FG13" s="44"/>
      <c r="FH13" s="63"/>
      <c r="FI13" s="41">
        <v>5</v>
      </c>
      <c r="FJ13" s="241">
        <v>10</v>
      </c>
      <c r="FK13" s="65"/>
      <c r="FL13" s="63"/>
      <c r="FM13" s="41">
        <v>5</v>
      </c>
      <c r="FN13" s="241">
        <v>10</v>
      </c>
      <c r="FO13" s="66"/>
      <c r="FP13" s="63"/>
      <c r="FQ13" s="54">
        <f t="shared" si="25"/>
        <v>60</v>
      </c>
      <c r="FR13" s="54">
        <f t="shared" si="26"/>
        <v>15395.613407999999</v>
      </c>
      <c r="FS13" s="58" t="e">
        <v>#REF!</v>
      </c>
      <c r="FT13" s="56" t="e">
        <f t="shared" si="27"/>
        <v>#REF!</v>
      </c>
      <c r="FU13" s="43"/>
      <c r="FV13" s="42"/>
      <c r="FW13" s="58">
        <v>54.375</v>
      </c>
      <c r="FX13" s="56">
        <f t="shared" si="28"/>
        <v>54</v>
      </c>
      <c r="FY13" s="43"/>
      <c r="FZ13" s="42"/>
      <c r="GA13" s="59">
        <v>68.75</v>
      </c>
      <c r="GB13" s="56">
        <f t="shared" si="29"/>
        <v>68</v>
      </c>
      <c r="GC13" s="43"/>
      <c r="GD13" s="42"/>
      <c r="GE13" s="59">
        <v>68.75</v>
      </c>
      <c r="GF13" s="56">
        <f t="shared" si="30"/>
        <v>68</v>
      </c>
      <c r="GG13" s="43"/>
      <c r="GH13" s="42"/>
      <c r="GI13" s="59">
        <v>68.75</v>
      </c>
      <c r="GJ13" s="56">
        <f t="shared" si="31"/>
        <v>68</v>
      </c>
      <c r="GK13" s="44"/>
      <c r="GL13" s="42"/>
      <c r="GM13" s="59">
        <v>68.75</v>
      </c>
      <c r="GN13" s="56">
        <f t="shared" si="32"/>
        <v>68</v>
      </c>
      <c r="GO13" s="44"/>
      <c r="GP13" s="57"/>
      <c r="GQ13" s="59">
        <v>68.75</v>
      </c>
      <c r="GR13" s="56">
        <f t="shared" si="33"/>
        <v>68</v>
      </c>
      <c r="GS13" s="44"/>
      <c r="GT13" s="63"/>
      <c r="GU13" s="59">
        <v>68.75</v>
      </c>
      <c r="GV13" s="56">
        <f t="shared" si="34"/>
        <v>68</v>
      </c>
      <c r="GW13" s="44"/>
      <c r="GX13" s="63"/>
      <c r="GY13" s="59">
        <v>68.75</v>
      </c>
      <c r="GZ13" s="56">
        <f t="shared" si="35"/>
        <v>68</v>
      </c>
      <c r="HA13" s="44"/>
      <c r="HB13" s="63"/>
      <c r="HC13" s="59">
        <v>68.75</v>
      </c>
      <c r="HD13" s="56">
        <f t="shared" si="36"/>
        <v>68</v>
      </c>
      <c r="HE13" s="44"/>
      <c r="HF13" s="63"/>
      <c r="HG13" s="59">
        <v>68.75</v>
      </c>
      <c r="HH13" s="56">
        <f t="shared" si="37"/>
        <v>68</v>
      </c>
      <c r="HI13" s="65"/>
      <c r="HJ13" s="63"/>
      <c r="HK13" s="59">
        <v>68.75</v>
      </c>
      <c r="HL13" s="56">
        <f t="shared" si="38"/>
        <v>68</v>
      </c>
      <c r="HM13" s="66"/>
      <c r="HN13" s="63"/>
      <c r="HO13" s="54" t="e">
        <f t="shared" si="39"/>
        <v>#REF!</v>
      </c>
      <c r="HP13" s="54" t="e">
        <f t="shared" si="40"/>
        <v>#REF!</v>
      </c>
      <c r="HQ13" s="59">
        <v>68.75</v>
      </c>
      <c r="HR13" s="56">
        <f t="shared" si="41"/>
        <v>68</v>
      </c>
      <c r="HS13" s="43"/>
      <c r="HT13" s="42"/>
      <c r="HU13" s="59">
        <v>68.75</v>
      </c>
      <c r="HV13" s="56">
        <f t="shared" si="42"/>
        <v>68</v>
      </c>
      <c r="HW13" s="43"/>
      <c r="HX13" s="42"/>
      <c r="HY13" s="59">
        <v>68.75</v>
      </c>
      <c r="HZ13" s="56">
        <f t="shared" si="43"/>
        <v>68</v>
      </c>
      <c r="IA13" s="43"/>
      <c r="IB13" s="42"/>
      <c r="IC13" s="59">
        <v>68.75</v>
      </c>
      <c r="ID13" s="56">
        <f t="shared" si="44"/>
        <v>68</v>
      </c>
      <c r="IE13" s="43"/>
      <c r="IF13" s="42"/>
      <c r="IG13" s="59">
        <v>68.75</v>
      </c>
      <c r="IH13" s="56">
        <f t="shared" si="45"/>
        <v>68</v>
      </c>
      <c r="II13" s="44"/>
      <c r="IJ13" s="42"/>
      <c r="IK13" s="59">
        <v>68.75</v>
      </c>
      <c r="IL13" s="56">
        <f t="shared" si="46"/>
        <v>68</v>
      </c>
      <c r="IM13" s="44"/>
      <c r="IN13" s="57"/>
      <c r="IO13" s="59">
        <v>68.75</v>
      </c>
      <c r="IP13" s="56">
        <f t="shared" si="47"/>
        <v>68</v>
      </c>
      <c r="IQ13" s="44"/>
      <c r="IR13" s="63"/>
      <c r="IS13" s="59">
        <v>68.75</v>
      </c>
      <c r="IT13" s="56">
        <f t="shared" si="48"/>
        <v>68</v>
      </c>
      <c r="IU13" s="44"/>
      <c r="IV13" s="63"/>
      <c r="IW13" s="59">
        <v>68.75</v>
      </c>
      <c r="IX13" s="56">
        <f t="shared" si="49"/>
        <v>68</v>
      </c>
      <c r="IY13" s="44"/>
      <c r="IZ13" s="63"/>
      <c r="JA13" s="59">
        <v>68.75</v>
      </c>
      <c r="JB13" s="56">
        <f t="shared" si="50"/>
        <v>68</v>
      </c>
      <c r="JC13" s="44"/>
      <c r="JD13" s="63"/>
      <c r="JE13" s="59">
        <v>68.75</v>
      </c>
      <c r="JF13" s="56">
        <f t="shared" si="51"/>
        <v>68</v>
      </c>
      <c r="JG13" s="65"/>
      <c r="JH13" s="63"/>
      <c r="JI13" s="59">
        <v>68.75</v>
      </c>
      <c r="JJ13" s="56">
        <f t="shared" si="52"/>
        <v>68</v>
      </c>
      <c r="JK13" s="66"/>
      <c r="JL13" s="63"/>
      <c r="JM13" s="54">
        <f t="shared" si="53"/>
        <v>825</v>
      </c>
      <c r="JN13" s="54">
        <f t="shared" si="54"/>
        <v>211689.68435999998</v>
      </c>
    </row>
    <row r="14" spans="1:274">
      <c r="A14" s="249"/>
      <c r="B14" s="250"/>
      <c r="C14" s="250"/>
      <c r="D14" s="249"/>
      <c r="E14" s="36">
        <v>9</v>
      </c>
      <c r="F14" s="37"/>
      <c r="G14" s="38">
        <v>4494430400</v>
      </c>
      <c r="H14" s="39" t="s">
        <v>53</v>
      </c>
      <c r="I14" s="69">
        <v>185.13808000000003</v>
      </c>
      <c r="J14" s="36"/>
      <c r="K14" s="36"/>
      <c r="L14" s="36"/>
      <c r="M14" s="41"/>
      <c r="N14" s="42"/>
      <c r="O14" s="43"/>
      <c r="P14" s="42"/>
      <c r="Q14" s="41"/>
      <c r="R14" s="42"/>
      <c r="S14" s="43"/>
      <c r="T14" s="42"/>
      <c r="U14" s="41"/>
      <c r="V14" s="42"/>
      <c r="W14" s="43"/>
      <c r="X14" s="42"/>
      <c r="Y14" s="41"/>
      <c r="Z14" s="42"/>
      <c r="AA14" s="43"/>
      <c r="AB14" s="42"/>
      <c r="AC14" s="41"/>
      <c r="AD14" s="42"/>
      <c r="AE14" s="44"/>
      <c r="AF14" s="42"/>
      <c r="AG14" s="41"/>
      <c r="AH14" s="46"/>
      <c r="AI14" s="44"/>
      <c r="AJ14" s="253"/>
      <c r="AK14" s="41"/>
      <c r="AL14" s="42"/>
      <c r="AM14" s="47"/>
      <c r="AN14" s="63"/>
      <c r="AO14" s="41"/>
      <c r="AP14" s="42"/>
      <c r="AQ14" s="43"/>
      <c r="AR14" s="64"/>
      <c r="AS14" s="41"/>
      <c r="AT14" s="42"/>
      <c r="AU14" s="44"/>
      <c r="AV14" s="63"/>
      <c r="AW14" s="41"/>
      <c r="AX14" s="42"/>
      <c r="AY14" s="44"/>
      <c r="AZ14" s="63"/>
      <c r="BA14" s="41"/>
      <c r="BB14" s="42"/>
      <c r="BC14" s="65"/>
      <c r="BD14" s="63"/>
      <c r="BE14" s="41"/>
      <c r="BF14" s="42"/>
      <c r="BG14" s="66"/>
      <c r="BH14" s="63"/>
      <c r="BI14" s="54">
        <f t="shared" si="0"/>
        <v>0</v>
      </c>
      <c r="BJ14" s="54">
        <f t="shared" si="1"/>
        <v>0</v>
      </c>
      <c r="BK14" s="41">
        <v>10</v>
      </c>
      <c r="BL14" s="55">
        <f t="shared" si="2"/>
        <v>9</v>
      </c>
      <c r="BM14" s="56">
        <v>10</v>
      </c>
      <c r="BN14" s="43">
        <v>0</v>
      </c>
      <c r="BO14" s="42"/>
      <c r="BP14" s="41">
        <v>10</v>
      </c>
      <c r="BQ14" s="55">
        <f t="shared" si="3"/>
        <v>9</v>
      </c>
      <c r="BR14" s="56">
        <v>10</v>
      </c>
      <c r="BS14" s="43">
        <v>2</v>
      </c>
      <c r="BT14" s="42"/>
      <c r="BU14" s="41">
        <v>10</v>
      </c>
      <c r="BV14" s="55">
        <f t="shared" si="4"/>
        <v>9</v>
      </c>
      <c r="BW14" s="56">
        <v>10</v>
      </c>
      <c r="BX14" s="43">
        <v>15</v>
      </c>
      <c r="BY14" s="42"/>
      <c r="BZ14" s="41">
        <v>10</v>
      </c>
      <c r="CA14" s="55">
        <f t="shared" si="5"/>
        <v>9</v>
      </c>
      <c r="CB14" s="56">
        <v>10</v>
      </c>
      <c r="CC14" s="43">
        <v>6</v>
      </c>
      <c r="CD14" s="42"/>
      <c r="CE14" s="41">
        <v>10</v>
      </c>
      <c r="CF14" s="55">
        <f t="shared" si="6"/>
        <v>9</v>
      </c>
      <c r="CG14" s="56">
        <v>10</v>
      </c>
      <c r="CH14" s="44">
        <v>10</v>
      </c>
      <c r="CI14" s="42"/>
      <c r="CJ14" s="41">
        <v>10</v>
      </c>
      <c r="CK14" s="55">
        <f t="shared" si="7"/>
        <v>9</v>
      </c>
      <c r="CL14" s="56">
        <v>10</v>
      </c>
      <c r="CM14" s="44">
        <v>3</v>
      </c>
      <c r="CN14" s="57"/>
      <c r="CO14" s="41">
        <v>10</v>
      </c>
      <c r="CP14" s="55">
        <f t="shared" si="8"/>
        <v>9</v>
      </c>
      <c r="CQ14" s="56">
        <v>10</v>
      </c>
      <c r="CR14" s="44"/>
      <c r="CS14" s="63"/>
      <c r="CT14" s="41">
        <v>10</v>
      </c>
      <c r="CU14" s="55">
        <f t="shared" si="9"/>
        <v>9</v>
      </c>
      <c r="CV14" s="56">
        <v>5</v>
      </c>
      <c r="CW14" s="44"/>
      <c r="CX14" s="63"/>
      <c r="CY14" s="41">
        <v>10</v>
      </c>
      <c r="CZ14" s="55">
        <f t="shared" si="10"/>
        <v>9</v>
      </c>
      <c r="DA14" s="56">
        <v>5</v>
      </c>
      <c r="DB14" s="44"/>
      <c r="DC14" s="63"/>
      <c r="DD14" s="41">
        <v>10</v>
      </c>
      <c r="DE14" s="55">
        <f t="shared" si="11"/>
        <v>9</v>
      </c>
      <c r="DF14" s="56">
        <v>5</v>
      </c>
      <c r="DG14" s="44"/>
      <c r="DH14" s="63"/>
      <c r="DI14" s="41">
        <v>10</v>
      </c>
      <c r="DJ14" s="55">
        <f t="shared" si="12"/>
        <v>9</v>
      </c>
      <c r="DK14" s="56">
        <v>5</v>
      </c>
      <c r="DL14" s="65">
        <v>1</v>
      </c>
      <c r="DM14" s="63"/>
      <c r="DN14" s="41">
        <v>10</v>
      </c>
      <c r="DO14" s="55">
        <f t="shared" si="13"/>
        <v>9</v>
      </c>
      <c r="DP14" s="56">
        <v>5</v>
      </c>
      <c r="DQ14" s="66"/>
      <c r="DR14" s="63"/>
      <c r="DS14" s="54">
        <f t="shared" si="14"/>
        <v>120</v>
      </c>
      <c r="DT14" s="54">
        <f t="shared" si="15"/>
        <v>22216.569600000003</v>
      </c>
      <c r="DU14" s="41">
        <v>4</v>
      </c>
      <c r="DV14" s="56">
        <f>ROUNDDOWN(DU14,0)</f>
        <v>4</v>
      </c>
      <c r="DW14" s="43"/>
      <c r="DX14" s="42"/>
      <c r="DY14" s="41">
        <v>4</v>
      </c>
      <c r="DZ14" s="56">
        <f t="shared" si="55"/>
        <v>4</v>
      </c>
      <c r="EA14" s="43">
        <v>5</v>
      </c>
      <c r="EB14" s="42"/>
      <c r="EC14" s="41">
        <v>4</v>
      </c>
      <c r="ED14" s="56">
        <f>ROUNDDOWN(EC14,0)</f>
        <v>4</v>
      </c>
      <c r="EE14" s="43">
        <v>5</v>
      </c>
      <c r="EF14" s="42"/>
      <c r="EG14" s="41">
        <v>4</v>
      </c>
      <c r="EH14" s="56">
        <f>ROUNDDOWN(EG14,0)</f>
        <v>4</v>
      </c>
      <c r="EI14" s="43">
        <v>1</v>
      </c>
      <c r="EJ14" s="42"/>
      <c r="EK14" s="41">
        <v>4</v>
      </c>
      <c r="EL14" s="56">
        <v>20</v>
      </c>
      <c r="EM14" s="44"/>
      <c r="EN14" s="42"/>
      <c r="EO14" s="41">
        <v>4</v>
      </c>
      <c r="EP14" s="56">
        <f>ROUNDDOWN(EO14,0)</f>
        <v>4</v>
      </c>
      <c r="EQ14" s="44"/>
      <c r="ER14" s="57"/>
      <c r="ES14" s="41">
        <v>4</v>
      </c>
      <c r="ET14" s="56">
        <f>ROUNDDOWN(ES14,0)</f>
        <v>4</v>
      </c>
      <c r="EU14" s="44"/>
      <c r="EV14" s="63"/>
      <c r="EW14" s="41">
        <v>4</v>
      </c>
      <c r="EX14" s="56">
        <f>ROUNDDOWN(EW14,0)</f>
        <v>4</v>
      </c>
      <c r="EY14" s="44"/>
      <c r="EZ14" s="63"/>
      <c r="FA14" s="41">
        <v>4</v>
      </c>
      <c r="FB14" s="56">
        <f>ROUNDDOWN(FA14,0)</f>
        <v>4</v>
      </c>
      <c r="FC14" s="44"/>
      <c r="FD14" s="63"/>
      <c r="FE14" s="41">
        <v>4</v>
      </c>
      <c r="FF14" s="56">
        <f>ROUNDDOWN(FE14,0)</f>
        <v>4</v>
      </c>
      <c r="FG14" s="44"/>
      <c r="FH14" s="63"/>
      <c r="FI14" s="41">
        <v>4</v>
      </c>
      <c r="FJ14" s="241">
        <f>ROUNDDOWN(FI14,0)</f>
        <v>4</v>
      </c>
      <c r="FK14" s="65"/>
      <c r="FL14" s="63"/>
      <c r="FM14" s="41">
        <v>4</v>
      </c>
      <c r="FN14" s="241">
        <f>ROUNDDOWN(FM14,0)</f>
        <v>4</v>
      </c>
      <c r="FO14" s="66"/>
      <c r="FP14" s="63"/>
      <c r="FQ14" s="54">
        <f t="shared" si="25"/>
        <v>48</v>
      </c>
      <c r="FR14" s="54">
        <f t="shared" si="26"/>
        <v>8886.627840000001</v>
      </c>
      <c r="FS14" s="58" t="e">
        <v>#REF!</v>
      </c>
      <c r="FT14" s="56" t="e">
        <f t="shared" si="27"/>
        <v>#REF!</v>
      </c>
      <c r="FU14" s="43"/>
      <c r="FV14" s="42"/>
      <c r="FW14" s="58">
        <v>10.875</v>
      </c>
      <c r="FX14" s="56">
        <f t="shared" si="28"/>
        <v>10</v>
      </c>
      <c r="FY14" s="43"/>
      <c r="FZ14" s="42"/>
      <c r="GA14" s="59">
        <v>13.750000000000002</v>
      </c>
      <c r="GB14" s="56">
        <f t="shared" si="29"/>
        <v>13</v>
      </c>
      <c r="GC14" s="43"/>
      <c r="GD14" s="42"/>
      <c r="GE14" s="59">
        <v>13.750000000000002</v>
      </c>
      <c r="GF14" s="56">
        <f t="shared" si="30"/>
        <v>13</v>
      </c>
      <c r="GG14" s="43"/>
      <c r="GH14" s="42"/>
      <c r="GI14" s="59">
        <v>13.750000000000002</v>
      </c>
      <c r="GJ14" s="56">
        <f t="shared" si="31"/>
        <v>13</v>
      </c>
      <c r="GK14" s="44"/>
      <c r="GL14" s="42"/>
      <c r="GM14" s="59">
        <v>13.750000000000002</v>
      </c>
      <c r="GN14" s="56">
        <f t="shared" si="32"/>
        <v>13</v>
      </c>
      <c r="GO14" s="44"/>
      <c r="GP14" s="57"/>
      <c r="GQ14" s="59">
        <v>13.750000000000002</v>
      </c>
      <c r="GR14" s="56">
        <f t="shared" si="33"/>
        <v>13</v>
      </c>
      <c r="GS14" s="44"/>
      <c r="GT14" s="63"/>
      <c r="GU14" s="59">
        <v>13.750000000000002</v>
      </c>
      <c r="GV14" s="56">
        <f t="shared" si="34"/>
        <v>13</v>
      </c>
      <c r="GW14" s="44"/>
      <c r="GX14" s="63"/>
      <c r="GY14" s="59">
        <v>13.750000000000002</v>
      </c>
      <c r="GZ14" s="56">
        <f t="shared" si="35"/>
        <v>13</v>
      </c>
      <c r="HA14" s="44"/>
      <c r="HB14" s="63"/>
      <c r="HC14" s="59">
        <v>13.750000000000002</v>
      </c>
      <c r="HD14" s="56">
        <f t="shared" si="36"/>
        <v>13</v>
      </c>
      <c r="HE14" s="44"/>
      <c r="HF14" s="63"/>
      <c r="HG14" s="59">
        <v>13.750000000000002</v>
      </c>
      <c r="HH14" s="56">
        <f t="shared" si="37"/>
        <v>13</v>
      </c>
      <c r="HI14" s="65"/>
      <c r="HJ14" s="63"/>
      <c r="HK14" s="59">
        <v>13.750000000000002</v>
      </c>
      <c r="HL14" s="56">
        <f t="shared" si="38"/>
        <v>13</v>
      </c>
      <c r="HM14" s="66"/>
      <c r="HN14" s="63"/>
      <c r="HO14" s="54" t="e">
        <f t="shared" si="39"/>
        <v>#REF!</v>
      </c>
      <c r="HP14" s="54" t="e">
        <f t="shared" si="40"/>
        <v>#REF!</v>
      </c>
      <c r="HQ14" s="59">
        <v>13.750000000000002</v>
      </c>
      <c r="HR14" s="56">
        <f t="shared" si="41"/>
        <v>13</v>
      </c>
      <c r="HS14" s="43"/>
      <c r="HT14" s="42"/>
      <c r="HU14" s="59">
        <v>13.750000000000002</v>
      </c>
      <c r="HV14" s="56">
        <f t="shared" si="42"/>
        <v>13</v>
      </c>
      <c r="HW14" s="43"/>
      <c r="HX14" s="42"/>
      <c r="HY14" s="59">
        <v>13.750000000000002</v>
      </c>
      <c r="HZ14" s="56">
        <f t="shared" si="43"/>
        <v>13</v>
      </c>
      <c r="IA14" s="43"/>
      <c r="IB14" s="42"/>
      <c r="IC14" s="59">
        <v>13.750000000000002</v>
      </c>
      <c r="ID14" s="56">
        <f t="shared" si="44"/>
        <v>13</v>
      </c>
      <c r="IE14" s="43"/>
      <c r="IF14" s="42"/>
      <c r="IG14" s="59">
        <v>13.750000000000002</v>
      </c>
      <c r="IH14" s="56">
        <f t="shared" si="45"/>
        <v>13</v>
      </c>
      <c r="II14" s="44"/>
      <c r="IJ14" s="42"/>
      <c r="IK14" s="59">
        <v>13.750000000000002</v>
      </c>
      <c r="IL14" s="56">
        <f t="shared" si="46"/>
        <v>13</v>
      </c>
      <c r="IM14" s="44"/>
      <c r="IN14" s="57"/>
      <c r="IO14" s="59">
        <v>13.750000000000002</v>
      </c>
      <c r="IP14" s="56">
        <f t="shared" si="47"/>
        <v>13</v>
      </c>
      <c r="IQ14" s="44"/>
      <c r="IR14" s="63"/>
      <c r="IS14" s="59">
        <v>13.750000000000002</v>
      </c>
      <c r="IT14" s="56">
        <f t="shared" si="48"/>
        <v>13</v>
      </c>
      <c r="IU14" s="44"/>
      <c r="IV14" s="63"/>
      <c r="IW14" s="59">
        <v>13.750000000000002</v>
      </c>
      <c r="IX14" s="56">
        <f t="shared" si="49"/>
        <v>13</v>
      </c>
      <c r="IY14" s="44"/>
      <c r="IZ14" s="63"/>
      <c r="JA14" s="59">
        <v>13.750000000000002</v>
      </c>
      <c r="JB14" s="56">
        <f t="shared" si="50"/>
        <v>13</v>
      </c>
      <c r="JC14" s="44"/>
      <c r="JD14" s="63"/>
      <c r="JE14" s="59">
        <v>13.750000000000002</v>
      </c>
      <c r="JF14" s="56">
        <f t="shared" si="51"/>
        <v>13</v>
      </c>
      <c r="JG14" s="65"/>
      <c r="JH14" s="63"/>
      <c r="JI14" s="59">
        <v>13.750000000000002</v>
      </c>
      <c r="JJ14" s="56">
        <f t="shared" si="52"/>
        <v>13</v>
      </c>
      <c r="JK14" s="66"/>
      <c r="JL14" s="63"/>
      <c r="JM14" s="54">
        <f t="shared" si="53"/>
        <v>165.00000000000003</v>
      </c>
      <c r="JN14" s="54">
        <f t="shared" si="54"/>
        <v>30547.783200000009</v>
      </c>
    </row>
    <row r="15" spans="1:274">
      <c r="A15" s="249"/>
      <c r="B15" s="250"/>
      <c r="C15" s="250"/>
      <c r="D15" s="249"/>
      <c r="E15" s="36">
        <v>10</v>
      </c>
      <c r="F15" s="37"/>
      <c r="G15" s="38">
        <v>4494430600</v>
      </c>
      <c r="H15" s="39" t="s">
        <v>54</v>
      </c>
      <c r="I15" s="70">
        <v>203.73104000000001</v>
      </c>
      <c r="J15" s="36"/>
      <c r="K15" s="36"/>
      <c r="L15" s="36"/>
      <c r="M15" s="41"/>
      <c r="N15" s="42"/>
      <c r="O15" s="43"/>
      <c r="P15" s="42"/>
      <c r="Q15" s="41"/>
      <c r="R15" s="42"/>
      <c r="S15" s="43"/>
      <c r="T15" s="42"/>
      <c r="U15" s="41"/>
      <c r="V15" s="42"/>
      <c r="W15" s="43"/>
      <c r="X15" s="42"/>
      <c r="Y15" s="41"/>
      <c r="Z15" s="42"/>
      <c r="AA15" s="43"/>
      <c r="AB15" s="42"/>
      <c r="AC15" s="41"/>
      <c r="AD15" s="42"/>
      <c r="AE15" s="44"/>
      <c r="AF15" s="42"/>
      <c r="AG15" s="41"/>
      <c r="AH15" s="46"/>
      <c r="AI15" s="44"/>
      <c r="AJ15" s="253"/>
      <c r="AK15" s="41"/>
      <c r="AL15" s="42"/>
      <c r="AM15" s="47"/>
      <c r="AN15" s="63"/>
      <c r="AO15" s="41"/>
      <c r="AP15" s="42"/>
      <c r="AQ15" s="43"/>
      <c r="AR15" s="64"/>
      <c r="AS15" s="41"/>
      <c r="AT15" s="42"/>
      <c r="AU15" s="44"/>
      <c r="AV15" s="63"/>
      <c r="AW15" s="41"/>
      <c r="AX15" s="42"/>
      <c r="AY15" s="44"/>
      <c r="AZ15" s="63"/>
      <c r="BA15" s="41"/>
      <c r="BB15" s="42"/>
      <c r="BC15" s="65"/>
      <c r="BD15" s="63"/>
      <c r="BE15" s="41"/>
      <c r="BF15" s="42"/>
      <c r="BG15" s="66"/>
      <c r="BH15" s="63"/>
      <c r="BI15" s="54">
        <f t="shared" si="0"/>
        <v>0</v>
      </c>
      <c r="BJ15" s="54">
        <f t="shared" si="1"/>
        <v>0</v>
      </c>
      <c r="BK15" s="41">
        <v>2</v>
      </c>
      <c r="BL15" s="55">
        <f t="shared" si="2"/>
        <v>2</v>
      </c>
      <c r="BM15" s="56">
        <v>2</v>
      </c>
      <c r="BN15" s="43">
        <v>0</v>
      </c>
      <c r="BO15" s="42"/>
      <c r="BP15" s="41">
        <v>4</v>
      </c>
      <c r="BQ15" s="55">
        <f t="shared" si="3"/>
        <v>4</v>
      </c>
      <c r="BR15" s="56">
        <v>4</v>
      </c>
      <c r="BS15" s="43">
        <v>2</v>
      </c>
      <c r="BT15" s="42"/>
      <c r="BU15" s="41">
        <v>4</v>
      </c>
      <c r="BV15" s="55">
        <f t="shared" si="4"/>
        <v>4</v>
      </c>
      <c r="BW15" s="56">
        <v>4</v>
      </c>
      <c r="BX15" s="43">
        <v>0</v>
      </c>
      <c r="BY15" s="42"/>
      <c r="BZ15" s="41">
        <v>4</v>
      </c>
      <c r="CA15" s="55">
        <f t="shared" si="5"/>
        <v>4</v>
      </c>
      <c r="CB15" s="56">
        <v>4</v>
      </c>
      <c r="CC15" s="43">
        <v>7</v>
      </c>
      <c r="CD15" s="42"/>
      <c r="CE15" s="41">
        <v>4</v>
      </c>
      <c r="CF15" s="55">
        <f t="shared" si="6"/>
        <v>4</v>
      </c>
      <c r="CG15" s="56">
        <v>4</v>
      </c>
      <c r="CH15" s="44">
        <v>10</v>
      </c>
      <c r="CI15" s="42"/>
      <c r="CJ15" s="41">
        <v>4</v>
      </c>
      <c r="CK15" s="55">
        <f t="shared" si="7"/>
        <v>4</v>
      </c>
      <c r="CL15" s="56">
        <v>4</v>
      </c>
      <c r="CM15" s="44">
        <v>2</v>
      </c>
      <c r="CN15" s="57"/>
      <c r="CO15" s="41">
        <v>4</v>
      </c>
      <c r="CP15" s="55">
        <f t="shared" si="8"/>
        <v>4</v>
      </c>
      <c r="CQ15" s="56">
        <v>4</v>
      </c>
      <c r="CR15" s="44"/>
      <c r="CS15" s="63"/>
      <c r="CT15" s="41">
        <v>4</v>
      </c>
      <c r="CU15" s="55">
        <f t="shared" si="9"/>
        <v>4</v>
      </c>
      <c r="CV15" s="56">
        <v>4</v>
      </c>
      <c r="CW15" s="44"/>
      <c r="CX15" s="63"/>
      <c r="CY15" s="41">
        <v>4</v>
      </c>
      <c r="CZ15" s="55">
        <f t="shared" si="10"/>
        <v>4</v>
      </c>
      <c r="DA15" s="56">
        <v>4</v>
      </c>
      <c r="DB15" s="44">
        <v>5</v>
      </c>
      <c r="DC15" s="63"/>
      <c r="DD15" s="41">
        <v>4</v>
      </c>
      <c r="DE15" s="55">
        <f t="shared" si="11"/>
        <v>4</v>
      </c>
      <c r="DF15" s="56">
        <v>4</v>
      </c>
      <c r="DG15" s="44"/>
      <c r="DH15" s="63"/>
      <c r="DI15" s="41">
        <v>4</v>
      </c>
      <c r="DJ15" s="55">
        <f t="shared" si="12"/>
        <v>4</v>
      </c>
      <c r="DK15" s="56">
        <v>4</v>
      </c>
      <c r="DL15" s="65"/>
      <c r="DM15" s="63"/>
      <c r="DN15" s="41">
        <v>4</v>
      </c>
      <c r="DO15" s="55">
        <f t="shared" si="13"/>
        <v>4</v>
      </c>
      <c r="DP15" s="56">
        <v>4</v>
      </c>
      <c r="DQ15" s="66"/>
      <c r="DR15" s="63"/>
      <c r="DS15" s="54">
        <f t="shared" si="14"/>
        <v>46</v>
      </c>
      <c r="DT15" s="54">
        <f t="shared" si="15"/>
        <v>9371.627840000001</v>
      </c>
      <c r="DU15" s="41">
        <v>3</v>
      </c>
      <c r="DV15" s="56">
        <f>ROUNDDOWN(DU15,0)</f>
        <v>3</v>
      </c>
      <c r="DW15" s="43"/>
      <c r="DX15" s="42"/>
      <c r="DY15" s="41">
        <v>3</v>
      </c>
      <c r="DZ15" s="56">
        <f t="shared" si="55"/>
        <v>3</v>
      </c>
      <c r="EA15" s="43">
        <v>3</v>
      </c>
      <c r="EB15" s="42"/>
      <c r="EC15" s="41">
        <v>3</v>
      </c>
      <c r="ED15" s="56">
        <f>ROUNDDOWN(EC15,0)</f>
        <v>3</v>
      </c>
      <c r="EE15" s="43"/>
      <c r="EF15" s="42"/>
      <c r="EG15" s="41">
        <v>3</v>
      </c>
      <c r="EH15" s="56">
        <f>ROUNDDOWN(EG15,0)</f>
        <v>3</v>
      </c>
      <c r="EI15" s="43"/>
      <c r="EJ15" s="42"/>
      <c r="EK15" s="41">
        <v>3</v>
      </c>
      <c r="EL15" s="56">
        <f>ROUNDDOWN(EK15,0)</f>
        <v>3</v>
      </c>
      <c r="EM15" s="44">
        <v>2</v>
      </c>
      <c r="EN15" s="42"/>
      <c r="EO15" s="41">
        <v>3</v>
      </c>
      <c r="EP15" s="56">
        <f>ROUNDDOWN(EO15,0)</f>
        <v>3</v>
      </c>
      <c r="EQ15" s="44"/>
      <c r="ER15" s="57"/>
      <c r="ES15" s="41">
        <v>3</v>
      </c>
      <c r="ET15" s="56">
        <f>ROUNDDOWN(ES15,0)</f>
        <v>3</v>
      </c>
      <c r="EU15" s="44"/>
      <c r="EV15" s="63"/>
      <c r="EW15" s="41">
        <v>3</v>
      </c>
      <c r="EX15" s="56">
        <f>ROUNDDOWN(EW15,0)</f>
        <v>3</v>
      </c>
      <c r="EY15" s="44"/>
      <c r="EZ15" s="63"/>
      <c r="FA15" s="41">
        <v>3</v>
      </c>
      <c r="FB15" s="56">
        <f>ROUNDDOWN(FA15,0)</f>
        <v>3</v>
      </c>
      <c r="FC15" s="44"/>
      <c r="FD15" s="63"/>
      <c r="FE15" s="41">
        <v>3</v>
      </c>
      <c r="FF15" s="56">
        <f>ROUNDDOWN(FE15,0)</f>
        <v>3</v>
      </c>
      <c r="FG15" s="44"/>
      <c r="FH15" s="63"/>
      <c r="FI15" s="41">
        <v>3</v>
      </c>
      <c r="FJ15" s="241">
        <f>ROUNDDOWN(FI15,0)</f>
        <v>3</v>
      </c>
      <c r="FK15" s="65"/>
      <c r="FL15" s="63"/>
      <c r="FM15" s="41">
        <v>3</v>
      </c>
      <c r="FN15" s="241">
        <f>ROUNDDOWN(FM15,0)</f>
        <v>3</v>
      </c>
      <c r="FO15" s="66"/>
      <c r="FP15" s="63"/>
      <c r="FQ15" s="54">
        <f t="shared" si="25"/>
        <v>36</v>
      </c>
      <c r="FR15" s="54">
        <f t="shared" si="26"/>
        <v>7334.3174400000007</v>
      </c>
      <c r="FS15" s="58" t="e">
        <v>#REF!</v>
      </c>
      <c r="FT15" s="56" t="e">
        <f t="shared" si="27"/>
        <v>#REF!</v>
      </c>
      <c r="FU15" s="43"/>
      <c r="FV15" s="42"/>
      <c r="FW15" s="58">
        <v>2.1749999999999998</v>
      </c>
      <c r="FX15" s="56">
        <f t="shared" si="28"/>
        <v>2</v>
      </c>
      <c r="FY15" s="43"/>
      <c r="FZ15" s="42"/>
      <c r="GA15" s="59">
        <v>2.75</v>
      </c>
      <c r="GB15" s="56">
        <f t="shared" si="29"/>
        <v>2</v>
      </c>
      <c r="GC15" s="43"/>
      <c r="GD15" s="42"/>
      <c r="GE15" s="59">
        <v>2.75</v>
      </c>
      <c r="GF15" s="56">
        <f t="shared" si="30"/>
        <v>2</v>
      </c>
      <c r="GG15" s="43"/>
      <c r="GH15" s="42"/>
      <c r="GI15" s="59">
        <v>2.75</v>
      </c>
      <c r="GJ15" s="56">
        <f t="shared" si="31"/>
        <v>2</v>
      </c>
      <c r="GK15" s="44"/>
      <c r="GL15" s="42"/>
      <c r="GM15" s="59">
        <v>2.75</v>
      </c>
      <c r="GN15" s="56">
        <f t="shared" si="32"/>
        <v>2</v>
      </c>
      <c r="GO15" s="44"/>
      <c r="GP15" s="57"/>
      <c r="GQ15" s="59">
        <v>2.75</v>
      </c>
      <c r="GR15" s="56">
        <f t="shared" si="33"/>
        <v>2</v>
      </c>
      <c r="GS15" s="44"/>
      <c r="GT15" s="63"/>
      <c r="GU15" s="59">
        <v>2.75</v>
      </c>
      <c r="GV15" s="56">
        <f t="shared" si="34"/>
        <v>2</v>
      </c>
      <c r="GW15" s="44"/>
      <c r="GX15" s="63"/>
      <c r="GY15" s="59">
        <v>2.75</v>
      </c>
      <c r="GZ15" s="56">
        <f t="shared" si="35"/>
        <v>2</v>
      </c>
      <c r="HA15" s="44"/>
      <c r="HB15" s="63"/>
      <c r="HC15" s="59">
        <v>2.75</v>
      </c>
      <c r="HD15" s="56">
        <f t="shared" si="36"/>
        <v>2</v>
      </c>
      <c r="HE15" s="44"/>
      <c r="HF15" s="63"/>
      <c r="HG15" s="59">
        <v>2.75</v>
      </c>
      <c r="HH15" s="56">
        <f t="shared" si="37"/>
        <v>2</v>
      </c>
      <c r="HI15" s="65"/>
      <c r="HJ15" s="63"/>
      <c r="HK15" s="59">
        <v>2.75</v>
      </c>
      <c r="HL15" s="56">
        <f t="shared" si="38"/>
        <v>2</v>
      </c>
      <c r="HM15" s="66"/>
      <c r="HN15" s="63"/>
      <c r="HO15" s="54" t="e">
        <f t="shared" si="39"/>
        <v>#REF!</v>
      </c>
      <c r="HP15" s="54" t="e">
        <f t="shared" si="40"/>
        <v>#REF!</v>
      </c>
      <c r="HQ15" s="59">
        <v>2.75</v>
      </c>
      <c r="HR15" s="56">
        <f t="shared" si="41"/>
        <v>2</v>
      </c>
      <c r="HS15" s="43"/>
      <c r="HT15" s="42"/>
      <c r="HU15" s="59">
        <v>2.75</v>
      </c>
      <c r="HV15" s="56">
        <f t="shared" si="42"/>
        <v>2</v>
      </c>
      <c r="HW15" s="43"/>
      <c r="HX15" s="42"/>
      <c r="HY15" s="59">
        <v>2.75</v>
      </c>
      <c r="HZ15" s="56">
        <f t="shared" si="43"/>
        <v>2</v>
      </c>
      <c r="IA15" s="43"/>
      <c r="IB15" s="42"/>
      <c r="IC15" s="59">
        <v>2.75</v>
      </c>
      <c r="ID15" s="56">
        <f t="shared" si="44"/>
        <v>2</v>
      </c>
      <c r="IE15" s="43"/>
      <c r="IF15" s="42"/>
      <c r="IG15" s="59">
        <v>2.75</v>
      </c>
      <c r="IH15" s="56">
        <f t="shared" si="45"/>
        <v>2</v>
      </c>
      <c r="II15" s="44"/>
      <c r="IJ15" s="42"/>
      <c r="IK15" s="59">
        <v>2.75</v>
      </c>
      <c r="IL15" s="56">
        <f t="shared" si="46"/>
        <v>2</v>
      </c>
      <c r="IM15" s="44"/>
      <c r="IN15" s="57"/>
      <c r="IO15" s="59">
        <v>2.75</v>
      </c>
      <c r="IP15" s="56">
        <f t="shared" si="47"/>
        <v>2</v>
      </c>
      <c r="IQ15" s="44"/>
      <c r="IR15" s="63"/>
      <c r="IS15" s="59">
        <v>2.75</v>
      </c>
      <c r="IT15" s="56">
        <f t="shared" si="48"/>
        <v>2</v>
      </c>
      <c r="IU15" s="44"/>
      <c r="IV15" s="63"/>
      <c r="IW15" s="59">
        <v>2.75</v>
      </c>
      <c r="IX15" s="56">
        <f t="shared" si="49"/>
        <v>2</v>
      </c>
      <c r="IY15" s="44"/>
      <c r="IZ15" s="63"/>
      <c r="JA15" s="59">
        <v>2.75</v>
      </c>
      <c r="JB15" s="56">
        <f t="shared" si="50"/>
        <v>2</v>
      </c>
      <c r="JC15" s="44"/>
      <c r="JD15" s="63"/>
      <c r="JE15" s="59">
        <v>2.75</v>
      </c>
      <c r="JF15" s="56">
        <f t="shared" si="51"/>
        <v>2</v>
      </c>
      <c r="JG15" s="65"/>
      <c r="JH15" s="63"/>
      <c r="JI15" s="59">
        <v>2.75</v>
      </c>
      <c r="JJ15" s="56">
        <f t="shared" si="52"/>
        <v>2</v>
      </c>
      <c r="JK15" s="66"/>
      <c r="JL15" s="63"/>
      <c r="JM15" s="54">
        <f t="shared" si="53"/>
        <v>33</v>
      </c>
      <c r="JN15" s="54">
        <f t="shared" si="54"/>
        <v>6723.1243199999999</v>
      </c>
    </row>
    <row r="16" spans="1:274">
      <c r="A16" s="249"/>
      <c r="B16" s="250"/>
      <c r="C16" s="250"/>
      <c r="D16" s="249"/>
      <c r="E16" s="36">
        <v>11</v>
      </c>
      <c r="F16" s="37"/>
      <c r="G16" s="38">
        <v>4497230300</v>
      </c>
      <c r="H16" s="39" t="s">
        <v>55</v>
      </c>
      <c r="I16" s="69">
        <v>83.44</v>
      </c>
      <c r="J16" s="36"/>
      <c r="K16" s="36"/>
      <c r="L16" s="36"/>
      <c r="M16" s="41"/>
      <c r="N16" s="42"/>
      <c r="O16" s="43"/>
      <c r="P16" s="42"/>
      <c r="Q16" s="41"/>
      <c r="R16" s="42"/>
      <c r="S16" s="43"/>
      <c r="T16" s="42"/>
      <c r="U16" s="41"/>
      <c r="V16" s="42"/>
      <c r="W16" s="43"/>
      <c r="X16" s="42"/>
      <c r="Y16" s="41"/>
      <c r="Z16" s="42"/>
      <c r="AA16" s="43"/>
      <c r="AB16" s="42"/>
      <c r="AC16" s="41"/>
      <c r="AD16" s="42"/>
      <c r="AE16" s="44"/>
      <c r="AF16" s="42"/>
      <c r="AG16" s="41"/>
      <c r="AH16" s="46"/>
      <c r="AI16" s="44"/>
      <c r="AJ16" s="253"/>
      <c r="AK16" s="41"/>
      <c r="AL16" s="42"/>
      <c r="AM16" s="47"/>
      <c r="AN16" s="63"/>
      <c r="AO16" s="41"/>
      <c r="AP16" s="42"/>
      <c r="AQ16" s="43"/>
      <c r="AR16" s="64"/>
      <c r="AS16" s="41"/>
      <c r="AT16" s="42"/>
      <c r="AU16" s="44"/>
      <c r="AV16" s="63"/>
      <c r="AW16" s="41"/>
      <c r="AX16" s="42"/>
      <c r="AY16" s="44"/>
      <c r="AZ16" s="63"/>
      <c r="BA16" s="41"/>
      <c r="BB16" s="42"/>
      <c r="BC16" s="65"/>
      <c r="BD16" s="63"/>
      <c r="BE16" s="41"/>
      <c r="BF16" s="42"/>
      <c r="BG16" s="66"/>
      <c r="BH16" s="63"/>
      <c r="BI16" s="54">
        <f t="shared" si="0"/>
        <v>0</v>
      </c>
      <c r="BJ16" s="54">
        <f t="shared" si="1"/>
        <v>0</v>
      </c>
      <c r="BK16" s="41">
        <v>35</v>
      </c>
      <c r="BL16" s="55">
        <f t="shared" si="2"/>
        <v>32</v>
      </c>
      <c r="BM16" s="56">
        <v>35</v>
      </c>
      <c r="BN16" s="43">
        <v>30</v>
      </c>
      <c r="BO16" s="42"/>
      <c r="BP16" s="41">
        <v>35</v>
      </c>
      <c r="BQ16" s="55">
        <f t="shared" si="3"/>
        <v>32</v>
      </c>
      <c r="BR16" s="56">
        <v>35</v>
      </c>
      <c r="BS16" s="43">
        <v>40</v>
      </c>
      <c r="BT16" s="42"/>
      <c r="BU16" s="41">
        <v>35</v>
      </c>
      <c r="BV16" s="55">
        <f t="shared" si="4"/>
        <v>32</v>
      </c>
      <c r="BW16" s="56">
        <v>35</v>
      </c>
      <c r="BX16" s="43">
        <v>3</v>
      </c>
      <c r="BY16" s="42"/>
      <c r="BZ16" s="41">
        <v>35</v>
      </c>
      <c r="CA16" s="55">
        <f t="shared" si="5"/>
        <v>32</v>
      </c>
      <c r="CB16" s="56">
        <v>35</v>
      </c>
      <c r="CC16" s="43">
        <v>22</v>
      </c>
      <c r="CD16" s="42"/>
      <c r="CE16" s="41">
        <v>35</v>
      </c>
      <c r="CF16" s="55">
        <f t="shared" si="6"/>
        <v>32</v>
      </c>
      <c r="CG16" s="56">
        <v>35</v>
      </c>
      <c r="CH16" s="44">
        <v>0</v>
      </c>
      <c r="CI16" s="42"/>
      <c r="CJ16" s="41">
        <v>35</v>
      </c>
      <c r="CK16" s="55">
        <f t="shared" si="7"/>
        <v>32</v>
      </c>
      <c r="CL16" s="56">
        <v>35</v>
      </c>
      <c r="CM16" s="44">
        <v>11</v>
      </c>
      <c r="CN16" s="57"/>
      <c r="CO16" s="41">
        <v>35</v>
      </c>
      <c r="CP16" s="55">
        <f t="shared" si="8"/>
        <v>32</v>
      </c>
      <c r="CQ16" s="56">
        <v>35</v>
      </c>
      <c r="CR16" s="44">
        <v>7</v>
      </c>
      <c r="CS16" s="63"/>
      <c r="CT16" s="41">
        <v>35</v>
      </c>
      <c r="CU16" s="55">
        <f t="shared" si="9"/>
        <v>32</v>
      </c>
      <c r="CV16" s="56">
        <v>20</v>
      </c>
      <c r="CW16" s="44"/>
      <c r="CX16" s="63"/>
      <c r="CY16" s="41">
        <v>35</v>
      </c>
      <c r="CZ16" s="55">
        <f t="shared" si="10"/>
        <v>32</v>
      </c>
      <c r="DA16" s="56">
        <v>20</v>
      </c>
      <c r="DB16" s="44">
        <v>18</v>
      </c>
      <c r="DC16" s="63"/>
      <c r="DD16" s="41">
        <v>35</v>
      </c>
      <c r="DE16" s="55">
        <f t="shared" si="11"/>
        <v>32</v>
      </c>
      <c r="DF16" s="56">
        <v>20</v>
      </c>
      <c r="DG16" s="44">
        <v>22</v>
      </c>
      <c r="DH16" s="63"/>
      <c r="DI16" s="41">
        <v>35</v>
      </c>
      <c r="DJ16" s="55">
        <f t="shared" si="12"/>
        <v>32</v>
      </c>
      <c r="DK16" s="56">
        <v>20</v>
      </c>
      <c r="DL16" s="65">
        <v>14</v>
      </c>
      <c r="DM16" s="63"/>
      <c r="DN16" s="41">
        <v>35</v>
      </c>
      <c r="DO16" s="55">
        <f t="shared" si="13"/>
        <v>32</v>
      </c>
      <c r="DP16" s="56">
        <v>20</v>
      </c>
      <c r="DQ16" s="66">
        <v>30</v>
      </c>
      <c r="DR16" s="63"/>
      <c r="DS16" s="54">
        <f t="shared" si="14"/>
        <v>420</v>
      </c>
      <c r="DT16" s="54">
        <f t="shared" si="15"/>
        <v>35044.799999999996</v>
      </c>
      <c r="DU16" s="41">
        <v>15</v>
      </c>
      <c r="DV16" s="56">
        <v>5</v>
      </c>
      <c r="DW16" s="43">
        <v>20</v>
      </c>
      <c r="DX16" s="42"/>
      <c r="DY16" s="41">
        <v>15</v>
      </c>
      <c r="DZ16" s="56">
        <f t="shared" si="55"/>
        <v>15</v>
      </c>
      <c r="EA16" s="43">
        <v>42</v>
      </c>
      <c r="EB16" s="42"/>
      <c r="EC16" s="41">
        <v>15</v>
      </c>
      <c r="ED16" s="56">
        <v>50</v>
      </c>
      <c r="EE16" s="43">
        <v>80</v>
      </c>
      <c r="EF16" s="42"/>
      <c r="EG16" s="41">
        <v>15</v>
      </c>
      <c r="EH16" s="56">
        <v>60</v>
      </c>
      <c r="EI16" s="43">
        <v>85</v>
      </c>
      <c r="EJ16" s="42"/>
      <c r="EK16" s="41">
        <v>15</v>
      </c>
      <c r="EL16" s="56">
        <v>40</v>
      </c>
      <c r="EM16" s="44">
        <v>32</v>
      </c>
      <c r="EN16" s="42"/>
      <c r="EO16" s="41">
        <v>15</v>
      </c>
      <c r="EP16" s="56">
        <v>40</v>
      </c>
      <c r="EQ16" s="44"/>
      <c r="ER16" s="57"/>
      <c r="ES16" s="41">
        <v>15</v>
      </c>
      <c r="ET16" s="56">
        <v>40</v>
      </c>
      <c r="EU16" s="44"/>
      <c r="EV16" s="63"/>
      <c r="EW16" s="41">
        <v>15</v>
      </c>
      <c r="EX16" s="56">
        <v>40</v>
      </c>
      <c r="EY16" s="44"/>
      <c r="EZ16" s="63"/>
      <c r="FA16" s="41">
        <v>15</v>
      </c>
      <c r="FB16" s="56">
        <v>40</v>
      </c>
      <c r="FC16" s="44"/>
      <c r="FD16" s="63"/>
      <c r="FE16" s="41">
        <v>15</v>
      </c>
      <c r="FF16" s="56">
        <v>40</v>
      </c>
      <c r="FG16" s="44"/>
      <c r="FH16" s="63"/>
      <c r="FI16" s="41">
        <v>15</v>
      </c>
      <c r="FJ16" s="241">
        <v>40</v>
      </c>
      <c r="FK16" s="65"/>
      <c r="FL16" s="63"/>
      <c r="FM16" s="41">
        <v>15</v>
      </c>
      <c r="FN16" s="241">
        <v>40</v>
      </c>
      <c r="FO16" s="66"/>
      <c r="FP16" s="63"/>
      <c r="FQ16" s="54">
        <f t="shared" si="25"/>
        <v>180</v>
      </c>
      <c r="FR16" s="54">
        <f t="shared" si="26"/>
        <v>15019.199999999999</v>
      </c>
      <c r="FS16" s="58" t="e">
        <v>#REF!</v>
      </c>
      <c r="FT16" s="56" t="e">
        <f t="shared" si="27"/>
        <v>#REF!</v>
      </c>
      <c r="FU16" s="43"/>
      <c r="FV16" s="42"/>
      <c r="FW16" s="58">
        <v>38.0625</v>
      </c>
      <c r="FX16" s="56">
        <f t="shared" si="28"/>
        <v>38</v>
      </c>
      <c r="FY16" s="43"/>
      <c r="FZ16" s="42"/>
      <c r="GA16" s="59">
        <v>48.125000000000007</v>
      </c>
      <c r="GB16" s="56">
        <f t="shared" si="29"/>
        <v>48</v>
      </c>
      <c r="GC16" s="43"/>
      <c r="GD16" s="42"/>
      <c r="GE16" s="59">
        <v>48.125000000000007</v>
      </c>
      <c r="GF16" s="56">
        <f t="shared" si="30"/>
        <v>48</v>
      </c>
      <c r="GG16" s="43"/>
      <c r="GH16" s="42"/>
      <c r="GI16" s="59">
        <v>48.125000000000007</v>
      </c>
      <c r="GJ16" s="56">
        <f t="shared" si="31"/>
        <v>48</v>
      </c>
      <c r="GK16" s="44"/>
      <c r="GL16" s="42"/>
      <c r="GM16" s="59">
        <v>48.125000000000007</v>
      </c>
      <c r="GN16" s="56">
        <f t="shared" si="32"/>
        <v>48</v>
      </c>
      <c r="GO16" s="44"/>
      <c r="GP16" s="57"/>
      <c r="GQ16" s="59">
        <v>48.125000000000007</v>
      </c>
      <c r="GR16" s="56">
        <f t="shared" si="33"/>
        <v>48</v>
      </c>
      <c r="GS16" s="44"/>
      <c r="GT16" s="63"/>
      <c r="GU16" s="59">
        <v>48.125000000000007</v>
      </c>
      <c r="GV16" s="56">
        <f t="shared" si="34"/>
        <v>48</v>
      </c>
      <c r="GW16" s="44"/>
      <c r="GX16" s="63"/>
      <c r="GY16" s="59">
        <v>48.125000000000007</v>
      </c>
      <c r="GZ16" s="56">
        <f t="shared" si="35"/>
        <v>48</v>
      </c>
      <c r="HA16" s="44"/>
      <c r="HB16" s="63"/>
      <c r="HC16" s="59">
        <v>48.125000000000007</v>
      </c>
      <c r="HD16" s="56">
        <f t="shared" si="36"/>
        <v>48</v>
      </c>
      <c r="HE16" s="44"/>
      <c r="HF16" s="63"/>
      <c r="HG16" s="59">
        <v>48.125000000000007</v>
      </c>
      <c r="HH16" s="56">
        <f t="shared" si="37"/>
        <v>48</v>
      </c>
      <c r="HI16" s="65"/>
      <c r="HJ16" s="63"/>
      <c r="HK16" s="59">
        <v>48.125000000000007</v>
      </c>
      <c r="HL16" s="56">
        <f t="shared" si="38"/>
        <v>48</v>
      </c>
      <c r="HM16" s="66"/>
      <c r="HN16" s="63"/>
      <c r="HO16" s="54" t="e">
        <f t="shared" si="39"/>
        <v>#REF!</v>
      </c>
      <c r="HP16" s="54" t="e">
        <f t="shared" si="40"/>
        <v>#REF!</v>
      </c>
      <c r="HQ16" s="59">
        <v>48.125000000000007</v>
      </c>
      <c r="HR16" s="56">
        <f t="shared" si="41"/>
        <v>48</v>
      </c>
      <c r="HS16" s="43"/>
      <c r="HT16" s="42"/>
      <c r="HU16" s="59">
        <v>48.125000000000007</v>
      </c>
      <c r="HV16" s="56">
        <f t="shared" si="42"/>
        <v>48</v>
      </c>
      <c r="HW16" s="43"/>
      <c r="HX16" s="42"/>
      <c r="HY16" s="59">
        <v>48.125000000000007</v>
      </c>
      <c r="HZ16" s="56">
        <f t="shared" si="43"/>
        <v>48</v>
      </c>
      <c r="IA16" s="43"/>
      <c r="IB16" s="42"/>
      <c r="IC16" s="59">
        <v>48.125000000000007</v>
      </c>
      <c r="ID16" s="56">
        <f t="shared" si="44"/>
        <v>48</v>
      </c>
      <c r="IE16" s="43"/>
      <c r="IF16" s="42"/>
      <c r="IG16" s="59">
        <v>48.125000000000007</v>
      </c>
      <c r="IH16" s="56">
        <f t="shared" si="45"/>
        <v>48</v>
      </c>
      <c r="II16" s="44"/>
      <c r="IJ16" s="42"/>
      <c r="IK16" s="59">
        <v>48.125000000000007</v>
      </c>
      <c r="IL16" s="56">
        <f t="shared" si="46"/>
        <v>48</v>
      </c>
      <c r="IM16" s="44"/>
      <c r="IN16" s="57"/>
      <c r="IO16" s="59">
        <v>48.125000000000007</v>
      </c>
      <c r="IP16" s="56">
        <f t="shared" si="47"/>
        <v>48</v>
      </c>
      <c r="IQ16" s="44"/>
      <c r="IR16" s="63"/>
      <c r="IS16" s="59">
        <v>48.125000000000007</v>
      </c>
      <c r="IT16" s="56">
        <f t="shared" si="48"/>
        <v>48</v>
      </c>
      <c r="IU16" s="44"/>
      <c r="IV16" s="63"/>
      <c r="IW16" s="59">
        <v>48.125000000000007</v>
      </c>
      <c r="IX16" s="56">
        <f t="shared" si="49"/>
        <v>48</v>
      </c>
      <c r="IY16" s="44"/>
      <c r="IZ16" s="63"/>
      <c r="JA16" s="59">
        <v>48.125000000000007</v>
      </c>
      <c r="JB16" s="56">
        <f t="shared" si="50"/>
        <v>48</v>
      </c>
      <c r="JC16" s="44"/>
      <c r="JD16" s="63"/>
      <c r="JE16" s="59">
        <v>48.125000000000007</v>
      </c>
      <c r="JF16" s="56">
        <f t="shared" si="51"/>
        <v>48</v>
      </c>
      <c r="JG16" s="65"/>
      <c r="JH16" s="63"/>
      <c r="JI16" s="59">
        <v>48.125000000000007</v>
      </c>
      <c r="JJ16" s="56">
        <f t="shared" si="52"/>
        <v>48</v>
      </c>
      <c r="JK16" s="66"/>
      <c r="JL16" s="63"/>
      <c r="JM16" s="54">
        <f t="shared" si="53"/>
        <v>577.50000000000011</v>
      </c>
      <c r="JN16" s="54">
        <f t="shared" si="54"/>
        <v>48186.600000000006</v>
      </c>
    </row>
    <row r="17" spans="1:274">
      <c r="A17" s="249"/>
      <c r="B17" s="250"/>
      <c r="C17" s="250"/>
      <c r="D17" s="249"/>
      <c r="E17" s="36">
        <v>12</v>
      </c>
      <c r="F17" s="37"/>
      <c r="G17" s="38">
        <v>4527110560</v>
      </c>
      <c r="H17" s="39" t="s">
        <v>56</v>
      </c>
      <c r="I17" s="69">
        <v>89.511600000000001</v>
      </c>
      <c r="J17" s="36"/>
      <c r="K17" s="36"/>
      <c r="L17" s="36"/>
      <c r="M17" s="41"/>
      <c r="N17" s="42"/>
      <c r="O17" s="43"/>
      <c r="P17" s="42"/>
      <c r="Q17" s="41"/>
      <c r="R17" s="42"/>
      <c r="S17" s="43"/>
      <c r="T17" s="42"/>
      <c r="U17" s="41"/>
      <c r="V17" s="42"/>
      <c r="W17" s="43"/>
      <c r="X17" s="42"/>
      <c r="Y17" s="41"/>
      <c r="Z17" s="42"/>
      <c r="AA17" s="43"/>
      <c r="AB17" s="42"/>
      <c r="AC17" s="41"/>
      <c r="AD17" s="42"/>
      <c r="AE17" s="44"/>
      <c r="AF17" s="42"/>
      <c r="AG17" s="41"/>
      <c r="AH17" s="46"/>
      <c r="AI17" s="44"/>
      <c r="AJ17" s="253"/>
      <c r="AK17" s="41"/>
      <c r="AL17" s="42"/>
      <c r="AM17" s="47"/>
      <c r="AN17" s="63"/>
      <c r="AO17" s="41"/>
      <c r="AP17" s="42"/>
      <c r="AQ17" s="43"/>
      <c r="AR17" s="64"/>
      <c r="AS17" s="41"/>
      <c r="AT17" s="42"/>
      <c r="AU17" s="44"/>
      <c r="AV17" s="63"/>
      <c r="AW17" s="41"/>
      <c r="AX17" s="42"/>
      <c r="AY17" s="44"/>
      <c r="AZ17" s="63"/>
      <c r="BA17" s="41"/>
      <c r="BB17" s="42"/>
      <c r="BC17" s="65"/>
      <c r="BD17" s="63"/>
      <c r="BE17" s="41"/>
      <c r="BF17" s="42"/>
      <c r="BG17" s="66"/>
      <c r="BH17" s="63"/>
      <c r="BI17" s="54">
        <f t="shared" si="0"/>
        <v>0</v>
      </c>
      <c r="BJ17" s="54">
        <f t="shared" si="1"/>
        <v>0</v>
      </c>
      <c r="BK17" s="41">
        <v>8</v>
      </c>
      <c r="BL17" s="55">
        <f t="shared" si="2"/>
        <v>7</v>
      </c>
      <c r="BM17" s="56">
        <v>8</v>
      </c>
      <c r="BN17" s="43">
        <v>0</v>
      </c>
      <c r="BO17" s="42"/>
      <c r="BP17" s="41">
        <v>12</v>
      </c>
      <c r="BQ17" s="55">
        <f t="shared" si="3"/>
        <v>11</v>
      </c>
      <c r="BR17" s="56">
        <v>12</v>
      </c>
      <c r="BS17" s="43">
        <v>7</v>
      </c>
      <c r="BT17" s="42"/>
      <c r="BU17" s="41">
        <v>12</v>
      </c>
      <c r="BV17" s="55">
        <f t="shared" si="4"/>
        <v>11</v>
      </c>
      <c r="BW17" s="56">
        <v>12</v>
      </c>
      <c r="BX17" s="43">
        <v>0</v>
      </c>
      <c r="BY17" s="42"/>
      <c r="BZ17" s="41">
        <v>12</v>
      </c>
      <c r="CA17" s="55">
        <f t="shared" si="5"/>
        <v>11</v>
      </c>
      <c r="CB17" s="56">
        <v>12</v>
      </c>
      <c r="CC17" s="43">
        <v>5</v>
      </c>
      <c r="CD17" s="42"/>
      <c r="CE17" s="41">
        <v>12</v>
      </c>
      <c r="CF17" s="55">
        <f t="shared" si="6"/>
        <v>11</v>
      </c>
      <c r="CG17" s="56">
        <v>12</v>
      </c>
      <c r="CH17" s="44">
        <v>0</v>
      </c>
      <c r="CI17" s="42"/>
      <c r="CJ17" s="41">
        <v>12</v>
      </c>
      <c r="CK17" s="55">
        <f t="shared" si="7"/>
        <v>11</v>
      </c>
      <c r="CL17" s="56">
        <v>12</v>
      </c>
      <c r="CM17" s="44">
        <v>5</v>
      </c>
      <c r="CN17" s="57"/>
      <c r="CO17" s="41">
        <v>12</v>
      </c>
      <c r="CP17" s="55">
        <f t="shared" si="8"/>
        <v>11</v>
      </c>
      <c r="CQ17" s="56">
        <v>12</v>
      </c>
      <c r="CR17" s="44"/>
      <c r="CS17" s="63"/>
      <c r="CT17" s="41">
        <v>12</v>
      </c>
      <c r="CU17" s="55">
        <f t="shared" si="9"/>
        <v>11</v>
      </c>
      <c r="CV17" s="56">
        <v>10</v>
      </c>
      <c r="CW17" s="44">
        <v>5</v>
      </c>
      <c r="CX17" s="63"/>
      <c r="CY17" s="41">
        <v>12</v>
      </c>
      <c r="CZ17" s="55">
        <f t="shared" si="10"/>
        <v>11</v>
      </c>
      <c r="DA17" s="56">
        <v>10</v>
      </c>
      <c r="DB17" s="44"/>
      <c r="DC17" s="63"/>
      <c r="DD17" s="41">
        <v>12</v>
      </c>
      <c r="DE17" s="55">
        <f t="shared" si="11"/>
        <v>11</v>
      </c>
      <c r="DF17" s="56">
        <v>10</v>
      </c>
      <c r="DG17" s="44"/>
      <c r="DH17" s="63"/>
      <c r="DI17" s="41">
        <v>12</v>
      </c>
      <c r="DJ17" s="55">
        <f t="shared" si="12"/>
        <v>11</v>
      </c>
      <c r="DK17" s="56">
        <v>10</v>
      </c>
      <c r="DL17" s="65"/>
      <c r="DM17" s="63"/>
      <c r="DN17" s="41">
        <v>12</v>
      </c>
      <c r="DO17" s="55">
        <f t="shared" si="13"/>
        <v>11</v>
      </c>
      <c r="DP17" s="56">
        <v>10</v>
      </c>
      <c r="DQ17" s="66"/>
      <c r="DR17" s="63"/>
      <c r="DS17" s="54">
        <f t="shared" si="14"/>
        <v>140</v>
      </c>
      <c r="DT17" s="54">
        <f t="shared" si="15"/>
        <v>12531.624</v>
      </c>
      <c r="DU17" s="41">
        <v>3</v>
      </c>
      <c r="DV17" s="56">
        <f t="shared" ref="DV17:DV25" si="56">ROUNDDOWN(DU17,0)</f>
        <v>3</v>
      </c>
      <c r="DW17" s="43">
        <v>10</v>
      </c>
      <c r="DX17" s="42"/>
      <c r="DY17" s="41">
        <v>3</v>
      </c>
      <c r="DZ17" s="56">
        <f t="shared" si="55"/>
        <v>3</v>
      </c>
      <c r="EA17" s="43">
        <v>17</v>
      </c>
      <c r="EB17" s="42"/>
      <c r="EC17" s="41">
        <v>3</v>
      </c>
      <c r="ED17" s="56">
        <f t="shared" ref="ED17:ED34" si="57">ROUNDDOWN(EC17,0)</f>
        <v>3</v>
      </c>
      <c r="EE17" s="43">
        <v>15</v>
      </c>
      <c r="EF17" s="42"/>
      <c r="EG17" s="41">
        <v>3</v>
      </c>
      <c r="EH17" s="56">
        <f t="shared" ref="EH17:EH25" si="58">ROUNDDOWN(EG17,0)</f>
        <v>3</v>
      </c>
      <c r="EI17" s="43">
        <v>20</v>
      </c>
      <c r="EJ17" s="42"/>
      <c r="EK17" s="41">
        <v>3</v>
      </c>
      <c r="EL17" s="56">
        <f t="shared" ref="EL17:EL33" si="59">ROUNDDOWN(EK17,0)</f>
        <v>3</v>
      </c>
      <c r="EM17" s="44">
        <v>13</v>
      </c>
      <c r="EN17" s="42"/>
      <c r="EO17" s="41">
        <v>3</v>
      </c>
      <c r="EP17" s="56">
        <f t="shared" ref="EP17:EP33" si="60">ROUNDDOWN(EO17,0)</f>
        <v>3</v>
      </c>
      <c r="EQ17" s="44"/>
      <c r="ER17" s="57"/>
      <c r="ES17" s="41">
        <v>3</v>
      </c>
      <c r="ET17" s="56">
        <f t="shared" ref="ET17:ET33" si="61">ROUNDDOWN(ES17,0)</f>
        <v>3</v>
      </c>
      <c r="EU17" s="44"/>
      <c r="EV17" s="63"/>
      <c r="EW17" s="41">
        <v>3</v>
      </c>
      <c r="EX17" s="56">
        <f t="shared" ref="EX17:EX33" si="62">ROUNDDOWN(EW17,0)</f>
        <v>3</v>
      </c>
      <c r="EY17" s="44"/>
      <c r="EZ17" s="63"/>
      <c r="FA17" s="41">
        <v>3</v>
      </c>
      <c r="FB17" s="56">
        <f t="shared" ref="FB17:FB33" si="63">ROUNDDOWN(FA17,0)</f>
        <v>3</v>
      </c>
      <c r="FC17" s="44"/>
      <c r="FD17" s="63"/>
      <c r="FE17" s="41">
        <v>3</v>
      </c>
      <c r="FF17" s="56">
        <f t="shared" ref="FF17:FF33" si="64">ROUNDDOWN(FE17,0)</f>
        <v>3</v>
      </c>
      <c r="FG17" s="44"/>
      <c r="FH17" s="63"/>
      <c r="FI17" s="41">
        <v>3</v>
      </c>
      <c r="FJ17" s="241">
        <f t="shared" ref="FJ17:FJ33" si="65">ROUNDDOWN(FI17,0)</f>
        <v>3</v>
      </c>
      <c r="FK17" s="65"/>
      <c r="FL17" s="63"/>
      <c r="FM17" s="41">
        <v>3</v>
      </c>
      <c r="FN17" s="241">
        <f t="shared" ref="FN17:FN33" si="66">ROUNDDOWN(FM17,0)</f>
        <v>3</v>
      </c>
      <c r="FO17" s="66"/>
      <c r="FP17" s="63"/>
      <c r="FQ17" s="54">
        <f t="shared" si="25"/>
        <v>36</v>
      </c>
      <c r="FR17" s="54">
        <f t="shared" si="26"/>
        <v>3222.4176000000002</v>
      </c>
      <c r="FS17" s="58" t="e">
        <v>#REF!</v>
      </c>
      <c r="FT17" s="56" t="e">
        <f t="shared" si="27"/>
        <v>#REF!</v>
      </c>
      <c r="FU17" s="43"/>
      <c r="FV17" s="42"/>
      <c r="FW17" s="58">
        <v>8.6999999999999993</v>
      </c>
      <c r="FX17" s="56">
        <f t="shared" si="28"/>
        <v>8</v>
      </c>
      <c r="FY17" s="43"/>
      <c r="FZ17" s="42"/>
      <c r="GA17" s="59">
        <v>11</v>
      </c>
      <c r="GB17" s="56">
        <f t="shared" si="29"/>
        <v>11</v>
      </c>
      <c r="GC17" s="43"/>
      <c r="GD17" s="42"/>
      <c r="GE17" s="59">
        <v>11</v>
      </c>
      <c r="GF17" s="56">
        <f t="shared" si="30"/>
        <v>11</v>
      </c>
      <c r="GG17" s="43"/>
      <c r="GH17" s="42"/>
      <c r="GI17" s="59">
        <v>11</v>
      </c>
      <c r="GJ17" s="56">
        <f t="shared" si="31"/>
        <v>11</v>
      </c>
      <c r="GK17" s="44"/>
      <c r="GL17" s="42"/>
      <c r="GM17" s="59">
        <v>11</v>
      </c>
      <c r="GN17" s="56">
        <f t="shared" si="32"/>
        <v>11</v>
      </c>
      <c r="GO17" s="44"/>
      <c r="GP17" s="57"/>
      <c r="GQ17" s="59">
        <v>11</v>
      </c>
      <c r="GR17" s="56">
        <f t="shared" si="33"/>
        <v>11</v>
      </c>
      <c r="GS17" s="44"/>
      <c r="GT17" s="63"/>
      <c r="GU17" s="59">
        <v>11</v>
      </c>
      <c r="GV17" s="56">
        <f t="shared" si="34"/>
        <v>11</v>
      </c>
      <c r="GW17" s="44"/>
      <c r="GX17" s="63"/>
      <c r="GY17" s="59">
        <v>11</v>
      </c>
      <c r="GZ17" s="56">
        <f t="shared" si="35"/>
        <v>11</v>
      </c>
      <c r="HA17" s="44"/>
      <c r="HB17" s="63"/>
      <c r="HC17" s="59">
        <v>11</v>
      </c>
      <c r="HD17" s="56">
        <f t="shared" si="36"/>
        <v>11</v>
      </c>
      <c r="HE17" s="44"/>
      <c r="HF17" s="63"/>
      <c r="HG17" s="59">
        <v>11</v>
      </c>
      <c r="HH17" s="56">
        <f t="shared" si="37"/>
        <v>11</v>
      </c>
      <c r="HI17" s="65"/>
      <c r="HJ17" s="63"/>
      <c r="HK17" s="59">
        <v>11</v>
      </c>
      <c r="HL17" s="56">
        <f t="shared" si="38"/>
        <v>11</v>
      </c>
      <c r="HM17" s="66"/>
      <c r="HN17" s="63"/>
      <c r="HO17" s="54" t="e">
        <f t="shared" si="39"/>
        <v>#REF!</v>
      </c>
      <c r="HP17" s="54" t="e">
        <f t="shared" si="40"/>
        <v>#REF!</v>
      </c>
      <c r="HQ17" s="59">
        <v>11</v>
      </c>
      <c r="HR17" s="56">
        <f t="shared" si="41"/>
        <v>11</v>
      </c>
      <c r="HS17" s="43"/>
      <c r="HT17" s="42"/>
      <c r="HU17" s="59">
        <v>11</v>
      </c>
      <c r="HV17" s="56">
        <f t="shared" si="42"/>
        <v>11</v>
      </c>
      <c r="HW17" s="43"/>
      <c r="HX17" s="42"/>
      <c r="HY17" s="59">
        <v>11</v>
      </c>
      <c r="HZ17" s="56">
        <f t="shared" si="43"/>
        <v>11</v>
      </c>
      <c r="IA17" s="43"/>
      <c r="IB17" s="42"/>
      <c r="IC17" s="59">
        <v>11</v>
      </c>
      <c r="ID17" s="56">
        <f t="shared" si="44"/>
        <v>11</v>
      </c>
      <c r="IE17" s="43"/>
      <c r="IF17" s="42"/>
      <c r="IG17" s="59">
        <v>11</v>
      </c>
      <c r="IH17" s="56">
        <f t="shared" si="45"/>
        <v>11</v>
      </c>
      <c r="II17" s="44"/>
      <c r="IJ17" s="42"/>
      <c r="IK17" s="59">
        <v>11</v>
      </c>
      <c r="IL17" s="56">
        <f t="shared" si="46"/>
        <v>11</v>
      </c>
      <c r="IM17" s="44"/>
      <c r="IN17" s="57"/>
      <c r="IO17" s="59">
        <v>11</v>
      </c>
      <c r="IP17" s="56">
        <f t="shared" si="47"/>
        <v>11</v>
      </c>
      <c r="IQ17" s="44"/>
      <c r="IR17" s="63"/>
      <c r="IS17" s="59">
        <v>11</v>
      </c>
      <c r="IT17" s="56">
        <f t="shared" si="48"/>
        <v>11</v>
      </c>
      <c r="IU17" s="44"/>
      <c r="IV17" s="63"/>
      <c r="IW17" s="59">
        <v>11</v>
      </c>
      <c r="IX17" s="56">
        <f t="shared" si="49"/>
        <v>11</v>
      </c>
      <c r="IY17" s="44"/>
      <c r="IZ17" s="63"/>
      <c r="JA17" s="59">
        <v>11</v>
      </c>
      <c r="JB17" s="56">
        <f t="shared" si="50"/>
        <v>11</v>
      </c>
      <c r="JC17" s="44"/>
      <c r="JD17" s="63"/>
      <c r="JE17" s="59">
        <v>11</v>
      </c>
      <c r="JF17" s="56">
        <f t="shared" si="51"/>
        <v>11</v>
      </c>
      <c r="JG17" s="65"/>
      <c r="JH17" s="63"/>
      <c r="JI17" s="59">
        <v>11</v>
      </c>
      <c r="JJ17" s="56">
        <f t="shared" si="52"/>
        <v>11</v>
      </c>
      <c r="JK17" s="66"/>
      <c r="JL17" s="63"/>
      <c r="JM17" s="54">
        <f t="shared" si="53"/>
        <v>132</v>
      </c>
      <c r="JN17" s="54">
        <f t="shared" si="54"/>
        <v>11815.531199999999</v>
      </c>
    </row>
    <row r="18" spans="1:274">
      <c r="A18" s="249"/>
      <c r="B18" s="250"/>
      <c r="C18" s="250"/>
      <c r="D18" s="249"/>
      <c r="E18" s="36">
        <v>13</v>
      </c>
      <c r="F18" s="37"/>
      <c r="G18" s="38">
        <v>4527110570</v>
      </c>
      <c r="H18" s="39" t="s">
        <v>57</v>
      </c>
      <c r="I18" s="71">
        <v>89.511600000000001</v>
      </c>
      <c r="J18" s="36"/>
      <c r="K18" s="36"/>
      <c r="L18" s="36"/>
      <c r="M18" s="41"/>
      <c r="N18" s="42"/>
      <c r="O18" s="43"/>
      <c r="P18" s="42"/>
      <c r="Q18" s="41"/>
      <c r="R18" s="42"/>
      <c r="S18" s="43"/>
      <c r="T18" s="42"/>
      <c r="U18" s="41"/>
      <c r="V18" s="42"/>
      <c r="W18" s="43"/>
      <c r="X18" s="42"/>
      <c r="Y18" s="41"/>
      <c r="Z18" s="42"/>
      <c r="AA18" s="43"/>
      <c r="AB18" s="42"/>
      <c r="AC18" s="41"/>
      <c r="AD18" s="42"/>
      <c r="AE18" s="44"/>
      <c r="AF18" s="42"/>
      <c r="AG18" s="41"/>
      <c r="AH18" s="46"/>
      <c r="AI18" s="44"/>
      <c r="AJ18" s="253"/>
      <c r="AK18" s="41"/>
      <c r="AL18" s="42"/>
      <c r="AM18" s="47"/>
      <c r="AN18" s="63"/>
      <c r="AO18" s="41"/>
      <c r="AP18" s="42"/>
      <c r="AQ18" s="43"/>
      <c r="AR18" s="64"/>
      <c r="AS18" s="41"/>
      <c r="AT18" s="42"/>
      <c r="AU18" s="44"/>
      <c r="AV18" s="63"/>
      <c r="AW18" s="41"/>
      <c r="AX18" s="42"/>
      <c r="AY18" s="44"/>
      <c r="AZ18" s="63"/>
      <c r="BA18" s="41"/>
      <c r="BB18" s="42"/>
      <c r="BC18" s="65"/>
      <c r="BD18" s="63"/>
      <c r="BE18" s="41"/>
      <c r="BF18" s="42"/>
      <c r="BG18" s="66"/>
      <c r="BH18" s="63"/>
      <c r="BI18" s="54">
        <f t="shared" si="0"/>
        <v>0</v>
      </c>
      <c r="BJ18" s="54">
        <f t="shared" si="1"/>
        <v>0</v>
      </c>
      <c r="BK18" s="41">
        <v>8</v>
      </c>
      <c r="BL18" s="55">
        <f t="shared" si="2"/>
        <v>7</v>
      </c>
      <c r="BM18" s="56">
        <v>8</v>
      </c>
      <c r="BN18" s="43">
        <v>0</v>
      </c>
      <c r="BO18" s="42"/>
      <c r="BP18" s="41">
        <v>10</v>
      </c>
      <c r="BQ18" s="55">
        <f t="shared" si="3"/>
        <v>9</v>
      </c>
      <c r="BR18" s="56">
        <v>10</v>
      </c>
      <c r="BS18" s="43">
        <v>2</v>
      </c>
      <c r="BT18" s="42"/>
      <c r="BU18" s="41">
        <v>10</v>
      </c>
      <c r="BV18" s="55">
        <f t="shared" si="4"/>
        <v>9</v>
      </c>
      <c r="BW18" s="56">
        <v>10</v>
      </c>
      <c r="BX18" s="43">
        <v>10</v>
      </c>
      <c r="BY18" s="42"/>
      <c r="BZ18" s="41">
        <v>10</v>
      </c>
      <c r="CA18" s="55">
        <f t="shared" si="5"/>
        <v>9</v>
      </c>
      <c r="CB18" s="56">
        <v>10</v>
      </c>
      <c r="CC18" s="43">
        <v>0</v>
      </c>
      <c r="CD18" s="42"/>
      <c r="CE18" s="41">
        <v>10</v>
      </c>
      <c r="CF18" s="55">
        <f t="shared" si="6"/>
        <v>9</v>
      </c>
      <c r="CG18" s="56">
        <v>10</v>
      </c>
      <c r="CH18" s="44">
        <v>0</v>
      </c>
      <c r="CI18" s="42"/>
      <c r="CJ18" s="41">
        <v>12</v>
      </c>
      <c r="CK18" s="55">
        <f t="shared" si="7"/>
        <v>11</v>
      </c>
      <c r="CL18" s="56">
        <v>12</v>
      </c>
      <c r="CM18" s="44">
        <v>5</v>
      </c>
      <c r="CN18" s="57"/>
      <c r="CO18" s="41">
        <v>12</v>
      </c>
      <c r="CP18" s="55">
        <f t="shared" si="8"/>
        <v>11</v>
      </c>
      <c r="CQ18" s="56">
        <v>12</v>
      </c>
      <c r="CR18" s="44"/>
      <c r="CS18" s="63"/>
      <c r="CT18" s="41">
        <v>12</v>
      </c>
      <c r="CU18" s="55">
        <f t="shared" si="9"/>
        <v>11</v>
      </c>
      <c r="CV18" s="56">
        <v>10</v>
      </c>
      <c r="CW18" s="44"/>
      <c r="CX18" s="63"/>
      <c r="CY18" s="41">
        <v>12</v>
      </c>
      <c r="CZ18" s="55">
        <f t="shared" si="10"/>
        <v>11</v>
      </c>
      <c r="DA18" s="56">
        <v>10</v>
      </c>
      <c r="DB18" s="44"/>
      <c r="DC18" s="63"/>
      <c r="DD18" s="41">
        <v>12</v>
      </c>
      <c r="DE18" s="55">
        <f t="shared" si="11"/>
        <v>11</v>
      </c>
      <c r="DF18" s="56">
        <v>10</v>
      </c>
      <c r="DG18" s="44"/>
      <c r="DH18" s="63"/>
      <c r="DI18" s="41">
        <v>12</v>
      </c>
      <c r="DJ18" s="55">
        <f t="shared" si="12"/>
        <v>11</v>
      </c>
      <c r="DK18" s="56">
        <v>10</v>
      </c>
      <c r="DL18" s="65"/>
      <c r="DM18" s="63"/>
      <c r="DN18" s="41">
        <v>12</v>
      </c>
      <c r="DO18" s="55">
        <f t="shared" si="13"/>
        <v>11</v>
      </c>
      <c r="DP18" s="56">
        <v>10</v>
      </c>
      <c r="DQ18" s="66"/>
      <c r="DR18" s="63"/>
      <c r="DS18" s="54">
        <f t="shared" si="14"/>
        <v>132</v>
      </c>
      <c r="DT18" s="54">
        <f t="shared" si="15"/>
        <v>11815.531199999999</v>
      </c>
      <c r="DU18" s="41">
        <v>2</v>
      </c>
      <c r="DV18" s="56">
        <f t="shared" si="56"/>
        <v>2</v>
      </c>
      <c r="DW18" s="43"/>
      <c r="DX18" s="42"/>
      <c r="DY18" s="41">
        <v>2</v>
      </c>
      <c r="DZ18" s="56">
        <f t="shared" si="55"/>
        <v>2</v>
      </c>
      <c r="EA18" s="43">
        <v>22</v>
      </c>
      <c r="EB18" s="42"/>
      <c r="EC18" s="41">
        <v>2</v>
      </c>
      <c r="ED18" s="56">
        <f t="shared" si="57"/>
        <v>2</v>
      </c>
      <c r="EE18" s="43">
        <v>5</v>
      </c>
      <c r="EF18" s="42"/>
      <c r="EG18" s="41">
        <v>2</v>
      </c>
      <c r="EH18" s="56">
        <f t="shared" si="58"/>
        <v>2</v>
      </c>
      <c r="EI18" s="43">
        <v>10</v>
      </c>
      <c r="EJ18" s="42"/>
      <c r="EK18" s="41">
        <v>2</v>
      </c>
      <c r="EL18" s="56">
        <f t="shared" si="59"/>
        <v>2</v>
      </c>
      <c r="EM18" s="44">
        <v>8</v>
      </c>
      <c r="EN18" s="42"/>
      <c r="EO18" s="41">
        <v>2</v>
      </c>
      <c r="EP18" s="56">
        <f t="shared" si="60"/>
        <v>2</v>
      </c>
      <c r="EQ18" s="44"/>
      <c r="ER18" s="57"/>
      <c r="ES18" s="41">
        <v>2</v>
      </c>
      <c r="ET18" s="56">
        <f t="shared" si="61"/>
        <v>2</v>
      </c>
      <c r="EU18" s="44"/>
      <c r="EV18" s="63"/>
      <c r="EW18" s="41">
        <v>2</v>
      </c>
      <c r="EX18" s="56">
        <f t="shared" si="62"/>
        <v>2</v>
      </c>
      <c r="EY18" s="44"/>
      <c r="EZ18" s="63"/>
      <c r="FA18" s="41">
        <v>2</v>
      </c>
      <c r="FB18" s="56">
        <f t="shared" si="63"/>
        <v>2</v>
      </c>
      <c r="FC18" s="44"/>
      <c r="FD18" s="63"/>
      <c r="FE18" s="41">
        <v>2</v>
      </c>
      <c r="FF18" s="56">
        <f t="shared" si="64"/>
        <v>2</v>
      </c>
      <c r="FG18" s="44"/>
      <c r="FH18" s="63"/>
      <c r="FI18" s="41">
        <v>2</v>
      </c>
      <c r="FJ18" s="241">
        <f t="shared" si="65"/>
        <v>2</v>
      </c>
      <c r="FK18" s="65"/>
      <c r="FL18" s="63"/>
      <c r="FM18" s="41">
        <v>2</v>
      </c>
      <c r="FN18" s="241">
        <f t="shared" si="66"/>
        <v>2</v>
      </c>
      <c r="FO18" s="66"/>
      <c r="FP18" s="63"/>
      <c r="FQ18" s="54">
        <f t="shared" si="25"/>
        <v>24</v>
      </c>
      <c r="FR18" s="54">
        <f t="shared" si="26"/>
        <v>2148.2784000000001</v>
      </c>
      <c r="FS18" s="58" t="e">
        <v>#REF!</v>
      </c>
      <c r="FT18" s="56" t="e">
        <f t="shared" si="27"/>
        <v>#REF!</v>
      </c>
      <c r="FU18" s="43"/>
      <c r="FV18" s="42"/>
      <c r="FW18" s="58">
        <v>8.6999999999999993</v>
      </c>
      <c r="FX18" s="56">
        <f t="shared" si="28"/>
        <v>8</v>
      </c>
      <c r="FY18" s="43"/>
      <c r="FZ18" s="42"/>
      <c r="GA18" s="59">
        <v>11</v>
      </c>
      <c r="GB18" s="56">
        <f t="shared" si="29"/>
        <v>11</v>
      </c>
      <c r="GC18" s="43"/>
      <c r="GD18" s="42"/>
      <c r="GE18" s="59">
        <v>11</v>
      </c>
      <c r="GF18" s="56">
        <f t="shared" si="30"/>
        <v>11</v>
      </c>
      <c r="GG18" s="43"/>
      <c r="GH18" s="42"/>
      <c r="GI18" s="59">
        <v>11</v>
      </c>
      <c r="GJ18" s="56">
        <f t="shared" si="31"/>
        <v>11</v>
      </c>
      <c r="GK18" s="44"/>
      <c r="GL18" s="42"/>
      <c r="GM18" s="59">
        <v>11</v>
      </c>
      <c r="GN18" s="56">
        <f t="shared" si="32"/>
        <v>11</v>
      </c>
      <c r="GO18" s="44"/>
      <c r="GP18" s="57"/>
      <c r="GQ18" s="59">
        <v>11</v>
      </c>
      <c r="GR18" s="56">
        <f t="shared" si="33"/>
        <v>11</v>
      </c>
      <c r="GS18" s="44"/>
      <c r="GT18" s="63"/>
      <c r="GU18" s="59">
        <v>11</v>
      </c>
      <c r="GV18" s="56">
        <f t="shared" si="34"/>
        <v>11</v>
      </c>
      <c r="GW18" s="44"/>
      <c r="GX18" s="63"/>
      <c r="GY18" s="59">
        <v>11</v>
      </c>
      <c r="GZ18" s="56">
        <f t="shared" si="35"/>
        <v>11</v>
      </c>
      <c r="HA18" s="44"/>
      <c r="HB18" s="63"/>
      <c r="HC18" s="59">
        <v>11</v>
      </c>
      <c r="HD18" s="56">
        <f t="shared" si="36"/>
        <v>11</v>
      </c>
      <c r="HE18" s="44"/>
      <c r="HF18" s="63"/>
      <c r="HG18" s="59">
        <v>11</v>
      </c>
      <c r="HH18" s="56">
        <f t="shared" si="37"/>
        <v>11</v>
      </c>
      <c r="HI18" s="65"/>
      <c r="HJ18" s="63"/>
      <c r="HK18" s="59">
        <v>11</v>
      </c>
      <c r="HL18" s="56">
        <f t="shared" si="38"/>
        <v>11</v>
      </c>
      <c r="HM18" s="66"/>
      <c r="HN18" s="63"/>
      <c r="HO18" s="54" t="e">
        <f t="shared" si="39"/>
        <v>#REF!</v>
      </c>
      <c r="HP18" s="54" t="e">
        <f t="shared" si="40"/>
        <v>#REF!</v>
      </c>
      <c r="HQ18" s="59">
        <v>11</v>
      </c>
      <c r="HR18" s="56">
        <f t="shared" si="41"/>
        <v>11</v>
      </c>
      <c r="HS18" s="43"/>
      <c r="HT18" s="42"/>
      <c r="HU18" s="59">
        <v>11</v>
      </c>
      <c r="HV18" s="56">
        <f t="shared" si="42"/>
        <v>11</v>
      </c>
      <c r="HW18" s="43"/>
      <c r="HX18" s="42"/>
      <c r="HY18" s="59">
        <v>11</v>
      </c>
      <c r="HZ18" s="56">
        <f t="shared" si="43"/>
        <v>11</v>
      </c>
      <c r="IA18" s="43"/>
      <c r="IB18" s="42"/>
      <c r="IC18" s="59">
        <v>11</v>
      </c>
      <c r="ID18" s="56">
        <f t="shared" si="44"/>
        <v>11</v>
      </c>
      <c r="IE18" s="43"/>
      <c r="IF18" s="42"/>
      <c r="IG18" s="59">
        <v>11</v>
      </c>
      <c r="IH18" s="56">
        <f t="shared" si="45"/>
        <v>11</v>
      </c>
      <c r="II18" s="44"/>
      <c r="IJ18" s="42"/>
      <c r="IK18" s="59">
        <v>11</v>
      </c>
      <c r="IL18" s="56">
        <f t="shared" si="46"/>
        <v>11</v>
      </c>
      <c r="IM18" s="44"/>
      <c r="IN18" s="57"/>
      <c r="IO18" s="59">
        <v>11</v>
      </c>
      <c r="IP18" s="56">
        <f t="shared" si="47"/>
        <v>11</v>
      </c>
      <c r="IQ18" s="44"/>
      <c r="IR18" s="63"/>
      <c r="IS18" s="59">
        <v>11</v>
      </c>
      <c r="IT18" s="56">
        <f t="shared" si="48"/>
        <v>11</v>
      </c>
      <c r="IU18" s="44"/>
      <c r="IV18" s="63"/>
      <c r="IW18" s="59">
        <v>11</v>
      </c>
      <c r="IX18" s="56">
        <f t="shared" si="49"/>
        <v>11</v>
      </c>
      <c r="IY18" s="44"/>
      <c r="IZ18" s="63"/>
      <c r="JA18" s="59">
        <v>11</v>
      </c>
      <c r="JB18" s="56">
        <f t="shared" si="50"/>
        <v>11</v>
      </c>
      <c r="JC18" s="44"/>
      <c r="JD18" s="63"/>
      <c r="JE18" s="59">
        <v>11</v>
      </c>
      <c r="JF18" s="56">
        <f t="shared" si="51"/>
        <v>11</v>
      </c>
      <c r="JG18" s="65"/>
      <c r="JH18" s="63"/>
      <c r="JI18" s="59">
        <v>11</v>
      </c>
      <c r="JJ18" s="56">
        <f t="shared" si="52"/>
        <v>11</v>
      </c>
      <c r="JK18" s="66"/>
      <c r="JL18" s="63"/>
      <c r="JM18" s="54">
        <f t="shared" si="53"/>
        <v>132</v>
      </c>
      <c r="JN18" s="54">
        <f t="shared" si="54"/>
        <v>11815.531199999999</v>
      </c>
    </row>
    <row r="19" spans="1:274">
      <c r="A19" s="249"/>
      <c r="B19" s="250"/>
      <c r="C19" s="250"/>
      <c r="D19" s="249"/>
      <c r="E19" s="36">
        <v>14</v>
      </c>
      <c r="F19" s="37"/>
      <c r="G19" s="38">
        <v>4630840310</v>
      </c>
      <c r="H19" s="39" t="s">
        <v>58</v>
      </c>
      <c r="I19" s="71">
        <v>541.81483200000002</v>
      </c>
      <c r="J19" s="36"/>
      <c r="K19" s="36"/>
      <c r="L19" s="36"/>
      <c r="M19" s="41"/>
      <c r="N19" s="42"/>
      <c r="O19" s="43"/>
      <c r="P19" s="42"/>
      <c r="Q19" s="41"/>
      <c r="R19" s="42"/>
      <c r="S19" s="43"/>
      <c r="T19" s="42"/>
      <c r="U19" s="41"/>
      <c r="V19" s="42"/>
      <c r="W19" s="43"/>
      <c r="X19" s="42"/>
      <c r="Y19" s="41"/>
      <c r="Z19" s="42"/>
      <c r="AA19" s="43"/>
      <c r="AB19" s="42"/>
      <c r="AC19" s="41"/>
      <c r="AD19" s="42"/>
      <c r="AE19" s="44"/>
      <c r="AF19" s="42"/>
      <c r="AG19" s="45"/>
      <c r="AH19" s="46"/>
      <c r="AI19" s="47"/>
      <c r="AJ19" s="253"/>
      <c r="AK19" s="45"/>
      <c r="AL19" s="49"/>
      <c r="AM19" s="47"/>
      <c r="AN19" s="50"/>
      <c r="AO19" s="45"/>
      <c r="AP19" s="42"/>
      <c r="AQ19" s="43"/>
      <c r="AR19" s="51"/>
      <c r="AS19" s="45"/>
      <c r="AT19" s="49"/>
      <c r="AU19" s="47"/>
      <c r="AV19" s="50"/>
      <c r="AW19" s="45"/>
      <c r="AX19" s="49"/>
      <c r="AY19" s="47"/>
      <c r="AZ19" s="50"/>
      <c r="BA19" s="45"/>
      <c r="BB19" s="49"/>
      <c r="BC19" s="52"/>
      <c r="BD19" s="50"/>
      <c r="BE19" s="45"/>
      <c r="BF19" s="49"/>
      <c r="BG19" s="53"/>
      <c r="BH19" s="50"/>
      <c r="BI19" s="54">
        <f t="shared" si="0"/>
        <v>0</v>
      </c>
      <c r="BJ19" s="54">
        <f t="shared" si="1"/>
        <v>0</v>
      </c>
      <c r="BK19" s="41">
        <v>10</v>
      </c>
      <c r="BL19" s="55">
        <f t="shared" si="2"/>
        <v>9</v>
      </c>
      <c r="BM19" s="56">
        <v>10</v>
      </c>
      <c r="BN19" s="43">
        <v>0</v>
      </c>
      <c r="BO19" s="42"/>
      <c r="BP19" s="41">
        <v>10</v>
      </c>
      <c r="BQ19" s="55">
        <f t="shared" si="3"/>
        <v>9</v>
      </c>
      <c r="BR19" s="56">
        <v>10</v>
      </c>
      <c r="BS19" s="43">
        <v>11</v>
      </c>
      <c r="BT19" s="42"/>
      <c r="BU19" s="41">
        <v>10</v>
      </c>
      <c r="BV19" s="55">
        <f t="shared" si="4"/>
        <v>9</v>
      </c>
      <c r="BW19" s="56">
        <v>10</v>
      </c>
      <c r="BX19" s="43">
        <v>16</v>
      </c>
      <c r="BY19" s="42"/>
      <c r="BZ19" s="41">
        <v>10</v>
      </c>
      <c r="CA19" s="55">
        <f t="shared" si="5"/>
        <v>9</v>
      </c>
      <c r="CB19" s="56">
        <v>10</v>
      </c>
      <c r="CC19" s="43">
        <v>16</v>
      </c>
      <c r="CD19" s="42"/>
      <c r="CE19" s="41">
        <v>10</v>
      </c>
      <c r="CF19" s="55">
        <f t="shared" si="6"/>
        <v>9</v>
      </c>
      <c r="CG19" s="56">
        <v>10</v>
      </c>
      <c r="CH19" s="44">
        <v>3</v>
      </c>
      <c r="CI19" s="42"/>
      <c r="CJ19" s="41">
        <v>12</v>
      </c>
      <c r="CK19" s="55">
        <f t="shared" si="7"/>
        <v>11</v>
      </c>
      <c r="CL19" s="56">
        <v>12</v>
      </c>
      <c r="CM19" s="47">
        <v>5</v>
      </c>
      <c r="CN19" s="57"/>
      <c r="CO19" s="41">
        <v>12</v>
      </c>
      <c r="CP19" s="55">
        <f t="shared" si="8"/>
        <v>11</v>
      </c>
      <c r="CQ19" s="56">
        <v>12</v>
      </c>
      <c r="CR19" s="47">
        <v>12</v>
      </c>
      <c r="CS19" s="50"/>
      <c r="CT19" s="41">
        <v>12</v>
      </c>
      <c r="CU19" s="55">
        <f t="shared" si="9"/>
        <v>11</v>
      </c>
      <c r="CV19" s="56">
        <v>8</v>
      </c>
      <c r="CW19" s="47"/>
      <c r="CX19" s="50"/>
      <c r="CY19" s="41">
        <v>12</v>
      </c>
      <c r="CZ19" s="55">
        <f t="shared" si="10"/>
        <v>11</v>
      </c>
      <c r="DA19" s="56">
        <v>8</v>
      </c>
      <c r="DB19" s="47">
        <v>4</v>
      </c>
      <c r="DC19" s="50"/>
      <c r="DD19" s="41">
        <v>12</v>
      </c>
      <c r="DE19" s="55">
        <f t="shared" si="11"/>
        <v>11</v>
      </c>
      <c r="DF19" s="56">
        <v>8</v>
      </c>
      <c r="DG19" s="47">
        <v>16</v>
      </c>
      <c r="DH19" s="50"/>
      <c r="DI19" s="41">
        <v>12</v>
      </c>
      <c r="DJ19" s="55">
        <f t="shared" si="12"/>
        <v>11</v>
      </c>
      <c r="DK19" s="56">
        <v>8</v>
      </c>
      <c r="DL19" s="52">
        <v>10</v>
      </c>
      <c r="DM19" s="50"/>
      <c r="DN19" s="41">
        <v>12</v>
      </c>
      <c r="DO19" s="55">
        <f t="shared" si="13"/>
        <v>11</v>
      </c>
      <c r="DP19" s="56">
        <v>8</v>
      </c>
      <c r="DQ19" s="53">
        <v>12</v>
      </c>
      <c r="DR19" s="50"/>
      <c r="DS19" s="54">
        <f t="shared" si="14"/>
        <v>134</v>
      </c>
      <c r="DT19" s="54">
        <f t="shared" si="15"/>
        <v>72603.187487999996</v>
      </c>
      <c r="DU19" s="41">
        <v>8</v>
      </c>
      <c r="DV19" s="56">
        <f t="shared" si="56"/>
        <v>8</v>
      </c>
      <c r="DW19" s="43">
        <v>5</v>
      </c>
      <c r="DX19" s="42"/>
      <c r="DY19" s="41">
        <v>8</v>
      </c>
      <c r="DZ19" s="56">
        <f t="shared" si="55"/>
        <v>8</v>
      </c>
      <c r="EA19" s="43">
        <v>8</v>
      </c>
      <c r="EB19" s="42"/>
      <c r="EC19" s="41">
        <v>8</v>
      </c>
      <c r="ED19" s="56">
        <f t="shared" si="57"/>
        <v>8</v>
      </c>
      <c r="EE19" s="43"/>
      <c r="EF19" s="42"/>
      <c r="EG19" s="41">
        <v>8</v>
      </c>
      <c r="EH19" s="56">
        <f t="shared" si="58"/>
        <v>8</v>
      </c>
      <c r="EI19" s="43">
        <v>15</v>
      </c>
      <c r="EJ19" s="42"/>
      <c r="EK19" s="41">
        <v>8</v>
      </c>
      <c r="EL19" s="56">
        <f t="shared" si="59"/>
        <v>8</v>
      </c>
      <c r="EM19" s="44">
        <v>17</v>
      </c>
      <c r="EN19" s="42"/>
      <c r="EO19" s="41">
        <v>8</v>
      </c>
      <c r="EP19" s="56">
        <f t="shared" si="60"/>
        <v>8</v>
      </c>
      <c r="EQ19" s="47"/>
      <c r="ER19" s="57"/>
      <c r="ES19" s="41">
        <v>8</v>
      </c>
      <c r="ET19" s="56">
        <f t="shared" si="61"/>
        <v>8</v>
      </c>
      <c r="EU19" s="47"/>
      <c r="EV19" s="50"/>
      <c r="EW19" s="41">
        <v>8</v>
      </c>
      <c r="EX19" s="56">
        <f t="shared" si="62"/>
        <v>8</v>
      </c>
      <c r="EY19" s="47"/>
      <c r="EZ19" s="50"/>
      <c r="FA19" s="41">
        <v>8</v>
      </c>
      <c r="FB19" s="56">
        <f t="shared" si="63"/>
        <v>8</v>
      </c>
      <c r="FC19" s="47"/>
      <c r="FD19" s="50"/>
      <c r="FE19" s="41">
        <v>8</v>
      </c>
      <c r="FF19" s="56">
        <f t="shared" si="64"/>
        <v>8</v>
      </c>
      <c r="FG19" s="47"/>
      <c r="FH19" s="50"/>
      <c r="FI19" s="41">
        <v>8</v>
      </c>
      <c r="FJ19" s="241">
        <f t="shared" si="65"/>
        <v>8</v>
      </c>
      <c r="FK19" s="52"/>
      <c r="FL19" s="50"/>
      <c r="FM19" s="41">
        <v>8</v>
      </c>
      <c r="FN19" s="241">
        <f t="shared" si="66"/>
        <v>8</v>
      </c>
      <c r="FO19" s="53"/>
      <c r="FP19" s="50"/>
      <c r="FQ19" s="54">
        <f t="shared" si="25"/>
        <v>96</v>
      </c>
      <c r="FR19" s="54">
        <f t="shared" si="26"/>
        <v>52014.223872000002</v>
      </c>
      <c r="FS19" s="58" t="e">
        <v>#REF!</v>
      </c>
      <c r="FT19" s="56" t="e">
        <f t="shared" si="27"/>
        <v>#REF!</v>
      </c>
      <c r="FU19" s="43"/>
      <c r="FV19" s="42"/>
      <c r="FW19" s="58">
        <v>10.875</v>
      </c>
      <c r="FX19" s="56">
        <f t="shared" si="28"/>
        <v>10</v>
      </c>
      <c r="FY19" s="43"/>
      <c r="FZ19" s="42"/>
      <c r="GA19" s="59">
        <v>13.750000000000002</v>
      </c>
      <c r="GB19" s="56">
        <f t="shared" si="29"/>
        <v>13</v>
      </c>
      <c r="GC19" s="43"/>
      <c r="GD19" s="42"/>
      <c r="GE19" s="59">
        <v>13.750000000000002</v>
      </c>
      <c r="GF19" s="56">
        <f t="shared" si="30"/>
        <v>13</v>
      </c>
      <c r="GG19" s="43"/>
      <c r="GH19" s="42"/>
      <c r="GI19" s="59">
        <v>13.750000000000002</v>
      </c>
      <c r="GJ19" s="56">
        <f t="shared" si="31"/>
        <v>13</v>
      </c>
      <c r="GK19" s="44"/>
      <c r="GL19" s="42"/>
      <c r="GM19" s="59">
        <v>13.750000000000002</v>
      </c>
      <c r="GN19" s="56">
        <f t="shared" si="32"/>
        <v>13</v>
      </c>
      <c r="GO19" s="47"/>
      <c r="GP19" s="57"/>
      <c r="GQ19" s="59">
        <v>13.750000000000002</v>
      </c>
      <c r="GR19" s="56">
        <f t="shared" si="33"/>
        <v>13</v>
      </c>
      <c r="GS19" s="47"/>
      <c r="GT19" s="50"/>
      <c r="GU19" s="59">
        <v>13.750000000000002</v>
      </c>
      <c r="GV19" s="56">
        <f t="shared" si="34"/>
        <v>13</v>
      </c>
      <c r="GW19" s="47"/>
      <c r="GX19" s="50"/>
      <c r="GY19" s="59">
        <v>13.750000000000002</v>
      </c>
      <c r="GZ19" s="56">
        <f t="shared" si="35"/>
        <v>13</v>
      </c>
      <c r="HA19" s="47"/>
      <c r="HB19" s="50"/>
      <c r="HC19" s="59">
        <v>13.750000000000002</v>
      </c>
      <c r="HD19" s="56">
        <f t="shared" si="36"/>
        <v>13</v>
      </c>
      <c r="HE19" s="47"/>
      <c r="HF19" s="50"/>
      <c r="HG19" s="59">
        <v>13.750000000000002</v>
      </c>
      <c r="HH19" s="56">
        <f t="shared" si="37"/>
        <v>13</v>
      </c>
      <c r="HI19" s="52"/>
      <c r="HJ19" s="50"/>
      <c r="HK19" s="59">
        <v>13.750000000000002</v>
      </c>
      <c r="HL19" s="56">
        <f t="shared" si="38"/>
        <v>13</v>
      </c>
      <c r="HM19" s="53"/>
      <c r="HN19" s="50"/>
      <c r="HO19" s="54" t="e">
        <f t="shared" si="39"/>
        <v>#REF!</v>
      </c>
      <c r="HP19" s="54" t="e">
        <f t="shared" si="40"/>
        <v>#REF!</v>
      </c>
      <c r="HQ19" s="59">
        <v>13.750000000000002</v>
      </c>
      <c r="HR19" s="56">
        <f t="shared" si="41"/>
        <v>13</v>
      </c>
      <c r="HS19" s="43"/>
      <c r="HT19" s="42"/>
      <c r="HU19" s="59">
        <v>13.750000000000002</v>
      </c>
      <c r="HV19" s="56">
        <f t="shared" si="42"/>
        <v>13</v>
      </c>
      <c r="HW19" s="43"/>
      <c r="HX19" s="42"/>
      <c r="HY19" s="59">
        <v>13.750000000000002</v>
      </c>
      <c r="HZ19" s="56">
        <f t="shared" si="43"/>
        <v>13</v>
      </c>
      <c r="IA19" s="43"/>
      <c r="IB19" s="42"/>
      <c r="IC19" s="59">
        <v>13.750000000000002</v>
      </c>
      <c r="ID19" s="56">
        <f t="shared" si="44"/>
        <v>13</v>
      </c>
      <c r="IE19" s="43"/>
      <c r="IF19" s="42"/>
      <c r="IG19" s="59">
        <v>13.750000000000002</v>
      </c>
      <c r="IH19" s="56">
        <f t="shared" si="45"/>
        <v>13</v>
      </c>
      <c r="II19" s="44"/>
      <c r="IJ19" s="42"/>
      <c r="IK19" s="59">
        <v>13.750000000000002</v>
      </c>
      <c r="IL19" s="56">
        <f t="shared" si="46"/>
        <v>13</v>
      </c>
      <c r="IM19" s="47"/>
      <c r="IN19" s="57"/>
      <c r="IO19" s="59">
        <v>13.750000000000002</v>
      </c>
      <c r="IP19" s="56">
        <f t="shared" si="47"/>
        <v>13</v>
      </c>
      <c r="IQ19" s="47"/>
      <c r="IR19" s="50"/>
      <c r="IS19" s="59">
        <v>13.750000000000002</v>
      </c>
      <c r="IT19" s="56">
        <f t="shared" si="48"/>
        <v>13</v>
      </c>
      <c r="IU19" s="47"/>
      <c r="IV19" s="50"/>
      <c r="IW19" s="59">
        <v>13.750000000000002</v>
      </c>
      <c r="IX19" s="56">
        <f t="shared" si="49"/>
        <v>13</v>
      </c>
      <c r="IY19" s="47"/>
      <c r="IZ19" s="50"/>
      <c r="JA19" s="59">
        <v>13.750000000000002</v>
      </c>
      <c r="JB19" s="56">
        <f t="shared" si="50"/>
        <v>13</v>
      </c>
      <c r="JC19" s="47"/>
      <c r="JD19" s="50"/>
      <c r="JE19" s="59">
        <v>13.750000000000002</v>
      </c>
      <c r="JF19" s="56">
        <f t="shared" si="51"/>
        <v>13</v>
      </c>
      <c r="JG19" s="52"/>
      <c r="JH19" s="50"/>
      <c r="JI19" s="59">
        <v>13.750000000000002</v>
      </c>
      <c r="JJ19" s="56">
        <f t="shared" si="52"/>
        <v>13</v>
      </c>
      <c r="JK19" s="53"/>
      <c r="JL19" s="50"/>
      <c r="JM19" s="54">
        <f t="shared" si="53"/>
        <v>165.00000000000003</v>
      </c>
      <c r="JN19" s="54">
        <f t="shared" si="54"/>
        <v>89399.447280000022</v>
      </c>
    </row>
    <row r="20" spans="1:274">
      <c r="A20" s="249"/>
      <c r="B20" s="250"/>
      <c r="C20" s="250"/>
      <c r="D20" s="249"/>
      <c r="E20" s="36">
        <v>15</v>
      </c>
      <c r="F20" s="37"/>
      <c r="G20" s="38">
        <v>4640060020</v>
      </c>
      <c r="H20" s="39" t="s">
        <v>59</v>
      </c>
      <c r="I20" s="71">
        <v>280.69142399999998</v>
      </c>
      <c r="J20" s="36"/>
      <c r="K20" s="36"/>
      <c r="L20" s="36"/>
      <c r="M20" s="41"/>
      <c r="N20" s="42"/>
      <c r="O20" s="43"/>
      <c r="P20" s="42"/>
      <c r="Q20" s="41"/>
      <c r="R20" s="42"/>
      <c r="S20" s="43"/>
      <c r="T20" s="42"/>
      <c r="U20" s="41"/>
      <c r="V20" s="42"/>
      <c r="W20" s="43"/>
      <c r="X20" s="42"/>
      <c r="Y20" s="41"/>
      <c r="Z20" s="42"/>
      <c r="AA20" s="43"/>
      <c r="AB20" s="42"/>
      <c r="AC20" s="41"/>
      <c r="AD20" s="42"/>
      <c r="AE20" s="44"/>
      <c r="AF20" s="42"/>
      <c r="AG20" s="45"/>
      <c r="AH20" s="46"/>
      <c r="AI20" s="47"/>
      <c r="AJ20" s="253"/>
      <c r="AK20" s="45"/>
      <c r="AL20" s="49"/>
      <c r="AM20" s="47"/>
      <c r="AN20" s="50"/>
      <c r="AO20" s="45"/>
      <c r="AP20" s="42"/>
      <c r="AQ20" s="43"/>
      <c r="AR20" s="51"/>
      <c r="AS20" s="45"/>
      <c r="AT20" s="49"/>
      <c r="AU20" s="47"/>
      <c r="AV20" s="50"/>
      <c r="AW20" s="45"/>
      <c r="AX20" s="49"/>
      <c r="AY20" s="47"/>
      <c r="AZ20" s="50"/>
      <c r="BA20" s="45"/>
      <c r="BB20" s="49"/>
      <c r="BC20" s="52"/>
      <c r="BD20" s="50"/>
      <c r="BE20" s="45"/>
      <c r="BF20" s="49"/>
      <c r="BG20" s="53"/>
      <c r="BH20" s="50"/>
      <c r="BI20" s="54"/>
      <c r="BJ20" s="54"/>
      <c r="BK20" s="41">
        <v>10</v>
      </c>
      <c r="BL20" s="55">
        <f t="shared" si="2"/>
        <v>9</v>
      </c>
      <c r="BM20" s="56">
        <v>10</v>
      </c>
      <c r="BN20" s="43">
        <v>3</v>
      </c>
      <c r="BO20" s="42"/>
      <c r="BP20" s="41">
        <v>10</v>
      </c>
      <c r="BQ20" s="55">
        <f t="shared" si="3"/>
        <v>9</v>
      </c>
      <c r="BR20" s="56">
        <v>10</v>
      </c>
      <c r="BS20" s="43">
        <v>15</v>
      </c>
      <c r="BT20" s="42"/>
      <c r="BU20" s="41">
        <v>10</v>
      </c>
      <c r="BV20" s="55">
        <f t="shared" si="4"/>
        <v>9</v>
      </c>
      <c r="BW20" s="56">
        <v>10</v>
      </c>
      <c r="BX20" s="43">
        <v>0</v>
      </c>
      <c r="BY20" s="42"/>
      <c r="BZ20" s="41">
        <v>10</v>
      </c>
      <c r="CA20" s="55">
        <f t="shared" si="5"/>
        <v>9</v>
      </c>
      <c r="CB20" s="56">
        <v>10</v>
      </c>
      <c r="CC20" s="43">
        <v>0</v>
      </c>
      <c r="CD20" s="42"/>
      <c r="CE20" s="41">
        <v>10</v>
      </c>
      <c r="CF20" s="55">
        <f t="shared" si="6"/>
        <v>9</v>
      </c>
      <c r="CG20" s="56">
        <v>10</v>
      </c>
      <c r="CH20" s="44">
        <v>0</v>
      </c>
      <c r="CI20" s="42"/>
      <c r="CJ20" s="41">
        <v>10</v>
      </c>
      <c r="CK20" s="55">
        <f t="shared" si="7"/>
        <v>9</v>
      </c>
      <c r="CL20" s="56">
        <v>10</v>
      </c>
      <c r="CM20" s="47">
        <v>5</v>
      </c>
      <c r="CN20" s="57"/>
      <c r="CO20" s="41">
        <v>10</v>
      </c>
      <c r="CP20" s="55">
        <f t="shared" si="8"/>
        <v>9</v>
      </c>
      <c r="CQ20" s="56">
        <v>10</v>
      </c>
      <c r="CR20" s="47">
        <v>5</v>
      </c>
      <c r="CS20" s="50"/>
      <c r="CT20" s="41">
        <v>10</v>
      </c>
      <c r="CU20" s="55">
        <f t="shared" si="9"/>
        <v>9</v>
      </c>
      <c r="CV20" s="56">
        <v>10</v>
      </c>
      <c r="CW20" s="47"/>
      <c r="CX20" s="50"/>
      <c r="CY20" s="41">
        <v>10</v>
      </c>
      <c r="CZ20" s="55">
        <f t="shared" si="10"/>
        <v>9</v>
      </c>
      <c r="DA20" s="56">
        <v>10</v>
      </c>
      <c r="DB20" s="47">
        <v>5</v>
      </c>
      <c r="DC20" s="50"/>
      <c r="DD20" s="41">
        <v>10</v>
      </c>
      <c r="DE20" s="55">
        <f t="shared" si="11"/>
        <v>9</v>
      </c>
      <c r="DF20" s="56">
        <v>10</v>
      </c>
      <c r="DG20" s="47"/>
      <c r="DH20" s="50"/>
      <c r="DI20" s="41">
        <v>10</v>
      </c>
      <c r="DJ20" s="55">
        <f t="shared" si="12"/>
        <v>9</v>
      </c>
      <c r="DK20" s="56">
        <v>10</v>
      </c>
      <c r="DL20" s="52">
        <v>6</v>
      </c>
      <c r="DM20" s="50"/>
      <c r="DN20" s="41">
        <v>10</v>
      </c>
      <c r="DO20" s="55">
        <f t="shared" si="13"/>
        <v>9</v>
      </c>
      <c r="DP20" s="56">
        <v>10</v>
      </c>
      <c r="DQ20" s="53"/>
      <c r="DR20" s="50"/>
      <c r="DS20" s="54">
        <f t="shared" si="14"/>
        <v>120</v>
      </c>
      <c r="DT20" s="54">
        <f t="shared" si="15"/>
        <v>33682.970880000001</v>
      </c>
      <c r="DU20" s="41">
        <v>4</v>
      </c>
      <c r="DV20" s="56">
        <f t="shared" si="56"/>
        <v>4</v>
      </c>
      <c r="DW20" s="43"/>
      <c r="DX20" s="42"/>
      <c r="DY20" s="41">
        <v>4</v>
      </c>
      <c r="DZ20" s="56">
        <f t="shared" si="55"/>
        <v>4</v>
      </c>
      <c r="EA20" s="43">
        <v>5</v>
      </c>
      <c r="EB20" s="42"/>
      <c r="EC20" s="41">
        <v>4</v>
      </c>
      <c r="ED20" s="56">
        <f t="shared" si="57"/>
        <v>4</v>
      </c>
      <c r="EE20" s="43">
        <v>5</v>
      </c>
      <c r="EF20" s="42"/>
      <c r="EG20" s="41">
        <v>4</v>
      </c>
      <c r="EH20" s="56">
        <f t="shared" si="58"/>
        <v>4</v>
      </c>
      <c r="EI20" s="43">
        <v>5</v>
      </c>
      <c r="EJ20" s="42"/>
      <c r="EK20" s="41">
        <v>4</v>
      </c>
      <c r="EL20" s="56">
        <f t="shared" si="59"/>
        <v>4</v>
      </c>
      <c r="EM20" s="44">
        <v>10</v>
      </c>
      <c r="EN20" s="42"/>
      <c r="EO20" s="41">
        <v>4</v>
      </c>
      <c r="EP20" s="56">
        <f t="shared" si="60"/>
        <v>4</v>
      </c>
      <c r="EQ20" s="47"/>
      <c r="ER20" s="57"/>
      <c r="ES20" s="41">
        <v>4</v>
      </c>
      <c r="ET20" s="56">
        <f t="shared" si="61"/>
        <v>4</v>
      </c>
      <c r="EU20" s="47"/>
      <c r="EV20" s="50"/>
      <c r="EW20" s="41">
        <v>4</v>
      </c>
      <c r="EX20" s="56">
        <f t="shared" si="62"/>
        <v>4</v>
      </c>
      <c r="EY20" s="47"/>
      <c r="EZ20" s="50"/>
      <c r="FA20" s="41">
        <v>4</v>
      </c>
      <c r="FB20" s="56">
        <f t="shared" si="63"/>
        <v>4</v>
      </c>
      <c r="FC20" s="47"/>
      <c r="FD20" s="50"/>
      <c r="FE20" s="41">
        <v>4</v>
      </c>
      <c r="FF20" s="56">
        <f t="shared" si="64"/>
        <v>4</v>
      </c>
      <c r="FG20" s="47"/>
      <c r="FH20" s="50"/>
      <c r="FI20" s="41">
        <v>4</v>
      </c>
      <c r="FJ20" s="241">
        <f t="shared" si="65"/>
        <v>4</v>
      </c>
      <c r="FK20" s="52"/>
      <c r="FL20" s="50"/>
      <c r="FM20" s="41">
        <v>4</v>
      </c>
      <c r="FN20" s="241">
        <f t="shared" si="66"/>
        <v>4</v>
      </c>
      <c r="FO20" s="53"/>
      <c r="FP20" s="50"/>
      <c r="FQ20" s="54">
        <f t="shared" si="25"/>
        <v>48</v>
      </c>
      <c r="FR20" s="54">
        <f t="shared" si="26"/>
        <v>13473.188351999999</v>
      </c>
      <c r="FS20" s="58" t="e">
        <v>#REF!</v>
      </c>
      <c r="FT20" s="56" t="e">
        <f t="shared" si="27"/>
        <v>#REF!</v>
      </c>
      <c r="FU20" s="43"/>
      <c r="FV20" s="42"/>
      <c r="FW20" s="58">
        <v>10.875</v>
      </c>
      <c r="FX20" s="56">
        <f t="shared" si="28"/>
        <v>10</v>
      </c>
      <c r="FY20" s="43"/>
      <c r="FZ20" s="42"/>
      <c r="GA20" s="59">
        <v>13.750000000000002</v>
      </c>
      <c r="GB20" s="56">
        <f t="shared" si="29"/>
        <v>13</v>
      </c>
      <c r="GC20" s="43"/>
      <c r="GD20" s="42"/>
      <c r="GE20" s="59">
        <v>13.750000000000002</v>
      </c>
      <c r="GF20" s="56">
        <f t="shared" si="30"/>
        <v>13</v>
      </c>
      <c r="GG20" s="43"/>
      <c r="GH20" s="42"/>
      <c r="GI20" s="59">
        <v>13.750000000000002</v>
      </c>
      <c r="GJ20" s="56">
        <f t="shared" si="31"/>
        <v>13</v>
      </c>
      <c r="GK20" s="44"/>
      <c r="GL20" s="42"/>
      <c r="GM20" s="59">
        <v>13.750000000000002</v>
      </c>
      <c r="GN20" s="56">
        <f t="shared" si="32"/>
        <v>13</v>
      </c>
      <c r="GO20" s="47"/>
      <c r="GP20" s="57"/>
      <c r="GQ20" s="59">
        <v>13.750000000000002</v>
      </c>
      <c r="GR20" s="56">
        <f t="shared" si="33"/>
        <v>13</v>
      </c>
      <c r="GS20" s="47"/>
      <c r="GT20" s="50"/>
      <c r="GU20" s="59">
        <v>13.750000000000002</v>
      </c>
      <c r="GV20" s="56">
        <f t="shared" si="34"/>
        <v>13</v>
      </c>
      <c r="GW20" s="47"/>
      <c r="GX20" s="50"/>
      <c r="GY20" s="59">
        <v>13.750000000000002</v>
      </c>
      <c r="GZ20" s="56">
        <f t="shared" si="35"/>
        <v>13</v>
      </c>
      <c r="HA20" s="47"/>
      <c r="HB20" s="50"/>
      <c r="HC20" s="59">
        <v>13.750000000000002</v>
      </c>
      <c r="HD20" s="56">
        <f t="shared" si="36"/>
        <v>13</v>
      </c>
      <c r="HE20" s="47"/>
      <c r="HF20" s="50"/>
      <c r="HG20" s="59">
        <v>13.750000000000002</v>
      </c>
      <c r="HH20" s="56">
        <f t="shared" si="37"/>
        <v>13</v>
      </c>
      <c r="HI20" s="52"/>
      <c r="HJ20" s="50"/>
      <c r="HK20" s="59">
        <v>13.750000000000002</v>
      </c>
      <c r="HL20" s="56">
        <f t="shared" si="38"/>
        <v>13</v>
      </c>
      <c r="HM20" s="53"/>
      <c r="HN20" s="50"/>
      <c r="HO20" s="54" t="e">
        <f t="shared" si="39"/>
        <v>#REF!</v>
      </c>
      <c r="HP20" s="54" t="e">
        <f t="shared" si="40"/>
        <v>#REF!</v>
      </c>
      <c r="HQ20" s="59">
        <v>13.750000000000002</v>
      </c>
      <c r="HR20" s="56">
        <f t="shared" si="41"/>
        <v>13</v>
      </c>
      <c r="HS20" s="43"/>
      <c r="HT20" s="42"/>
      <c r="HU20" s="59">
        <v>13.750000000000002</v>
      </c>
      <c r="HV20" s="56">
        <f t="shared" si="42"/>
        <v>13</v>
      </c>
      <c r="HW20" s="43"/>
      <c r="HX20" s="42"/>
      <c r="HY20" s="59">
        <v>13.750000000000002</v>
      </c>
      <c r="HZ20" s="56">
        <f t="shared" si="43"/>
        <v>13</v>
      </c>
      <c r="IA20" s="43"/>
      <c r="IB20" s="42"/>
      <c r="IC20" s="59">
        <v>13.750000000000002</v>
      </c>
      <c r="ID20" s="56">
        <f t="shared" si="44"/>
        <v>13</v>
      </c>
      <c r="IE20" s="43"/>
      <c r="IF20" s="42"/>
      <c r="IG20" s="59">
        <v>13.750000000000002</v>
      </c>
      <c r="IH20" s="56">
        <f t="shared" si="45"/>
        <v>13</v>
      </c>
      <c r="II20" s="44"/>
      <c r="IJ20" s="42"/>
      <c r="IK20" s="59">
        <v>13.750000000000002</v>
      </c>
      <c r="IL20" s="56">
        <f t="shared" si="46"/>
        <v>13</v>
      </c>
      <c r="IM20" s="47"/>
      <c r="IN20" s="57"/>
      <c r="IO20" s="59">
        <v>13.750000000000002</v>
      </c>
      <c r="IP20" s="56">
        <f t="shared" si="47"/>
        <v>13</v>
      </c>
      <c r="IQ20" s="47"/>
      <c r="IR20" s="50"/>
      <c r="IS20" s="59">
        <v>13.750000000000002</v>
      </c>
      <c r="IT20" s="56">
        <f t="shared" si="48"/>
        <v>13</v>
      </c>
      <c r="IU20" s="47"/>
      <c r="IV20" s="50"/>
      <c r="IW20" s="59">
        <v>13.750000000000002</v>
      </c>
      <c r="IX20" s="56">
        <f t="shared" si="49"/>
        <v>13</v>
      </c>
      <c r="IY20" s="47"/>
      <c r="IZ20" s="50"/>
      <c r="JA20" s="59">
        <v>13.750000000000002</v>
      </c>
      <c r="JB20" s="56">
        <f t="shared" si="50"/>
        <v>13</v>
      </c>
      <c r="JC20" s="47"/>
      <c r="JD20" s="50"/>
      <c r="JE20" s="59">
        <v>13.750000000000002</v>
      </c>
      <c r="JF20" s="56">
        <f t="shared" si="51"/>
        <v>13</v>
      </c>
      <c r="JG20" s="52"/>
      <c r="JH20" s="50"/>
      <c r="JI20" s="59">
        <v>13.750000000000002</v>
      </c>
      <c r="JJ20" s="56">
        <f t="shared" si="52"/>
        <v>13</v>
      </c>
      <c r="JK20" s="53"/>
      <c r="JL20" s="50"/>
      <c r="JM20" s="54">
        <f t="shared" si="53"/>
        <v>165.00000000000003</v>
      </c>
      <c r="JN20" s="54">
        <f t="shared" si="54"/>
        <v>46314.084960000007</v>
      </c>
    </row>
    <row r="21" spans="1:274">
      <c r="A21" s="249"/>
      <c r="B21" s="250"/>
      <c r="C21" s="250"/>
      <c r="D21" s="249"/>
      <c r="E21" s="36">
        <v>16</v>
      </c>
      <c r="F21" s="37"/>
      <c r="G21" s="38">
        <v>4640061000</v>
      </c>
      <c r="H21" s="39" t="s">
        <v>60</v>
      </c>
      <c r="I21" s="71">
        <v>280.69142399999998</v>
      </c>
      <c r="J21" s="36"/>
      <c r="K21" s="36"/>
      <c r="L21" s="36"/>
      <c r="M21" s="41"/>
      <c r="N21" s="42"/>
      <c r="O21" s="43"/>
      <c r="P21" s="42"/>
      <c r="Q21" s="41"/>
      <c r="R21" s="42"/>
      <c r="S21" s="43"/>
      <c r="T21" s="42"/>
      <c r="U21" s="41"/>
      <c r="V21" s="42"/>
      <c r="W21" s="43"/>
      <c r="X21" s="42"/>
      <c r="Y21" s="41"/>
      <c r="Z21" s="42"/>
      <c r="AA21" s="43"/>
      <c r="AB21" s="42"/>
      <c r="AC21" s="41"/>
      <c r="AD21" s="42"/>
      <c r="AE21" s="44"/>
      <c r="AF21" s="42"/>
      <c r="AG21" s="45"/>
      <c r="AH21" s="46"/>
      <c r="AI21" s="47"/>
      <c r="AJ21" s="253"/>
      <c r="AK21" s="45"/>
      <c r="AL21" s="49"/>
      <c r="AM21" s="47"/>
      <c r="AN21" s="50"/>
      <c r="AO21" s="45"/>
      <c r="AP21" s="42"/>
      <c r="AQ21" s="43"/>
      <c r="AR21" s="51"/>
      <c r="AS21" s="45"/>
      <c r="AT21" s="49"/>
      <c r="AU21" s="47"/>
      <c r="AV21" s="50"/>
      <c r="AW21" s="45"/>
      <c r="AX21" s="49"/>
      <c r="AY21" s="47"/>
      <c r="AZ21" s="50"/>
      <c r="BA21" s="45"/>
      <c r="BB21" s="49"/>
      <c r="BC21" s="52"/>
      <c r="BD21" s="50"/>
      <c r="BE21" s="45"/>
      <c r="BF21" s="49"/>
      <c r="BG21" s="53"/>
      <c r="BH21" s="50"/>
      <c r="BI21" s="54"/>
      <c r="BJ21" s="54"/>
      <c r="BK21" s="41">
        <v>10</v>
      </c>
      <c r="BL21" s="55">
        <f t="shared" si="2"/>
        <v>9</v>
      </c>
      <c r="BM21" s="56">
        <v>10</v>
      </c>
      <c r="BN21" s="43">
        <v>25</v>
      </c>
      <c r="BO21" s="42"/>
      <c r="BP21" s="41">
        <v>10</v>
      </c>
      <c r="BQ21" s="55">
        <f t="shared" si="3"/>
        <v>9</v>
      </c>
      <c r="BR21" s="56">
        <v>10</v>
      </c>
      <c r="BS21" s="43">
        <v>31</v>
      </c>
      <c r="BT21" s="42"/>
      <c r="BU21" s="41">
        <v>10</v>
      </c>
      <c r="BV21" s="55">
        <f t="shared" si="4"/>
        <v>9</v>
      </c>
      <c r="BW21" s="56">
        <v>10</v>
      </c>
      <c r="BX21" s="43">
        <v>40</v>
      </c>
      <c r="BY21" s="42"/>
      <c r="BZ21" s="41">
        <v>10</v>
      </c>
      <c r="CA21" s="55">
        <f t="shared" si="5"/>
        <v>9</v>
      </c>
      <c r="CB21" s="56">
        <v>10</v>
      </c>
      <c r="CC21" s="43">
        <v>30</v>
      </c>
      <c r="CD21" s="42"/>
      <c r="CE21" s="41">
        <v>10</v>
      </c>
      <c r="CF21" s="55">
        <f t="shared" si="6"/>
        <v>9</v>
      </c>
      <c r="CG21" s="56">
        <v>10</v>
      </c>
      <c r="CH21" s="44">
        <v>2</v>
      </c>
      <c r="CI21" s="42"/>
      <c r="CJ21" s="41">
        <v>10</v>
      </c>
      <c r="CK21" s="55">
        <f t="shared" si="7"/>
        <v>9</v>
      </c>
      <c r="CL21" s="56">
        <v>10</v>
      </c>
      <c r="CM21" s="47">
        <v>5</v>
      </c>
      <c r="CN21" s="57"/>
      <c r="CO21" s="41">
        <v>10</v>
      </c>
      <c r="CP21" s="55">
        <f t="shared" si="8"/>
        <v>9</v>
      </c>
      <c r="CQ21" s="56">
        <v>10</v>
      </c>
      <c r="CR21" s="47">
        <v>2</v>
      </c>
      <c r="CS21" s="50"/>
      <c r="CT21" s="41">
        <v>10</v>
      </c>
      <c r="CU21" s="55">
        <f t="shared" si="9"/>
        <v>9</v>
      </c>
      <c r="CV21" s="56">
        <v>10</v>
      </c>
      <c r="CW21" s="47"/>
      <c r="CX21" s="50"/>
      <c r="CY21" s="41">
        <v>10</v>
      </c>
      <c r="CZ21" s="55">
        <f t="shared" si="10"/>
        <v>9</v>
      </c>
      <c r="DA21" s="56">
        <v>10</v>
      </c>
      <c r="DB21" s="47">
        <v>4</v>
      </c>
      <c r="DC21" s="50"/>
      <c r="DD21" s="41">
        <v>10</v>
      </c>
      <c r="DE21" s="55">
        <f t="shared" si="11"/>
        <v>9</v>
      </c>
      <c r="DF21" s="56">
        <v>10</v>
      </c>
      <c r="DG21" s="47">
        <v>4</v>
      </c>
      <c r="DH21" s="50"/>
      <c r="DI21" s="41">
        <v>10</v>
      </c>
      <c r="DJ21" s="55">
        <f t="shared" si="12"/>
        <v>9</v>
      </c>
      <c r="DK21" s="56">
        <v>10</v>
      </c>
      <c r="DL21" s="52">
        <v>4</v>
      </c>
      <c r="DM21" s="50"/>
      <c r="DN21" s="41">
        <v>10</v>
      </c>
      <c r="DO21" s="55">
        <f t="shared" si="13"/>
        <v>9</v>
      </c>
      <c r="DP21" s="56">
        <v>10</v>
      </c>
      <c r="DQ21" s="53">
        <v>3</v>
      </c>
      <c r="DR21" s="50"/>
      <c r="DS21" s="54">
        <f t="shared" si="14"/>
        <v>120</v>
      </c>
      <c r="DT21" s="54">
        <f t="shared" si="15"/>
        <v>33682.970880000001</v>
      </c>
      <c r="DU21" s="41">
        <v>13</v>
      </c>
      <c r="DV21" s="56">
        <f t="shared" si="56"/>
        <v>13</v>
      </c>
      <c r="DW21" s="43"/>
      <c r="DX21" s="42"/>
      <c r="DY21" s="41">
        <v>13</v>
      </c>
      <c r="DZ21" s="56">
        <f t="shared" si="55"/>
        <v>13</v>
      </c>
      <c r="EA21" s="43">
        <v>8</v>
      </c>
      <c r="EB21" s="42"/>
      <c r="EC21" s="41">
        <v>13</v>
      </c>
      <c r="ED21" s="56">
        <f t="shared" si="57"/>
        <v>13</v>
      </c>
      <c r="EE21" s="43">
        <v>9</v>
      </c>
      <c r="EF21" s="42"/>
      <c r="EG21" s="41">
        <v>13</v>
      </c>
      <c r="EH21" s="56">
        <f t="shared" si="58"/>
        <v>13</v>
      </c>
      <c r="EI21" s="43">
        <v>5</v>
      </c>
      <c r="EJ21" s="42"/>
      <c r="EK21" s="41">
        <v>13</v>
      </c>
      <c r="EL21" s="56">
        <f t="shared" si="59"/>
        <v>13</v>
      </c>
      <c r="EM21" s="44">
        <v>9</v>
      </c>
      <c r="EN21" s="42"/>
      <c r="EO21" s="41">
        <v>13</v>
      </c>
      <c r="EP21" s="56">
        <f t="shared" si="60"/>
        <v>13</v>
      </c>
      <c r="EQ21" s="47"/>
      <c r="ER21" s="57"/>
      <c r="ES21" s="41">
        <v>13</v>
      </c>
      <c r="ET21" s="56">
        <f t="shared" si="61"/>
        <v>13</v>
      </c>
      <c r="EU21" s="47"/>
      <c r="EV21" s="50"/>
      <c r="EW21" s="41">
        <v>13</v>
      </c>
      <c r="EX21" s="56">
        <f t="shared" si="62"/>
        <v>13</v>
      </c>
      <c r="EY21" s="47"/>
      <c r="EZ21" s="50"/>
      <c r="FA21" s="41">
        <v>13</v>
      </c>
      <c r="FB21" s="56">
        <f t="shared" si="63"/>
        <v>13</v>
      </c>
      <c r="FC21" s="47"/>
      <c r="FD21" s="50"/>
      <c r="FE21" s="41">
        <v>13</v>
      </c>
      <c r="FF21" s="56">
        <f t="shared" si="64"/>
        <v>13</v>
      </c>
      <c r="FG21" s="47"/>
      <c r="FH21" s="50"/>
      <c r="FI21" s="41">
        <v>13</v>
      </c>
      <c r="FJ21" s="241">
        <f t="shared" si="65"/>
        <v>13</v>
      </c>
      <c r="FK21" s="52"/>
      <c r="FL21" s="50"/>
      <c r="FM21" s="41">
        <v>13</v>
      </c>
      <c r="FN21" s="241">
        <f t="shared" si="66"/>
        <v>13</v>
      </c>
      <c r="FO21" s="53"/>
      <c r="FP21" s="50"/>
      <c r="FQ21" s="54">
        <f t="shared" si="25"/>
        <v>156</v>
      </c>
      <c r="FR21" s="54">
        <f t="shared" si="26"/>
        <v>43787.862143999999</v>
      </c>
      <c r="FS21" s="58" t="e">
        <v>#REF!</v>
      </c>
      <c r="FT21" s="56" t="e">
        <f t="shared" si="27"/>
        <v>#REF!</v>
      </c>
      <c r="FU21" s="43"/>
      <c r="FV21" s="42"/>
      <c r="FW21" s="58">
        <v>10.875</v>
      </c>
      <c r="FX21" s="56">
        <f t="shared" si="28"/>
        <v>10</v>
      </c>
      <c r="FY21" s="43"/>
      <c r="FZ21" s="42"/>
      <c r="GA21" s="59">
        <v>13.750000000000002</v>
      </c>
      <c r="GB21" s="56">
        <f t="shared" si="29"/>
        <v>13</v>
      </c>
      <c r="GC21" s="43"/>
      <c r="GD21" s="42"/>
      <c r="GE21" s="59">
        <v>13.750000000000002</v>
      </c>
      <c r="GF21" s="56">
        <f t="shared" si="30"/>
        <v>13</v>
      </c>
      <c r="GG21" s="43"/>
      <c r="GH21" s="42"/>
      <c r="GI21" s="59">
        <v>13.750000000000002</v>
      </c>
      <c r="GJ21" s="56">
        <f t="shared" si="31"/>
        <v>13</v>
      </c>
      <c r="GK21" s="44"/>
      <c r="GL21" s="42"/>
      <c r="GM21" s="59">
        <v>13.750000000000002</v>
      </c>
      <c r="GN21" s="56">
        <f t="shared" si="32"/>
        <v>13</v>
      </c>
      <c r="GO21" s="47"/>
      <c r="GP21" s="57"/>
      <c r="GQ21" s="59">
        <v>13.750000000000002</v>
      </c>
      <c r="GR21" s="56">
        <f t="shared" si="33"/>
        <v>13</v>
      </c>
      <c r="GS21" s="47"/>
      <c r="GT21" s="50"/>
      <c r="GU21" s="59">
        <v>13.750000000000002</v>
      </c>
      <c r="GV21" s="56">
        <f t="shared" si="34"/>
        <v>13</v>
      </c>
      <c r="GW21" s="47"/>
      <c r="GX21" s="50"/>
      <c r="GY21" s="59">
        <v>13.750000000000002</v>
      </c>
      <c r="GZ21" s="56">
        <f t="shared" si="35"/>
        <v>13</v>
      </c>
      <c r="HA21" s="47"/>
      <c r="HB21" s="50"/>
      <c r="HC21" s="59">
        <v>13.750000000000002</v>
      </c>
      <c r="HD21" s="56">
        <f t="shared" si="36"/>
        <v>13</v>
      </c>
      <c r="HE21" s="47"/>
      <c r="HF21" s="50"/>
      <c r="HG21" s="59">
        <v>13.750000000000002</v>
      </c>
      <c r="HH21" s="56">
        <f t="shared" si="37"/>
        <v>13</v>
      </c>
      <c r="HI21" s="52"/>
      <c r="HJ21" s="50"/>
      <c r="HK21" s="59">
        <v>13.750000000000002</v>
      </c>
      <c r="HL21" s="56">
        <f t="shared" si="38"/>
        <v>13</v>
      </c>
      <c r="HM21" s="53"/>
      <c r="HN21" s="50"/>
      <c r="HO21" s="54" t="e">
        <f t="shared" si="39"/>
        <v>#REF!</v>
      </c>
      <c r="HP21" s="54" t="e">
        <f t="shared" si="40"/>
        <v>#REF!</v>
      </c>
      <c r="HQ21" s="59">
        <v>13.750000000000002</v>
      </c>
      <c r="HR21" s="56">
        <f t="shared" si="41"/>
        <v>13</v>
      </c>
      <c r="HS21" s="43"/>
      <c r="HT21" s="42"/>
      <c r="HU21" s="59">
        <v>13.750000000000002</v>
      </c>
      <c r="HV21" s="56">
        <f t="shared" si="42"/>
        <v>13</v>
      </c>
      <c r="HW21" s="43"/>
      <c r="HX21" s="42"/>
      <c r="HY21" s="59">
        <v>13.750000000000002</v>
      </c>
      <c r="HZ21" s="56">
        <f t="shared" si="43"/>
        <v>13</v>
      </c>
      <c r="IA21" s="43"/>
      <c r="IB21" s="42"/>
      <c r="IC21" s="59">
        <v>13.750000000000002</v>
      </c>
      <c r="ID21" s="56">
        <f t="shared" si="44"/>
        <v>13</v>
      </c>
      <c r="IE21" s="43"/>
      <c r="IF21" s="42"/>
      <c r="IG21" s="59">
        <v>13.750000000000002</v>
      </c>
      <c r="IH21" s="56">
        <f t="shared" si="45"/>
        <v>13</v>
      </c>
      <c r="II21" s="44"/>
      <c r="IJ21" s="42"/>
      <c r="IK21" s="59">
        <v>13.750000000000002</v>
      </c>
      <c r="IL21" s="56">
        <f t="shared" si="46"/>
        <v>13</v>
      </c>
      <c r="IM21" s="47"/>
      <c r="IN21" s="57"/>
      <c r="IO21" s="59">
        <v>13.750000000000002</v>
      </c>
      <c r="IP21" s="56">
        <f t="shared" si="47"/>
        <v>13</v>
      </c>
      <c r="IQ21" s="47"/>
      <c r="IR21" s="50"/>
      <c r="IS21" s="59">
        <v>13.750000000000002</v>
      </c>
      <c r="IT21" s="56">
        <f t="shared" si="48"/>
        <v>13</v>
      </c>
      <c r="IU21" s="47"/>
      <c r="IV21" s="50"/>
      <c r="IW21" s="59">
        <v>13.750000000000002</v>
      </c>
      <c r="IX21" s="56">
        <f t="shared" si="49"/>
        <v>13</v>
      </c>
      <c r="IY21" s="47"/>
      <c r="IZ21" s="50"/>
      <c r="JA21" s="59">
        <v>13.750000000000002</v>
      </c>
      <c r="JB21" s="56">
        <f t="shared" si="50"/>
        <v>13</v>
      </c>
      <c r="JC21" s="47"/>
      <c r="JD21" s="50"/>
      <c r="JE21" s="59">
        <v>13.750000000000002</v>
      </c>
      <c r="JF21" s="56">
        <f t="shared" si="51"/>
        <v>13</v>
      </c>
      <c r="JG21" s="52"/>
      <c r="JH21" s="50"/>
      <c r="JI21" s="59">
        <v>13.750000000000002</v>
      </c>
      <c r="JJ21" s="56">
        <f t="shared" si="52"/>
        <v>13</v>
      </c>
      <c r="JK21" s="53"/>
      <c r="JL21" s="50"/>
      <c r="JM21" s="54">
        <f t="shared" si="53"/>
        <v>165.00000000000003</v>
      </c>
      <c r="JN21" s="54">
        <f t="shared" si="54"/>
        <v>46314.084960000007</v>
      </c>
    </row>
    <row r="22" spans="1:274">
      <c r="A22" s="249"/>
      <c r="B22" s="250"/>
      <c r="C22" s="250"/>
      <c r="D22" s="249"/>
      <c r="E22" s="36">
        <v>17</v>
      </c>
      <c r="F22" s="37"/>
      <c r="G22" s="38">
        <v>4721706060</v>
      </c>
      <c r="H22" s="39" t="s">
        <v>61</v>
      </c>
      <c r="I22" s="71">
        <v>251.20000000000002</v>
      </c>
      <c r="J22" s="36"/>
      <c r="K22" s="36"/>
      <c r="L22" s="36"/>
      <c r="M22" s="41"/>
      <c r="N22" s="42"/>
      <c r="O22" s="43"/>
      <c r="P22" s="42"/>
      <c r="Q22" s="41"/>
      <c r="R22" s="42"/>
      <c r="S22" s="43"/>
      <c r="T22" s="42"/>
      <c r="U22" s="41"/>
      <c r="V22" s="42"/>
      <c r="W22" s="43"/>
      <c r="X22" s="42"/>
      <c r="Y22" s="41"/>
      <c r="Z22" s="42"/>
      <c r="AA22" s="43"/>
      <c r="AB22" s="42"/>
      <c r="AC22" s="41"/>
      <c r="AD22" s="42"/>
      <c r="AE22" s="44"/>
      <c r="AF22" s="42"/>
      <c r="AG22" s="45"/>
      <c r="AH22" s="46"/>
      <c r="AI22" s="47"/>
      <c r="AJ22" s="253"/>
      <c r="AK22" s="45"/>
      <c r="AL22" s="49"/>
      <c r="AM22" s="47"/>
      <c r="AN22" s="50"/>
      <c r="AO22" s="45"/>
      <c r="AP22" s="42"/>
      <c r="AQ22" s="43"/>
      <c r="AR22" s="51"/>
      <c r="AS22" s="45"/>
      <c r="AT22" s="49"/>
      <c r="AU22" s="47"/>
      <c r="AV22" s="50"/>
      <c r="AW22" s="45"/>
      <c r="AX22" s="49"/>
      <c r="AY22" s="47"/>
      <c r="AZ22" s="50"/>
      <c r="BA22" s="45"/>
      <c r="BB22" s="49"/>
      <c r="BC22" s="52"/>
      <c r="BD22" s="50"/>
      <c r="BE22" s="45"/>
      <c r="BF22" s="49"/>
      <c r="BG22" s="53"/>
      <c r="BH22" s="50"/>
      <c r="BI22" s="54"/>
      <c r="BJ22" s="54"/>
      <c r="BK22" s="41">
        <v>21</v>
      </c>
      <c r="BL22" s="55">
        <f t="shared" si="2"/>
        <v>19</v>
      </c>
      <c r="BM22" s="56">
        <v>21</v>
      </c>
      <c r="BN22" s="43">
        <v>18</v>
      </c>
      <c r="BO22" s="42"/>
      <c r="BP22" s="41">
        <v>21</v>
      </c>
      <c r="BQ22" s="55">
        <f t="shared" si="3"/>
        <v>19</v>
      </c>
      <c r="BR22" s="56">
        <v>21</v>
      </c>
      <c r="BS22" s="43">
        <v>27</v>
      </c>
      <c r="BT22" s="42"/>
      <c r="BU22" s="41">
        <v>21</v>
      </c>
      <c r="BV22" s="55">
        <f t="shared" si="4"/>
        <v>19</v>
      </c>
      <c r="BW22" s="56">
        <v>21</v>
      </c>
      <c r="BX22" s="43">
        <v>104</v>
      </c>
      <c r="BY22" s="42"/>
      <c r="BZ22" s="41">
        <v>21</v>
      </c>
      <c r="CA22" s="55">
        <f t="shared" si="5"/>
        <v>19</v>
      </c>
      <c r="CB22" s="56">
        <v>21</v>
      </c>
      <c r="CC22" s="43">
        <v>10</v>
      </c>
      <c r="CD22" s="42"/>
      <c r="CE22" s="41">
        <v>21</v>
      </c>
      <c r="CF22" s="55">
        <f t="shared" si="6"/>
        <v>19</v>
      </c>
      <c r="CG22" s="56">
        <v>21</v>
      </c>
      <c r="CH22" s="44">
        <v>180</v>
      </c>
      <c r="CI22" s="42"/>
      <c r="CJ22" s="41">
        <v>21</v>
      </c>
      <c r="CK22" s="55">
        <f t="shared" si="7"/>
        <v>19</v>
      </c>
      <c r="CL22" s="56">
        <v>21</v>
      </c>
      <c r="CM22" s="47">
        <v>7</v>
      </c>
      <c r="CN22" s="57"/>
      <c r="CO22" s="41">
        <v>21</v>
      </c>
      <c r="CP22" s="55">
        <f t="shared" si="8"/>
        <v>19</v>
      </c>
      <c r="CQ22" s="56">
        <v>21</v>
      </c>
      <c r="CR22" s="47"/>
      <c r="CS22" s="50"/>
      <c r="CT22" s="41">
        <v>21</v>
      </c>
      <c r="CU22" s="55">
        <f t="shared" si="9"/>
        <v>19</v>
      </c>
      <c r="CV22" s="56">
        <v>21</v>
      </c>
      <c r="CW22" s="47"/>
      <c r="CX22" s="50"/>
      <c r="CY22" s="41">
        <v>21</v>
      </c>
      <c r="CZ22" s="55">
        <f t="shared" si="10"/>
        <v>19</v>
      </c>
      <c r="DA22" s="56">
        <v>21</v>
      </c>
      <c r="DB22" s="47">
        <v>2</v>
      </c>
      <c r="DC22" s="50"/>
      <c r="DD22" s="41">
        <v>21</v>
      </c>
      <c r="DE22" s="55">
        <f t="shared" si="11"/>
        <v>19</v>
      </c>
      <c r="DF22" s="56">
        <v>21</v>
      </c>
      <c r="DG22" s="47">
        <v>8</v>
      </c>
      <c r="DH22" s="50"/>
      <c r="DI22" s="41">
        <v>21</v>
      </c>
      <c r="DJ22" s="55">
        <f t="shared" si="12"/>
        <v>19</v>
      </c>
      <c r="DK22" s="56">
        <v>21</v>
      </c>
      <c r="DL22" s="52">
        <v>12</v>
      </c>
      <c r="DM22" s="50"/>
      <c r="DN22" s="41">
        <v>21</v>
      </c>
      <c r="DO22" s="55">
        <f t="shared" si="13"/>
        <v>19</v>
      </c>
      <c r="DP22" s="56">
        <v>21</v>
      </c>
      <c r="DQ22" s="53">
        <v>5</v>
      </c>
      <c r="DR22" s="50"/>
      <c r="DS22" s="54">
        <f t="shared" si="14"/>
        <v>252</v>
      </c>
      <c r="DT22" s="54">
        <f t="shared" si="15"/>
        <v>63302.400000000001</v>
      </c>
      <c r="DU22" s="41">
        <v>31</v>
      </c>
      <c r="DV22" s="56">
        <f t="shared" si="56"/>
        <v>31</v>
      </c>
      <c r="DW22" s="43">
        <v>23</v>
      </c>
      <c r="DX22" s="42"/>
      <c r="DY22" s="41">
        <v>31</v>
      </c>
      <c r="DZ22" s="56">
        <f t="shared" si="55"/>
        <v>31</v>
      </c>
      <c r="EA22" s="43">
        <v>4</v>
      </c>
      <c r="EB22" s="42"/>
      <c r="EC22" s="41">
        <v>31</v>
      </c>
      <c r="ED22" s="56">
        <f t="shared" si="57"/>
        <v>31</v>
      </c>
      <c r="EE22" s="43">
        <v>32</v>
      </c>
      <c r="EF22" s="42"/>
      <c r="EG22" s="41">
        <v>31</v>
      </c>
      <c r="EH22" s="56">
        <f t="shared" si="58"/>
        <v>31</v>
      </c>
      <c r="EI22" s="43">
        <v>4</v>
      </c>
      <c r="EJ22" s="42"/>
      <c r="EK22" s="41">
        <v>31</v>
      </c>
      <c r="EL22" s="56">
        <f t="shared" si="59"/>
        <v>31</v>
      </c>
      <c r="EM22" s="44">
        <v>84</v>
      </c>
      <c r="EN22" s="42"/>
      <c r="EO22" s="41">
        <v>31</v>
      </c>
      <c r="EP22" s="56">
        <f t="shared" si="60"/>
        <v>31</v>
      </c>
      <c r="EQ22" s="47"/>
      <c r="ER22" s="57"/>
      <c r="ES22" s="41">
        <v>31</v>
      </c>
      <c r="ET22" s="56">
        <f t="shared" si="61"/>
        <v>31</v>
      </c>
      <c r="EU22" s="47"/>
      <c r="EV22" s="50"/>
      <c r="EW22" s="41">
        <v>31</v>
      </c>
      <c r="EX22" s="56">
        <f t="shared" si="62"/>
        <v>31</v>
      </c>
      <c r="EY22" s="47"/>
      <c r="EZ22" s="50"/>
      <c r="FA22" s="41">
        <v>31</v>
      </c>
      <c r="FB22" s="56">
        <f t="shared" si="63"/>
        <v>31</v>
      </c>
      <c r="FC22" s="47"/>
      <c r="FD22" s="50"/>
      <c r="FE22" s="41">
        <v>31</v>
      </c>
      <c r="FF22" s="56">
        <f t="shared" si="64"/>
        <v>31</v>
      </c>
      <c r="FG22" s="47"/>
      <c r="FH22" s="50"/>
      <c r="FI22" s="41">
        <v>31</v>
      </c>
      <c r="FJ22" s="241">
        <f t="shared" si="65"/>
        <v>31</v>
      </c>
      <c r="FK22" s="52"/>
      <c r="FL22" s="50"/>
      <c r="FM22" s="41">
        <v>31</v>
      </c>
      <c r="FN22" s="241">
        <f t="shared" si="66"/>
        <v>31</v>
      </c>
      <c r="FO22" s="53"/>
      <c r="FP22" s="50"/>
      <c r="FQ22" s="54">
        <f t="shared" si="25"/>
        <v>372</v>
      </c>
      <c r="FR22" s="54">
        <f t="shared" si="26"/>
        <v>93446.400000000009</v>
      </c>
      <c r="FS22" s="58" t="e">
        <v>#REF!</v>
      </c>
      <c r="FT22" s="56" t="e">
        <f t="shared" si="27"/>
        <v>#REF!</v>
      </c>
      <c r="FU22" s="43"/>
      <c r="FV22" s="42"/>
      <c r="FW22" s="58">
        <v>22.837499999999999</v>
      </c>
      <c r="FX22" s="56">
        <f t="shared" si="28"/>
        <v>22</v>
      </c>
      <c r="FY22" s="43"/>
      <c r="FZ22" s="42"/>
      <c r="GA22" s="59">
        <v>28.875000000000004</v>
      </c>
      <c r="GB22" s="56">
        <f t="shared" si="29"/>
        <v>28</v>
      </c>
      <c r="GC22" s="43"/>
      <c r="GD22" s="42"/>
      <c r="GE22" s="59">
        <v>28.875000000000004</v>
      </c>
      <c r="GF22" s="56">
        <f t="shared" si="30"/>
        <v>28</v>
      </c>
      <c r="GG22" s="43"/>
      <c r="GH22" s="42"/>
      <c r="GI22" s="59">
        <v>28.875000000000004</v>
      </c>
      <c r="GJ22" s="56">
        <f t="shared" si="31"/>
        <v>28</v>
      </c>
      <c r="GK22" s="44"/>
      <c r="GL22" s="42"/>
      <c r="GM22" s="59">
        <v>28.875000000000004</v>
      </c>
      <c r="GN22" s="56">
        <f t="shared" si="32"/>
        <v>28</v>
      </c>
      <c r="GO22" s="47"/>
      <c r="GP22" s="57"/>
      <c r="GQ22" s="59">
        <v>28.875000000000004</v>
      </c>
      <c r="GR22" s="56">
        <f t="shared" si="33"/>
        <v>28</v>
      </c>
      <c r="GS22" s="47"/>
      <c r="GT22" s="50"/>
      <c r="GU22" s="59">
        <v>28.875000000000004</v>
      </c>
      <c r="GV22" s="56">
        <f t="shared" si="34"/>
        <v>28</v>
      </c>
      <c r="GW22" s="47"/>
      <c r="GX22" s="50"/>
      <c r="GY22" s="59">
        <v>28.875000000000004</v>
      </c>
      <c r="GZ22" s="56">
        <f t="shared" si="35"/>
        <v>28</v>
      </c>
      <c r="HA22" s="47"/>
      <c r="HB22" s="50"/>
      <c r="HC22" s="59">
        <v>28.875000000000004</v>
      </c>
      <c r="HD22" s="56">
        <f t="shared" si="36"/>
        <v>28</v>
      </c>
      <c r="HE22" s="47"/>
      <c r="HF22" s="50"/>
      <c r="HG22" s="59">
        <v>28.875000000000004</v>
      </c>
      <c r="HH22" s="56">
        <f t="shared" si="37"/>
        <v>28</v>
      </c>
      <c r="HI22" s="52"/>
      <c r="HJ22" s="50"/>
      <c r="HK22" s="59">
        <v>28.875000000000004</v>
      </c>
      <c r="HL22" s="56">
        <f t="shared" si="38"/>
        <v>28</v>
      </c>
      <c r="HM22" s="53"/>
      <c r="HN22" s="50"/>
      <c r="HO22" s="54" t="e">
        <f t="shared" si="39"/>
        <v>#REF!</v>
      </c>
      <c r="HP22" s="54" t="e">
        <f t="shared" si="40"/>
        <v>#REF!</v>
      </c>
      <c r="HQ22" s="59">
        <v>28.875000000000004</v>
      </c>
      <c r="HR22" s="56">
        <f t="shared" si="41"/>
        <v>28</v>
      </c>
      <c r="HS22" s="43"/>
      <c r="HT22" s="42"/>
      <c r="HU22" s="59">
        <v>28.875000000000004</v>
      </c>
      <c r="HV22" s="56">
        <f t="shared" si="42"/>
        <v>28</v>
      </c>
      <c r="HW22" s="43"/>
      <c r="HX22" s="42"/>
      <c r="HY22" s="59">
        <v>28.875000000000004</v>
      </c>
      <c r="HZ22" s="56">
        <f t="shared" si="43"/>
        <v>28</v>
      </c>
      <c r="IA22" s="43"/>
      <c r="IB22" s="42"/>
      <c r="IC22" s="59">
        <v>28.875000000000004</v>
      </c>
      <c r="ID22" s="56">
        <f t="shared" si="44"/>
        <v>28</v>
      </c>
      <c r="IE22" s="43"/>
      <c r="IF22" s="42"/>
      <c r="IG22" s="59">
        <v>28.875000000000004</v>
      </c>
      <c r="IH22" s="56">
        <f t="shared" si="45"/>
        <v>28</v>
      </c>
      <c r="II22" s="44"/>
      <c r="IJ22" s="42"/>
      <c r="IK22" s="59">
        <v>28.875000000000004</v>
      </c>
      <c r="IL22" s="56">
        <f t="shared" si="46"/>
        <v>28</v>
      </c>
      <c r="IM22" s="47"/>
      <c r="IN22" s="57"/>
      <c r="IO22" s="59">
        <v>28.875000000000004</v>
      </c>
      <c r="IP22" s="56">
        <f t="shared" si="47"/>
        <v>28</v>
      </c>
      <c r="IQ22" s="47"/>
      <c r="IR22" s="50"/>
      <c r="IS22" s="59">
        <v>28.875000000000004</v>
      </c>
      <c r="IT22" s="56">
        <f t="shared" si="48"/>
        <v>28</v>
      </c>
      <c r="IU22" s="47"/>
      <c r="IV22" s="50"/>
      <c r="IW22" s="59">
        <v>28.875000000000004</v>
      </c>
      <c r="IX22" s="56">
        <f t="shared" si="49"/>
        <v>28</v>
      </c>
      <c r="IY22" s="47"/>
      <c r="IZ22" s="50"/>
      <c r="JA22" s="59">
        <v>28.875000000000004</v>
      </c>
      <c r="JB22" s="56">
        <f t="shared" si="50"/>
        <v>28</v>
      </c>
      <c r="JC22" s="47"/>
      <c r="JD22" s="50"/>
      <c r="JE22" s="59">
        <v>28.875000000000004</v>
      </c>
      <c r="JF22" s="56">
        <f t="shared" si="51"/>
        <v>28</v>
      </c>
      <c r="JG22" s="52"/>
      <c r="JH22" s="50"/>
      <c r="JI22" s="59">
        <v>28.875000000000004</v>
      </c>
      <c r="JJ22" s="56">
        <f t="shared" si="52"/>
        <v>28</v>
      </c>
      <c r="JK22" s="53"/>
      <c r="JL22" s="50"/>
      <c r="JM22" s="54">
        <f t="shared" si="53"/>
        <v>346.50000000000006</v>
      </c>
      <c r="JN22" s="54">
        <f t="shared" si="54"/>
        <v>87040.800000000017</v>
      </c>
    </row>
    <row r="23" spans="1:274">
      <c r="A23" s="249"/>
      <c r="B23" s="250"/>
      <c r="C23" s="250"/>
      <c r="D23" s="249"/>
      <c r="E23" s="36">
        <v>18</v>
      </c>
      <c r="F23" s="37"/>
      <c r="G23" s="38">
        <v>8997598154</v>
      </c>
      <c r="H23" s="39" t="s">
        <v>62</v>
      </c>
      <c r="I23" s="71">
        <v>6.67</v>
      </c>
      <c r="J23" s="36"/>
      <c r="K23" s="36"/>
      <c r="L23" s="36"/>
      <c r="M23" s="41"/>
      <c r="N23" s="42"/>
      <c r="O23" s="43"/>
      <c r="P23" s="42"/>
      <c r="Q23" s="41"/>
      <c r="R23" s="42"/>
      <c r="S23" s="43"/>
      <c r="T23" s="42"/>
      <c r="U23" s="41"/>
      <c r="V23" s="42"/>
      <c r="W23" s="43"/>
      <c r="X23" s="42"/>
      <c r="Y23" s="41"/>
      <c r="Z23" s="42"/>
      <c r="AA23" s="43"/>
      <c r="AB23" s="42"/>
      <c r="AC23" s="41"/>
      <c r="AD23" s="42"/>
      <c r="AE23" s="44"/>
      <c r="AF23" s="42"/>
      <c r="AG23" s="45"/>
      <c r="AH23" s="46"/>
      <c r="AI23" s="47"/>
      <c r="AJ23" s="253"/>
      <c r="AK23" s="45"/>
      <c r="AL23" s="49"/>
      <c r="AM23" s="47"/>
      <c r="AN23" s="50"/>
      <c r="AO23" s="45"/>
      <c r="AP23" s="42"/>
      <c r="AQ23" s="43"/>
      <c r="AR23" s="51"/>
      <c r="AS23" s="45"/>
      <c r="AT23" s="49"/>
      <c r="AU23" s="47"/>
      <c r="AV23" s="50"/>
      <c r="AW23" s="45"/>
      <c r="AX23" s="49"/>
      <c r="AY23" s="47"/>
      <c r="AZ23" s="50"/>
      <c r="BA23" s="45"/>
      <c r="BB23" s="49"/>
      <c r="BC23" s="52"/>
      <c r="BD23" s="50"/>
      <c r="BE23" s="45"/>
      <c r="BF23" s="49"/>
      <c r="BG23" s="53"/>
      <c r="BH23" s="50"/>
      <c r="BI23" s="54"/>
      <c r="BJ23" s="54"/>
      <c r="BK23" s="41">
        <v>40</v>
      </c>
      <c r="BL23" s="55">
        <f t="shared" si="2"/>
        <v>36</v>
      </c>
      <c r="BM23" s="56">
        <v>40</v>
      </c>
      <c r="BN23" s="43">
        <v>50</v>
      </c>
      <c r="BO23" s="42"/>
      <c r="BP23" s="41">
        <v>53</v>
      </c>
      <c r="BQ23" s="55">
        <f t="shared" si="3"/>
        <v>48</v>
      </c>
      <c r="BR23" s="56">
        <v>53</v>
      </c>
      <c r="BS23" s="43">
        <v>200</v>
      </c>
      <c r="BT23" s="42"/>
      <c r="BU23" s="41">
        <v>53</v>
      </c>
      <c r="BV23" s="55">
        <f t="shared" si="4"/>
        <v>48</v>
      </c>
      <c r="BW23" s="56">
        <v>53</v>
      </c>
      <c r="BX23" s="43">
        <v>430</v>
      </c>
      <c r="BY23" s="42"/>
      <c r="BZ23" s="41">
        <v>53</v>
      </c>
      <c r="CA23" s="55">
        <f t="shared" si="5"/>
        <v>48</v>
      </c>
      <c r="CB23" s="56">
        <v>53</v>
      </c>
      <c r="CC23" s="43">
        <v>40</v>
      </c>
      <c r="CD23" s="42"/>
      <c r="CE23" s="41">
        <v>53</v>
      </c>
      <c r="CF23" s="55">
        <f t="shared" si="6"/>
        <v>48</v>
      </c>
      <c r="CG23" s="56">
        <v>53</v>
      </c>
      <c r="CH23" s="44">
        <v>0</v>
      </c>
      <c r="CI23" s="42"/>
      <c r="CJ23" s="41">
        <v>53</v>
      </c>
      <c r="CK23" s="55">
        <f t="shared" si="7"/>
        <v>48</v>
      </c>
      <c r="CL23" s="56">
        <v>53</v>
      </c>
      <c r="CM23" s="47">
        <v>12</v>
      </c>
      <c r="CN23" s="57"/>
      <c r="CO23" s="41">
        <v>53</v>
      </c>
      <c r="CP23" s="55">
        <f t="shared" si="8"/>
        <v>48</v>
      </c>
      <c r="CQ23" s="56">
        <v>53</v>
      </c>
      <c r="CR23" s="47">
        <v>30</v>
      </c>
      <c r="CS23" s="50"/>
      <c r="CT23" s="41">
        <v>53</v>
      </c>
      <c r="CU23" s="55">
        <f t="shared" si="9"/>
        <v>48</v>
      </c>
      <c r="CV23" s="56">
        <v>50</v>
      </c>
      <c r="CW23" s="47">
        <v>10</v>
      </c>
      <c r="CX23" s="50"/>
      <c r="CY23" s="41">
        <v>53</v>
      </c>
      <c r="CZ23" s="55">
        <f t="shared" si="10"/>
        <v>48</v>
      </c>
      <c r="DA23" s="56">
        <v>50</v>
      </c>
      <c r="DB23" s="47">
        <v>100</v>
      </c>
      <c r="DC23" s="50"/>
      <c r="DD23" s="41">
        <v>53</v>
      </c>
      <c r="DE23" s="55">
        <f t="shared" si="11"/>
        <v>48</v>
      </c>
      <c r="DF23" s="56">
        <v>50</v>
      </c>
      <c r="DG23" s="47">
        <v>120</v>
      </c>
      <c r="DH23" s="50"/>
      <c r="DI23" s="41">
        <v>53</v>
      </c>
      <c r="DJ23" s="55">
        <f t="shared" si="12"/>
        <v>48</v>
      </c>
      <c r="DK23" s="56">
        <v>50</v>
      </c>
      <c r="DL23" s="52"/>
      <c r="DM23" s="50"/>
      <c r="DN23" s="41">
        <v>53</v>
      </c>
      <c r="DO23" s="55">
        <f t="shared" si="13"/>
        <v>48</v>
      </c>
      <c r="DP23" s="56">
        <v>50</v>
      </c>
      <c r="DQ23" s="53">
        <v>27</v>
      </c>
      <c r="DR23" s="50"/>
      <c r="DS23" s="54">
        <f t="shared" si="14"/>
        <v>623</v>
      </c>
      <c r="DT23" s="54">
        <f t="shared" si="15"/>
        <v>4155.41</v>
      </c>
      <c r="DU23" s="41">
        <v>83</v>
      </c>
      <c r="DV23" s="56">
        <f t="shared" si="56"/>
        <v>83</v>
      </c>
      <c r="DW23" s="43">
        <v>120</v>
      </c>
      <c r="DX23" s="42"/>
      <c r="DY23" s="41">
        <v>83</v>
      </c>
      <c r="DZ23" s="56">
        <f t="shared" si="55"/>
        <v>83</v>
      </c>
      <c r="EA23" s="43">
        <v>70</v>
      </c>
      <c r="EB23" s="42"/>
      <c r="EC23" s="41">
        <v>83</v>
      </c>
      <c r="ED23" s="56">
        <f t="shared" si="57"/>
        <v>83</v>
      </c>
      <c r="EE23" s="43">
        <v>30</v>
      </c>
      <c r="EF23" s="42"/>
      <c r="EG23" s="41">
        <v>83</v>
      </c>
      <c r="EH23" s="56">
        <f t="shared" si="58"/>
        <v>83</v>
      </c>
      <c r="EI23" s="43">
        <v>169</v>
      </c>
      <c r="EJ23" s="42"/>
      <c r="EK23" s="41">
        <v>83</v>
      </c>
      <c r="EL23" s="56">
        <f t="shared" si="59"/>
        <v>83</v>
      </c>
      <c r="EM23" s="44">
        <v>60</v>
      </c>
      <c r="EN23" s="42"/>
      <c r="EO23" s="41">
        <v>83</v>
      </c>
      <c r="EP23" s="56">
        <f t="shared" si="60"/>
        <v>83</v>
      </c>
      <c r="EQ23" s="47"/>
      <c r="ER23" s="57"/>
      <c r="ES23" s="41">
        <v>83</v>
      </c>
      <c r="ET23" s="56">
        <f t="shared" si="61"/>
        <v>83</v>
      </c>
      <c r="EU23" s="47"/>
      <c r="EV23" s="50"/>
      <c r="EW23" s="41">
        <v>83</v>
      </c>
      <c r="EX23" s="56">
        <f t="shared" si="62"/>
        <v>83</v>
      </c>
      <c r="EY23" s="47"/>
      <c r="EZ23" s="50"/>
      <c r="FA23" s="41">
        <v>83</v>
      </c>
      <c r="FB23" s="56">
        <f t="shared" si="63"/>
        <v>83</v>
      </c>
      <c r="FC23" s="47"/>
      <c r="FD23" s="50"/>
      <c r="FE23" s="41">
        <v>83</v>
      </c>
      <c r="FF23" s="56">
        <f t="shared" si="64"/>
        <v>83</v>
      </c>
      <c r="FG23" s="47"/>
      <c r="FH23" s="50"/>
      <c r="FI23" s="41">
        <v>83</v>
      </c>
      <c r="FJ23" s="241">
        <f t="shared" si="65"/>
        <v>83</v>
      </c>
      <c r="FK23" s="52"/>
      <c r="FL23" s="50"/>
      <c r="FM23" s="41">
        <v>83</v>
      </c>
      <c r="FN23" s="241">
        <f t="shared" si="66"/>
        <v>83</v>
      </c>
      <c r="FO23" s="53"/>
      <c r="FP23" s="50"/>
      <c r="FQ23" s="54">
        <f t="shared" si="25"/>
        <v>996</v>
      </c>
      <c r="FR23" s="54">
        <f t="shared" si="26"/>
        <v>6643.32</v>
      </c>
      <c r="FS23" s="58" t="e">
        <v>#REF!</v>
      </c>
      <c r="FT23" s="56" t="e">
        <f t="shared" si="27"/>
        <v>#REF!</v>
      </c>
      <c r="FU23" s="43"/>
      <c r="FV23" s="42"/>
      <c r="FW23" s="58">
        <v>43.5</v>
      </c>
      <c r="FX23" s="56">
        <f t="shared" si="28"/>
        <v>43</v>
      </c>
      <c r="FY23" s="43"/>
      <c r="FZ23" s="42"/>
      <c r="GA23" s="59">
        <v>55.000000000000007</v>
      </c>
      <c r="GB23" s="56">
        <f t="shared" si="29"/>
        <v>55</v>
      </c>
      <c r="GC23" s="43"/>
      <c r="GD23" s="42"/>
      <c r="GE23" s="59">
        <v>55.000000000000007</v>
      </c>
      <c r="GF23" s="56">
        <f t="shared" si="30"/>
        <v>55</v>
      </c>
      <c r="GG23" s="43"/>
      <c r="GH23" s="42"/>
      <c r="GI23" s="59">
        <v>55.000000000000007</v>
      </c>
      <c r="GJ23" s="56">
        <f t="shared" si="31"/>
        <v>55</v>
      </c>
      <c r="GK23" s="44"/>
      <c r="GL23" s="42"/>
      <c r="GM23" s="59">
        <v>55.000000000000007</v>
      </c>
      <c r="GN23" s="56">
        <f t="shared" si="32"/>
        <v>55</v>
      </c>
      <c r="GO23" s="47"/>
      <c r="GP23" s="57"/>
      <c r="GQ23" s="59">
        <v>55.000000000000007</v>
      </c>
      <c r="GR23" s="56">
        <f t="shared" si="33"/>
        <v>55</v>
      </c>
      <c r="GS23" s="47"/>
      <c r="GT23" s="50"/>
      <c r="GU23" s="59">
        <v>55.000000000000007</v>
      </c>
      <c r="GV23" s="56">
        <f t="shared" si="34"/>
        <v>55</v>
      </c>
      <c r="GW23" s="47"/>
      <c r="GX23" s="50"/>
      <c r="GY23" s="59">
        <v>55.000000000000007</v>
      </c>
      <c r="GZ23" s="56">
        <f t="shared" si="35"/>
        <v>55</v>
      </c>
      <c r="HA23" s="47"/>
      <c r="HB23" s="50"/>
      <c r="HC23" s="59">
        <v>55.000000000000007</v>
      </c>
      <c r="HD23" s="56">
        <f t="shared" si="36"/>
        <v>55</v>
      </c>
      <c r="HE23" s="47"/>
      <c r="HF23" s="50"/>
      <c r="HG23" s="59">
        <v>55.000000000000007</v>
      </c>
      <c r="HH23" s="56">
        <f t="shared" si="37"/>
        <v>55</v>
      </c>
      <c r="HI23" s="52"/>
      <c r="HJ23" s="50"/>
      <c r="HK23" s="59">
        <v>55.000000000000007</v>
      </c>
      <c r="HL23" s="56">
        <f t="shared" si="38"/>
        <v>55</v>
      </c>
      <c r="HM23" s="53"/>
      <c r="HN23" s="50"/>
      <c r="HO23" s="54" t="e">
        <f t="shared" si="39"/>
        <v>#REF!</v>
      </c>
      <c r="HP23" s="54" t="e">
        <f t="shared" si="40"/>
        <v>#REF!</v>
      </c>
      <c r="HQ23" s="59">
        <v>55.000000000000007</v>
      </c>
      <c r="HR23" s="56">
        <f t="shared" si="41"/>
        <v>55</v>
      </c>
      <c r="HS23" s="43"/>
      <c r="HT23" s="42"/>
      <c r="HU23" s="59">
        <v>55.000000000000007</v>
      </c>
      <c r="HV23" s="56">
        <f t="shared" si="42"/>
        <v>55</v>
      </c>
      <c r="HW23" s="43"/>
      <c r="HX23" s="42"/>
      <c r="HY23" s="59">
        <v>55.000000000000007</v>
      </c>
      <c r="HZ23" s="56">
        <f t="shared" si="43"/>
        <v>55</v>
      </c>
      <c r="IA23" s="43"/>
      <c r="IB23" s="42"/>
      <c r="IC23" s="59">
        <v>55.000000000000007</v>
      </c>
      <c r="ID23" s="56">
        <f t="shared" si="44"/>
        <v>55</v>
      </c>
      <c r="IE23" s="43"/>
      <c r="IF23" s="42"/>
      <c r="IG23" s="59">
        <v>55.000000000000007</v>
      </c>
      <c r="IH23" s="56">
        <f t="shared" si="45"/>
        <v>55</v>
      </c>
      <c r="II23" s="44"/>
      <c r="IJ23" s="42"/>
      <c r="IK23" s="59">
        <v>55.000000000000007</v>
      </c>
      <c r="IL23" s="56">
        <f t="shared" si="46"/>
        <v>55</v>
      </c>
      <c r="IM23" s="47"/>
      <c r="IN23" s="57"/>
      <c r="IO23" s="59">
        <v>55.000000000000007</v>
      </c>
      <c r="IP23" s="56">
        <f t="shared" si="47"/>
        <v>55</v>
      </c>
      <c r="IQ23" s="47"/>
      <c r="IR23" s="50"/>
      <c r="IS23" s="59">
        <v>55.000000000000007</v>
      </c>
      <c r="IT23" s="56">
        <f t="shared" si="48"/>
        <v>55</v>
      </c>
      <c r="IU23" s="47"/>
      <c r="IV23" s="50"/>
      <c r="IW23" s="59">
        <v>55.000000000000007</v>
      </c>
      <c r="IX23" s="56">
        <f t="shared" si="49"/>
        <v>55</v>
      </c>
      <c r="IY23" s="47"/>
      <c r="IZ23" s="50"/>
      <c r="JA23" s="59">
        <v>55.000000000000007</v>
      </c>
      <c r="JB23" s="56">
        <f t="shared" si="50"/>
        <v>55</v>
      </c>
      <c r="JC23" s="47"/>
      <c r="JD23" s="50"/>
      <c r="JE23" s="59">
        <v>55.000000000000007</v>
      </c>
      <c r="JF23" s="56">
        <f t="shared" si="51"/>
        <v>55</v>
      </c>
      <c r="JG23" s="52"/>
      <c r="JH23" s="50"/>
      <c r="JI23" s="59">
        <v>55.000000000000007</v>
      </c>
      <c r="JJ23" s="56">
        <f t="shared" si="52"/>
        <v>55</v>
      </c>
      <c r="JK23" s="53"/>
      <c r="JL23" s="50"/>
      <c r="JM23" s="54">
        <f t="shared" si="53"/>
        <v>660.00000000000011</v>
      </c>
      <c r="JN23" s="54">
        <f t="shared" si="54"/>
        <v>4402.2000000000007</v>
      </c>
    </row>
    <row r="24" spans="1:274">
      <c r="A24" s="249"/>
      <c r="B24" s="250"/>
      <c r="C24" s="250"/>
      <c r="D24" s="249"/>
      <c r="E24" s="36">
        <v>19</v>
      </c>
      <c r="F24" s="37"/>
      <c r="G24" s="38">
        <v>9254800500</v>
      </c>
      <c r="H24" s="39" t="s">
        <v>63</v>
      </c>
      <c r="I24" s="71">
        <v>699.48556800000017</v>
      </c>
      <c r="J24" s="36"/>
      <c r="K24" s="36"/>
      <c r="L24" s="36"/>
      <c r="M24" s="41"/>
      <c r="N24" s="42"/>
      <c r="O24" s="43"/>
      <c r="P24" s="42"/>
      <c r="Q24" s="41"/>
      <c r="R24" s="42"/>
      <c r="S24" s="43"/>
      <c r="T24" s="42"/>
      <c r="U24" s="41"/>
      <c r="V24" s="42"/>
      <c r="W24" s="43"/>
      <c r="X24" s="42"/>
      <c r="Y24" s="41"/>
      <c r="Z24" s="42"/>
      <c r="AA24" s="43"/>
      <c r="AB24" s="42"/>
      <c r="AC24" s="41"/>
      <c r="AD24" s="42"/>
      <c r="AE24" s="44"/>
      <c r="AF24" s="42"/>
      <c r="AG24" s="45"/>
      <c r="AH24" s="46"/>
      <c r="AI24" s="47"/>
      <c r="AJ24" s="253"/>
      <c r="AK24" s="45"/>
      <c r="AL24" s="49"/>
      <c r="AM24" s="47"/>
      <c r="AN24" s="50"/>
      <c r="AO24" s="45"/>
      <c r="AP24" s="42"/>
      <c r="AQ24" s="43"/>
      <c r="AR24" s="51"/>
      <c r="AS24" s="45"/>
      <c r="AT24" s="49"/>
      <c r="AU24" s="47"/>
      <c r="AV24" s="50"/>
      <c r="AW24" s="45"/>
      <c r="AX24" s="49"/>
      <c r="AY24" s="47"/>
      <c r="AZ24" s="50"/>
      <c r="BA24" s="45"/>
      <c r="BB24" s="49"/>
      <c r="BC24" s="52"/>
      <c r="BD24" s="50"/>
      <c r="BE24" s="45"/>
      <c r="BF24" s="49"/>
      <c r="BG24" s="53"/>
      <c r="BH24" s="50"/>
      <c r="BI24" s="54"/>
      <c r="BJ24" s="54"/>
      <c r="BK24" s="41">
        <v>1</v>
      </c>
      <c r="BL24" s="55">
        <f t="shared" si="2"/>
        <v>1</v>
      </c>
      <c r="BM24" s="56">
        <v>1</v>
      </c>
      <c r="BN24" s="43">
        <v>0</v>
      </c>
      <c r="BO24" s="42"/>
      <c r="BP24" s="41">
        <v>1</v>
      </c>
      <c r="BQ24" s="55">
        <f t="shared" si="3"/>
        <v>1</v>
      </c>
      <c r="BR24" s="56">
        <v>1</v>
      </c>
      <c r="BS24" s="43">
        <v>4</v>
      </c>
      <c r="BT24" s="42"/>
      <c r="BU24" s="41">
        <v>1</v>
      </c>
      <c r="BV24" s="55">
        <f t="shared" si="4"/>
        <v>1</v>
      </c>
      <c r="BW24" s="56">
        <v>1</v>
      </c>
      <c r="BX24" s="43">
        <v>0</v>
      </c>
      <c r="BY24" s="42"/>
      <c r="BZ24" s="41">
        <v>1</v>
      </c>
      <c r="CA24" s="55">
        <f t="shared" si="5"/>
        <v>1</v>
      </c>
      <c r="CB24" s="56">
        <v>1</v>
      </c>
      <c r="CC24" s="43">
        <v>5</v>
      </c>
      <c r="CD24" s="42"/>
      <c r="CE24" s="41">
        <v>1</v>
      </c>
      <c r="CF24" s="55">
        <f t="shared" si="6"/>
        <v>1</v>
      </c>
      <c r="CG24" s="56">
        <v>1</v>
      </c>
      <c r="CH24" s="44">
        <v>0</v>
      </c>
      <c r="CI24" s="42"/>
      <c r="CJ24" s="41">
        <v>1</v>
      </c>
      <c r="CK24" s="55">
        <f t="shared" si="7"/>
        <v>1</v>
      </c>
      <c r="CL24" s="56">
        <v>1</v>
      </c>
      <c r="CM24" s="47"/>
      <c r="CN24" s="57"/>
      <c r="CO24" s="41">
        <v>1</v>
      </c>
      <c r="CP24" s="55">
        <f t="shared" si="8"/>
        <v>1</v>
      </c>
      <c r="CQ24" s="56">
        <v>1</v>
      </c>
      <c r="CR24" s="47"/>
      <c r="CS24" s="50"/>
      <c r="CT24" s="41">
        <v>1</v>
      </c>
      <c r="CU24" s="55">
        <f t="shared" si="9"/>
        <v>1</v>
      </c>
      <c r="CV24" s="56">
        <v>1</v>
      </c>
      <c r="CW24" s="47"/>
      <c r="CX24" s="50"/>
      <c r="CY24" s="41">
        <v>1</v>
      </c>
      <c r="CZ24" s="55">
        <f t="shared" si="10"/>
        <v>1</v>
      </c>
      <c r="DA24" s="56">
        <v>1</v>
      </c>
      <c r="DB24" s="47"/>
      <c r="DC24" s="50"/>
      <c r="DD24" s="41">
        <v>1</v>
      </c>
      <c r="DE24" s="55">
        <f t="shared" si="11"/>
        <v>1</v>
      </c>
      <c r="DF24" s="56">
        <v>1</v>
      </c>
      <c r="DG24" s="47"/>
      <c r="DH24" s="50"/>
      <c r="DI24" s="41">
        <v>1</v>
      </c>
      <c r="DJ24" s="55">
        <f t="shared" si="12"/>
        <v>1</v>
      </c>
      <c r="DK24" s="56">
        <v>1</v>
      </c>
      <c r="DL24" s="52"/>
      <c r="DM24" s="50"/>
      <c r="DN24" s="41">
        <v>1</v>
      </c>
      <c r="DO24" s="55">
        <f t="shared" si="13"/>
        <v>1</v>
      </c>
      <c r="DP24" s="56">
        <v>1</v>
      </c>
      <c r="DQ24" s="53"/>
      <c r="DR24" s="50"/>
      <c r="DS24" s="54">
        <f t="shared" si="14"/>
        <v>12</v>
      </c>
      <c r="DT24" s="54">
        <f t="shared" si="15"/>
        <v>8393.8268160000025</v>
      </c>
      <c r="DU24" s="41">
        <v>1</v>
      </c>
      <c r="DV24" s="56">
        <f t="shared" si="56"/>
        <v>1</v>
      </c>
      <c r="DW24" s="43"/>
      <c r="DX24" s="42"/>
      <c r="DY24" s="41">
        <v>1</v>
      </c>
      <c r="DZ24" s="56">
        <f t="shared" si="55"/>
        <v>1</v>
      </c>
      <c r="EA24" s="43">
        <v>1</v>
      </c>
      <c r="EB24" s="42"/>
      <c r="EC24" s="41">
        <v>1</v>
      </c>
      <c r="ED24" s="56">
        <f t="shared" si="57"/>
        <v>1</v>
      </c>
      <c r="EE24" s="43">
        <v>1</v>
      </c>
      <c r="EF24" s="42"/>
      <c r="EG24" s="41">
        <v>1</v>
      </c>
      <c r="EH24" s="56">
        <f t="shared" si="58"/>
        <v>1</v>
      </c>
      <c r="EI24" s="43"/>
      <c r="EJ24" s="42"/>
      <c r="EK24" s="41">
        <v>1</v>
      </c>
      <c r="EL24" s="56">
        <f t="shared" si="59"/>
        <v>1</v>
      </c>
      <c r="EM24" s="44">
        <v>1</v>
      </c>
      <c r="EN24" s="42"/>
      <c r="EO24" s="41">
        <v>1</v>
      </c>
      <c r="EP24" s="56">
        <f t="shared" si="60"/>
        <v>1</v>
      </c>
      <c r="EQ24" s="47"/>
      <c r="ER24" s="57"/>
      <c r="ES24" s="41">
        <v>1</v>
      </c>
      <c r="ET24" s="56">
        <f t="shared" si="61"/>
        <v>1</v>
      </c>
      <c r="EU24" s="47"/>
      <c r="EV24" s="50"/>
      <c r="EW24" s="41">
        <v>1</v>
      </c>
      <c r="EX24" s="56">
        <f t="shared" si="62"/>
        <v>1</v>
      </c>
      <c r="EY24" s="47"/>
      <c r="EZ24" s="50"/>
      <c r="FA24" s="41">
        <v>1</v>
      </c>
      <c r="FB24" s="56">
        <f t="shared" si="63"/>
        <v>1</v>
      </c>
      <c r="FC24" s="47"/>
      <c r="FD24" s="50"/>
      <c r="FE24" s="41">
        <v>1</v>
      </c>
      <c r="FF24" s="56">
        <f t="shared" si="64"/>
        <v>1</v>
      </c>
      <c r="FG24" s="47"/>
      <c r="FH24" s="50"/>
      <c r="FI24" s="41">
        <v>1</v>
      </c>
      <c r="FJ24" s="241">
        <f t="shared" si="65"/>
        <v>1</v>
      </c>
      <c r="FK24" s="52"/>
      <c r="FL24" s="50"/>
      <c r="FM24" s="41">
        <v>1</v>
      </c>
      <c r="FN24" s="241">
        <f t="shared" si="66"/>
        <v>1</v>
      </c>
      <c r="FO24" s="53"/>
      <c r="FP24" s="50"/>
      <c r="FQ24" s="54">
        <f t="shared" si="25"/>
        <v>12</v>
      </c>
      <c r="FR24" s="54">
        <f t="shared" si="26"/>
        <v>8393.8268160000025</v>
      </c>
      <c r="FS24" s="58" t="e">
        <v>#REF!</v>
      </c>
      <c r="FT24" s="56" t="e">
        <f t="shared" si="27"/>
        <v>#REF!</v>
      </c>
      <c r="FU24" s="43"/>
      <c r="FV24" s="42"/>
      <c r="FW24" s="58">
        <v>1.74</v>
      </c>
      <c r="FX24" s="56">
        <f t="shared" si="28"/>
        <v>1</v>
      </c>
      <c r="FY24" s="43"/>
      <c r="FZ24" s="42"/>
      <c r="GA24" s="59">
        <v>2.2000000000000002</v>
      </c>
      <c r="GB24" s="56">
        <f t="shared" si="29"/>
        <v>2</v>
      </c>
      <c r="GC24" s="43"/>
      <c r="GD24" s="42"/>
      <c r="GE24" s="59">
        <v>2.2000000000000002</v>
      </c>
      <c r="GF24" s="56">
        <f t="shared" si="30"/>
        <v>2</v>
      </c>
      <c r="GG24" s="43"/>
      <c r="GH24" s="42"/>
      <c r="GI24" s="59">
        <v>2.2000000000000002</v>
      </c>
      <c r="GJ24" s="56">
        <f t="shared" si="31"/>
        <v>2</v>
      </c>
      <c r="GK24" s="44"/>
      <c r="GL24" s="42"/>
      <c r="GM24" s="59">
        <v>2.2000000000000002</v>
      </c>
      <c r="GN24" s="56">
        <f t="shared" si="32"/>
        <v>2</v>
      </c>
      <c r="GO24" s="47"/>
      <c r="GP24" s="57"/>
      <c r="GQ24" s="59">
        <v>2.2000000000000002</v>
      </c>
      <c r="GR24" s="56">
        <f t="shared" si="33"/>
        <v>2</v>
      </c>
      <c r="GS24" s="47"/>
      <c r="GT24" s="50"/>
      <c r="GU24" s="59">
        <v>2.2000000000000002</v>
      </c>
      <c r="GV24" s="56">
        <f t="shared" si="34"/>
        <v>2</v>
      </c>
      <c r="GW24" s="47"/>
      <c r="GX24" s="50"/>
      <c r="GY24" s="59">
        <v>2.2000000000000002</v>
      </c>
      <c r="GZ24" s="56">
        <f t="shared" si="35"/>
        <v>2</v>
      </c>
      <c r="HA24" s="47"/>
      <c r="HB24" s="50"/>
      <c r="HC24" s="59">
        <v>2.2000000000000002</v>
      </c>
      <c r="HD24" s="56">
        <f t="shared" si="36"/>
        <v>2</v>
      </c>
      <c r="HE24" s="47"/>
      <c r="HF24" s="50"/>
      <c r="HG24" s="59">
        <v>2.2000000000000002</v>
      </c>
      <c r="HH24" s="56">
        <f t="shared" si="37"/>
        <v>2</v>
      </c>
      <c r="HI24" s="52"/>
      <c r="HJ24" s="50"/>
      <c r="HK24" s="59">
        <v>2.2000000000000002</v>
      </c>
      <c r="HL24" s="56">
        <f t="shared" si="38"/>
        <v>2</v>
      </c>
      <c r="HM24" s="53"/>
      <c r="HN24" s="50"/>
      <c r="HO24" s="54" t="e">
        <f t="shared" si="39"/>
        <v>#REF!</v>
      </c>
      <c r="HP24" s="54" t="e">
        <f t="shared" si="40"/>
        <v>#REF!</v>
      </c>
      <c r="HQ24" s="59">
        <v>2.2000000000000002</v>
      </c>
      <c r="HR24" s="56">
        <f t="shared" si="41"/>
        <v>2</v>
      </c>
      <c r="HS24" s="43"/>
      <c r="HT24" s="42"/>
      <c r="HU24" s="59">
        <v>2.2000000000000002</v>
      </c>
      <c r="HV24" s="56">
        <f t="shared" si="42"/>
        <v>2</v>
      </c>
      <c r="HW24" s="43"/>
      <c r="HX24" s="42"/>
      <c r="HY24" s="59">
        <v>2.2000000000000002</v>
      </c>
      <c r="HZ24" s="56">
        <f t="shared" si="43"/>
        <v>2</v>
      </c>
      <c r="IA24" s="43"/>
      <c r="IB24" s="42"/>
      <c r="IC24" s="59">
        <v>2.2000000000000002</v>
      </c>
      <c r="ID24" s="56">
        <f t="shared" si="44"/>
        <v>2</v>
      </c>
      <c r="IE24" s="43"/>
      <c r="IF24" s="42"/>
      <c r="IG24" s="59">
        <v>2.2000000000000002</v>
      </c>
      <c r="IH24" s="56">
        <f t="shared" si="45"/>
        <v>2</v>
      </c>
      <c r="II24" s="44"/>
      <c r="IJ24" s="42"/>
      <c r="IK24" s="59">
        <v>2.2000000000000002</v>
      </c>
      <c r="IL24" s="56">
        <f t="shared" si="46"/>
        <v>2</v>
      </c>
      <c r="IM24" s="47"/>
      <c r="IN24" s="57"/>
      <c r="IO24" s="59">
        <v>2.2000000000000002</v>
      </c>
      <c r="IP24" s="56">
        <f t="shared" si="47"/>
        <v>2</v>
      </c>
      <c r="IQ24" s="47"/>
      <c r="IR24" s="50"/>
      <c r="IS24" s="59">
        <v>2.2000000000000002</v>
      </c>
      <c r="IT24" s="56">
        <f t="shared" si="48"/>
        <v>2</v>
      </c>
      <c r="IU24" s="47"/>
      <c r="IV24" s="50"/>
      <c r="IW24" s="59">
        <v>2.2000000000000002</v>
      </c>
      <c r="IX24" s="56">
        <f t="shared" si="49"/>
        <v>2</v>
      </c>
      <c r="IY24" s="47"/>
      <c r="IZ24" s="50"/>
      <c r="JA24" s="59">
        <v>2.2000000000000002</v>
      </c>
      <c r="JB24" s="56">
        <f t="shared" si="50"/>
        <v>2</v>
      </c>
      <c r="JC24" s="47"/>
      <c r="JD24" s="50"/>
      <c r="JE24" s="59">
        <v>2.2000000000000002</v>
      </c>
      <c r="JF24" s="56">
        <f t="shared" si="51"/>
        <v>2</v>
      </c>
      <c r="JG24" s="52"/>
      <c r="JH24" s="50"/>
      <c r="JI24" s="59">
        <v>2.2000000000000002</v>
      </c>
      <c r="JJ24" s="56">
        <f t="shared" si="52"/>
        <v>2</v>
      </c>
      <c r="JK24" s="53"/>
      <c r="JL24" s="50"/>
      <c r="JM24" s="54">
        <f t="shared" si="53"/>
        <v>26.399999999999995</v>
      </c>
      <c r="JN24" s="54">
        <f t="shared" si="54"/>
        <v>18466.418995200002</v>
      </c>
    </row>
    <row r="25" spans="1:274">
      <c r="A25" s="249"/>
      <c r="B25" s="250"/>
      <c r="C25" s="250"/>
      <c r="D25" s="249"/>
      <c r="E25" s="36">
        <v>20</v>
      </c>
      <c r="F25" s="37"/>
      <c r="G25" s="38">
        <v>9254800510</v>
      </c>
      <c r="H25" s="39" t="s">
        <v>63</v>
      </c>
      <c r="I25" s="71">
        <v>699.48556800000017</v>
      </c>
      <c r="J25" s="36"/>
      <c r="K25" s="36"/>
      <c r="L25" s="36"/>
      <c r="M25" s="41"/>
      <c r="N25" s="42"/>
      <c r="O25" s="43"/>
      <c r="P25" s="42"/>
      <c r="Q25" s="41"/>
      <c r="R25" s="42"/>
      <c r="S25" s="43"/>
      <c r="T25" s="42"/>
      <c r="U25" s="41"/>
      <c r="V25" s="42"/>
      <c r="W25" s="43"/>
      <c r="X25" s="42"/>
      <c r="Y25" s="41"/>
      <c r="Z25" s="42"/>
      <c r="AA25" s="43"/>
      <c r="AB25" s="42"/>
      <c r="AC25" s="41"/>
      <c r="AD25" s="42"/>
      <c r="AE25" s="44"/>
      <c r="AF25" s="42"/>
      <c r="AG25" s="45"/>
      <c r="AH25" s="46"/>
      <c r="AI25" s="47"/>
      <c r="AJ25" s="253"/>
      <c r="AK25" s="45"/>
      <c r="AL25" s="49"/>
      <c r="AM25" s="47"/>
      <c r="AN25" s="50"/>
      <c r="AO25" s="45"/>
      <c r="AP25" s="42"/>
      <c r="AQ25" s="43"/>
      <c r="AR25" s="51"/>
      <c r="AS25" s="45"/>
      <c r="AT25" s="49"/>
      <c r="AU25" s="47"/>
      <c r="AV25" s="50"/>
      <c r="AW25" s="45"/>
      <c r="AX25" s="49"/>
      <c r="AY25" s="47"/>
      <c r="AZ25" s="50"/>
      <c r="BA25" s="45"/>
      <c r="BB25" s="49"/>
      <c r="BC25" s="52"/>
      <c r="BD25" s="50"/>
      <c r="BE25" s="45"/>
      <c r="BF25" s="49"/>
      <c r="BG25" s="53"/>
      <c r="BH25" s="50"/>
      <c r="BI25" s="54"/>
      <c r="BJ25" s="54"/>
      <c r="BK25" s="41">
        <v>4</v>
      </c>
      <c r="BL25" s="55">
        <f t="shared" si="2"/>
        <v>4</v>
      </c>
      <c r="BM25" s="56">
        <v>4</v>
      </c>
      <c r="BN25" s="43">
        <v>0</v>
      </c>
      <c r="BO25" s="42"/>
      <c r="BP25" s="41">
        <v>4</v>
      </c>
      <c r="BQ25" s="55">
        <f t="shared" si="3"/>
        <v>4</v>
      </c>
      <c r="BR25" s="56">
        <v>4</v>
      </c>
      <c r="BS25" s="43">
        <v>4</v>
      </c>
      <c r="BT25" s="42"/>
      <c r="BU25" s="41">
        <v>4</v>
      </c>
      <c r="BV25" s="55">
        <f t="shared" si="4"/>
        <v>4</v>
      </c>
      <c r="BW25" s="56">
        <v>4</v>
      </c>
      <c r="BX25" s="43">
        <v>10</v>
      </c>
      <c r="BY25" s="42"/>
      <c r="BZ25" s="41">
        <v>4</v>
      </c>
      <c r="CA25" s="55">
        <f t="shared" si="5"/>
        <v>4</v>
      </c>
      <c r="CB25" s="56">
        <v>4</v>
      </c>
      <c r="CC25" s="43">
        <v>4</v>
      </c>
      <c r="CD25" s="42"/>
      <c r="CE25" s="41">
        <v>4</v>
      </c>
      <c r="CF25" s="55">
        <f t="shared" si="6"/>
        <v>4</v>
      </c>
      <c r="CG25" s="56">
        <v>4</v>
      </c>
      <c r="CH25" s="44">
        <v>0</v>
      </c>
      <c r="CI25" s="42"/>
      <c r="CJ25" s="41">
        <v>4</v>
      </c>
      <c r="CK25" s="55">
        <f t="shared" si="7"/>
        <v>4</v>
      </c>
      <c r="CL25" s="56">
        <v>4</v>
      </c>
      <c r="CM25" s="47"/>
      <c r="CN25" s="57"/>
      <c r="CO25" s="41">
        <v>4</v>
      </c>
      <c r="CP25" s="55">
        <f t="shared" si="8"/>
        <v>4</v>
      </c>
      <c r="CQ25" s="56">
        <v>4</v>
      </c>
      <c r="CR25" s="47"/>
      <c r="CS25" s="50"/>
      <c r="CT25" s="41">
        <v>4</v>
      </c>
      <c r="CU25" s="55">
        <f t="shared" si="9"/>
        <v>4</v>
      </c>
      <c r="CV25" s="56">
        <v>4</v>
      </c>
      <c r="CW25" s="47">
        <v>4</v>
      </c>
      <c r="CX25" s="50"/>
      <c r="CY25" s="41">
        <v>4</v>
      </c>
      <c r="CZ25" s="55">
        <f t="shared" si="10"/>
        <v>4</v>
      </c>
      <c r="DA25" s="56">
        <v>4</v>
      </c>
      <c r="DB25" s="47"/>
      <c r="DC25" s="50"/>
      <c r="DD25" s="41">
        <v>4</v>
      </c>
      <c r="DE25" s="55">
        <f t="shared" si="11"/>
        <v>4</v>
      </c>
      <c r="DF25" s="56">
        <v>4</v>
      </c>
      <c r="DG25" s="47"/>
      <c r="DH25" s="50"/>
      <c r="DI25" s="41">
        <v>4</v>
      </c>
      <c r="DJ25" s="55">
        <f t="shared" si="12"/>
        <v>4</v>
      </c>
      <c r="DK25" s="56">
        <v>4</v>
      </c>
      <c r="DL25" s="52"/>
      <c r="DM25" s="50"/>
      <c r="DN25" s="41">
        <v>4</v>
      </c>
      <c r="DO25" s="55">
        <f t="shared" si="13"/>
        <v>4</v>
      </c>
      <c r="DP25" s="56">
        <v>4</v>
      </c>
      <c r="DQ25" s="53"/>
      <c r="DR25" s="50"/>
      <c r="DS25" s="54">
        <f t="shared" si="14"/>
        <v>48</v>
      </c>
      <c r="DT25" s="54">
        <f t="shared" si="15"/>
        <v>33575.30726400001</v>
      </c>
      <c r="DU25" s="41">
        <v>3</v>
      </c>
      <c r="DV25" s="56">
        <f t="shared" si="56"/>
        <v>3</v>
      </c>
      <c r="DW25" s="43"/>
      <c r="DX25" s="42"/>
      <c r="DY25" s="41">
        <v>3</v>
      </c>
      <c r="DZ25" s="56">
        <f t="shared" si="55"/>
        <v>3</v>
      </c>
      <c r="EA25" s="43">
        <v>5</v>
      </c>
      <c r="EB25" s="42"/>
      <c r="EC25" s="41">
        <v>3</v>
      </c>
      <c r="ED25" s="56">
        <f t="shared" si="57"/>
        <v>3</v>
      </c>
      <c r="EE25" s="43">
        <v>10</v>
      </c>
      <c r="EF25" s="42"/>
      <c r="EG25" s="41">
        <v>3</v>
      </c>
      <c r="EH25" s="56">
        <f t="shared" si="58"/>
        <v>3</v>
      </c>
      <c r="EI25" s="43">
        <v>8</v>
      </c>
      <c r="EJ25" s="42"/>
      <c r="EK25" s="41">
        <v>3</v>
      </c>
      <c r="EL25" s="56">
        <f t="shared" si="59"/>
        <v>3</v>
      </c>
      <c r="EM25" s="44">
        <v>4</v>
      </c>
      <c r="EN25" s="42"/>
      <c r="EO25" s="41">
        <v>3</v>
      </c>
      <c r="EP25" s="56">
        <f t="shared" si="60"/>
        <v>3</v>
      </c>
      <c r="EQ25" s="47"/>
      <c r="ER25" s="57"/>
      <c r="ES25" s="41">
        <v>3</v>
      </c>
      <c r="ET25" s="56">
        <f t="shared" si="61"/>
        <v>3</v>
      </c>
      <c r="EU25" s="47"/>
      <c r="EV25" s="50"/>
      <c r="EW25" s="41">
        <v>3</v>
      </c>
      <c r="EX25" s="56">
        <f t="shared" si="62"/>
        <v>3</v>
      </c>
      <c r="EY25" s="47"/>
      <c r="EZ25" s="50"/>
      <c r="FA25" s="41">
        <v>3</v>
      </c>
      <c r="FB25" s="56">
        <f t="shared" si="63"/>
        <v>3</v>
      </c>
      <c r="FC25" s="47"/>
      <c r="FD25" s="50"/>
      <c r="FE25" s="41">
        <v>3</v>
      </c>
      <c r="FF25" s="56">
        <f t="shared" si="64"/>
        <v>3</v>
      </c>
      <c r="FG25" s="47"/>
      <c r="FH25" s="50"/>
      <c r="FI25" s="41">
        <v>3</v>
      </c>
      <c r="FJ25" s="241">
        <f t="shared" si="65"/>
        <v>3</v>
      </c>
      <c r="FK25" s="52"/>
      <c r="FL25" s="50"/>
      <c r="FM25" s="41">
        <v>3</v>
      </c>
      <c r="FN25" s="241">
        <f t="shared" si="66"/>
        <v>3</v>
      </c>
      <c r="FO25" s="53"/>
      <c r="FP25" s="50"/>
      <c r="FQ25" s="54">
        <f t="shared" si="25"/>
        <v>36</v>
      </c>
      <c r="FR25" s="54">
        <f t="shared" si="26"/>
        <v>25181.480448000006</v>
      </c>
      <c r="FS25" s="58" t="e">
        <v>#REF!</v>
      </c>
      <c r="FT25" s="56" t="e">
        <f t="shared" si="27"/>
        <v>#REF!</v>
      </c>
      <c r="FU25" s="43"/>
      <c r="FV25" s="42"/>
      <c r="FW25" s="58">
        <v>4.3499999999999996</v>
      </c>
      <c r="FX25" s="56">
        <f t="shared" si="28"/>
        <v>4</v>
      </c>
      <c r="FY25" s="43"/>
      <c r="FZ25" s="42"/>
      <c r="GA25" s="59">
        <v>5.5</v>
      </c>
      <c r="GB25" s="56">
        <f t="shared" si="29"/>
        <v>5</v>
      </c>
      <c r="GC25" s="43"/>
      <c r="GD25" s="42"/>
      <c r="GE25" s="59">
        <v>5.5</v>
      </c>
      <c r="GF25" s="56">
        <f t="shared" si="30"/>
        <v>5</v>
      </c>
      <c r="GG25" s="43"/>
      <c r="GH25" s="42"/>
      <c r="GI25" s="59">
        <v>5.5</v>
      </c>
      <c r="GJ25" s="56">
        <f t="shared" si="31"/>
        <v>5</v>
      </c>
      <c r="GK25" s="44"/>
      <c r="GL25" s="42"/>
      <c r="GM25" s="59">
        <v>5.5</v>
      </c>
      <c r="GN25" s="56">
        <f t="shared" si="32"/>
        <v>5</v>
      </c>
      <c r="GO25" s="47"/>
      <c r="GP25" s="57"/>
      <c r="GQ25" s="59">
        <v>5.5</v>
      </c>
      <c r="GR25" s="56">
        <f t="shared" si="33"/>
        <v>5</v>
      </c>
      <c r="GS25" s="47"/>
      <c r="GT25" s="50"/>
      <c r="GU25" s="59">
        <v>5.5</v>
      </c>
      <c r="GV25" s="56">
        <f t="shared" si="34"/>
        <v>5</v>
      </c>
      <c r="GW25" s="47"/>
      <c r="GX25" s="50"/>
      <c r="GY25" s="59">
        <v>5.5</v>
      </c>
      <c r="GZ25" s="56">
        <f t="shared" si="35"/>
        <v>5</v>
      </c>
      <c r="HA25" s="47"/>
      <c r="HB25" s="50"/>
      <c r="HC25" s="59">
        <v>5.5</v>
      </c>
      <c r="HD25" s="56">
        <f t="shared" si="36"/>
        <v>5</v>
      </c>
      <c r="HE25" s="47"/>
      <c r="HF25" s="50"/>
      <c r="HG25" s="59">
        <v>5.5</v>
      </c>
      <c r="HH25" s="56">
        <f t="shared" si="37"/>
        <v>5</v>
      </c>
      <c r="HI25" s="52"/>
      <c r="HJ25" s="50"/>
      <c r="HK25" s="59">
        <v>5.5</v>
      </c>
      <c r="HL25" s="56">
        <f t="shared" si="38"/>
        <v>5</v>
      </c>
      <c r="HM25" s="53"/>
      <c r="HN25" s="50"/>
      <c r="HO25" s="54" t="e">
        <f t="shared" si="39"/>
        <v>#REF!</v>
      </c>
      <c r="HP25" s="54" t="e">
        <f t="shared" si="40"/>
        <v>#REF!</v>
      </c>
      <c r="HQ25" s="59">
        <v>5.5</v>
      </c>
      <c r="HR25" s="56">
        <f t="shared" si="41"/>
        <v>5</v>
      </c>
      <c r="HS25" s="43"/>
      <c r="HT25" s="42"/>
      <c r="HU25" s="59">
        <v>5.5</v>
      </c>
      <c r="HV25" s="56">
        <f t="shared" si="42"/>
        <v>5</v>
      </c>
      <c r="HW25" s="43"/>
      <c r="HX25" s="42"/>
      <c r="HY25" s="59">
        <v>5.5</v>
      </c>
      <c r="HZ25" s="56">
        <f t="shared" si="43"/>
        <v>5</v>
      </c>
      <c r="IA25" s="43"/>
      <c r="IB25" s="42"/>
      <c r="IC25" s="59">
        <v>5.5</v>
      </c>
      <c r="ID25" s="56">
        <f t="shared" si="44"/>
        <v>5</v>
      </c>
      <c r="IE25" s="43"/>
      <c r="IF25" s="42"/>
      <c r="IG25" s="59">
        <v>5.5</v>
      </c>
      <c r="IH25" s="56">
        <f t="shared" si="45"/>
        <v>5</v>
      </c>
      <c r="II25" s="44"/>
      <c r="IJ25" s="42"/>
      <c r="IK25" s="59">
        <v>5.5</v>
      </c>
      <c r="IL25" s="56">
        <f t="shared" si="46"/>
        <v>5</v>
      </c>
      <c r="IM25" s="47"/>
      <c r="IN25" s="57"/>
      <c r="IO25" s="59">
        <v>5.5</v>
      </c>
      <c r="IP25" s="56">
        <f t="shared" si="47"/>
        <v>5</v>
      </c>
      <c r="IQ25" s="47"/>
      <c r="IR25" s="50"/>
      <c r="IS25" s="59">
        <v>5.5</v>
      </c>
      <c r="IT25" s="56">
        <f t="shared" si="48"/>
        <v>5</v>
      </c>
      <c r="IU25" s="47"/>
      <c r="IV25" s="50"/>
      <c r="IW25" s="59">
        <v>5.5</v>
      </c>
      <c r="IX25" s="56">
        <f t="shared" si="49"/>
        <v>5</v>
      </c>
      <c r="IY25" s="47"/>
      <c r="IZ25" s="50"/>
      <c r="JA25" s="59">
        <v>5.5</v>
      </c>
      <c r="JB25" s="56">
        <f t="shared" si="50"/>
        <v>5</v>
      </c>
      <c r="JC25" s="47"/>
      <c r="JD25" s="50"/>
      <c r="JE25" s="59">
        <v>5.5</v>
      </c>
      <c r="JF25" s="56">
        <f t="shared" si="51"/>
        <v>5</v>
      </c>
      <c r="JG25" s="52"/>
      <c r="JH25" s="50"/>
      <c r="JI25" s="59">
        <v>5.5</v>
      </c>
      <c r="JJ25" s="56">
        <f t="shared" si="52"/>
        <v>5</v>
      </c>
      <c r="JK25" s="53"/>
      <c r="JL25" s="50"/>
      <c r="JM25" s="54">
        <f t="shared" si="53"/>
        <v>66</v>
      </c>
      <c r="JN25" s="54">
        <f t="shared" si="54"/>
        <v>46166.047488000011</v>
      </c>
    </row>
    <row r="26" spans="1:274">
      <c r="A26" s="249"/>
      <c r="B26" s="250"/>
      <c r="C26" s="250"/>
      <c r="D26" s="249"/>
      <c r="E26" s="36">
        <v>21</v>
      </c>
      <c r="F26" s="37"/>
      <c r="G26" s="38">
        <v>9522010010</v>
      </c>
      <c r="H26" s="39" t="s">
        <v>64</v>
      </c>
      <c r="I26" s="71">
        <v>48.699921600000003</v>
      </c>
      <c r="J26" s="36"/>
      <c r="K26" s="36"/>
      <c r="L26" s="36"/>
      <c r="M26" s="41"/>
      <c r="N26" s="42"/>
      <c r="O26" s="43"/>
      <c r="P26" s="42"/>
      <c r="Q26" s="41"/>
      <c r="R26" s="42"/>
      <c r="S26" s="43"/>
      <c r="T26" s="42"/>
      <c r="U26" s="41"/>
      <c r="V26" s="42"/>
      <c r="W26" s="43"/>
      <c r="X26" s="42"/>
      <c r="Y26" s="41"/>
      <c r="Z26" s="42"/>
      <c r="AA26" s="43"/>
      <c r="AB26" s="42"/>
      <c r="AC26" s="41"/>
      <c r="AD26" s="42"/>
      <c r="AE26" s="44"/>
      <c r="AF26" s="42"/>
      <c r="AG26" s="45"/>
      <c r="AH26" s="46"/>
      <c r="AI26" s="47"/>
      <c r="AJ26" s="253"/>
      <c r="AK26" s="45"/>
      <c r="AL26" s="49"/>
      <c r="AM26" s="47"/>
      <c r="AN26" s="50"/>
      <c r="AO26" s="45"/>
      <c r="AP26" s="42"/>
      <c r="AQ26" s="43"/>
      <c r="AR26" s="51"/>
      <c r="AS26" s="45"/>
      <c r="AT26" s="49"/>
      <c r="AU26" s="47"/>
      <c r="AV26" s="50"/>
      <c r="AW26" s="45"/>
      <c r="AX26" s="49"/>
      <c r="AY26" s="47"/>
      <c r="AZ26" s="50"/>
      <c r="BA26" s="45"/>
      <c r="BB26" s="49"/>
      <c r="BC26" s="52"/>
      <c r="BD26" s="50"/>
      <c r="BE26" s="45"/>
      <c r="BF26" s="49"/>
      <c r="BG26" s="53"/>
      <c r="BH26" s="50"/>
      <c r="BI26" s="54"/>
      <c r="BJ26" s="54"/>
      <c r="BK26" s="41">
        <v>20</v>
      </c>
      <c r="BL26" s="55">
        <f t="shared" si="2"/>
        <v>18</v>
      </c>
      <c r="BM26" s="56">
        <v>20</v>
      </c>
      <c r="BN26" s="43">
        <v>28</v>
      </c>
      <c r="BO26" s="42"/>
      <c r="BP26" s="41">
        <v>20</v>
      </c>
      <c r="BQ26" s="55">
        <f t="shared" si="3"/>
        <v>18</v>
      </c>
      <c r="BR26" s="56">
        <v>20</v>
      </c>
      <c r="BS26" s="43">
        <v>27</v>
      </c>
      <c r="BT26" s="42"/>
      <c r="BU26" s="41">
        <v>20</v>
      </c>
      <c r="BV26" s="55">
        <f t="shared" si="4"/>
        <v>18</v>
      </c>
      <c r="BW26" s="56">
        <v>20</v>
      </c>
      <c r="BX26" s="43">
        <v>60</v>
      </c>
      <c r="BY26" s="42"/>
      <c r="BZ26" s="41">
        <v>20</v>
      </c>
      <c r="CA26" s="55">
        <f t="shared" si="5"/>
        <v>18</v>
      </c>
      <c r="CB26" s="56">
        <v>20</v>
      </c>
      <c r="CC26" s="43">
        <v>11</v>
      </c>
      <c r="CD26" s="42"/>
      <c r="CE26" s="41">
        <v>20</v>
      </c>
      <c r="CF26" s="55">
        <f t="shared" si="6"/>
        <v>18</v>
      </c>
      <c r="CG26" s="56">
        <v>20</v>
      </c>
      <c r="CH26" s="44">
        <v>93</v>
      </c>
      <c r="CI26" s="42"/>
      <c r="CJ26" s="41">
        <v>20</v>
      </c>
      <c r="CK26" s="55">
        <f t="shared" si="7"/>
        <v>18</v>
      </c>
      <c r="CL26" s="56">
        <v>20</v>
      </c>
      <c r="CM26" s="47">
        <v>5</v>
      </c>
      <c r="CN26" s="57"/>
      <c r="CO26" s="41">
        <v>20</v>
      </c>
      <c r="CP26" s="55">
        <f t="shared" si="8"/>
        <v>18</v>
      </c>
      <c r="CQ26" s="56">
        <v>20</v>
      </c>
      <c r="CR26" s="47"/>
      <c r="CS26" s="50"/>
      <c r="CT26" s="41">
        <v>20</v>
      </c>
      <c r="CU26" s="55">
        <f t="shared" si="9"/>
        <v>18</v>
      </c>
      <c r="CV26" s="56">
        <v>20</v>
      </c>
      <c r="CW26" s="47">
        <v>5</v>
      </c>
      <c r="CX26" s="50"/>
      <c r="CY26" s="41">
        <v>20</v>
      </c>
      <c r="CZ26" s="55">
        <f t="shared" si="10"/>
        <v>18</v>
      </c>
      <c r="DA26" s="56">
        <v>20</v>
      </c>
      <c r="DB26" s="47">
        <v>64</v>
      </c>
      <c r="DC26" s="50"/>
      <c r="DD26" s="41">
        <v>20</v>
      </c>
      <c r="DE26" s="55">
        <f t="shared" si="11"/>
        <v>18</v>
      </c>
      <c r="DF26" s="56">
        <v>20</v>
      </c>
      <c r="DG26" s="47">
        <v>4</v>
      </c>
      <c r="DH26" s="50"/>
      <c r="DI26" s="41">
        <v>20</v>
      </c>
      <c r="DJ26" s="55">
        <f t="shared" si="12"/>
        <v>18</v>
      </c>
      <c r="DK26" s="56">
        <v>20</v>
      </c>
      <c r="DL26" s="52">
        <v>20</v>
      </c>
      <c r="DM26" s="50"/>
      <c r="DN26" s="41">
        <v>20</v>
      </c>
      <c r="DO26" s="55">
        <f t="shared" si="13"/>
        <v>18</v>
      </c>
      <c r="DP26" s="56">
        <v>20</v>
      </c>
      <c r="DQ26" s="53">
        <v>49</v>
      </c>
      <c r="DR26" s="50"/>
      <c r="DS26" s="54">
        <f t="shared" si="14"/>
        <v>240</v>
      </c>
      <c r="DT26" s="54">
        <f t="shared" si="15"/>
        <v>11687.981184</v>
      </c>
      <c r="DU26" s="41">
        <v>26</v>
      </c>
      <c r="DV26" s="56">
        <v>15</v>
      </c>
      <c r="DW26" s="43">
        <v>26</v>
      </c>
      <c r="DX26" s="42"/>
      <c r="DY26" s="41">
        <v>26</v>
      </c>
      <c r="DZ26" s="56">
        <f t="shared" si="55"/>
        <v>26</v>
      </c>
      <c r="EA26" s="43">
        <v>40</v>
      </c>
      <c r="EB26" s="42"/>
      <c r="EC26" s="41">
        <v>26</v>
      </c>
      <c r="ED26" s="56">
        <f t="shared" si="57"/>
        <v>26</v>
      </c>
      <c r="EE26" s="43">
        <v>79</v>
      </c>
      <c r="EF26" s="42"/>
      <c r="EG26" s="41">
        <v>26</v>
      </c>
      <c r="EH26" s="56">
        <v>35</v>
      </c>
      <c r="EI26" s="43">
        <v>135</v>
      </c>
      <c r="EJ26" s="42"/>
      <c r="EK26" s="41">
        <v>26</v>
      </c>
      <c r="EL26" s="56">
        <f t="shared" si="59"/>
        <v>26</v>
      </c>
      <c r="EM26" s="44">
        <v>37</v>
      </c>
      <c r="EN26" s="42"/>
      <c r="EO26" s="41">
        <v>26</v>
      </c>
      <c r="EP26" s="56">
        <f t="shared" si="60"/>
        <v>26</v>
      </c>
      <c r="EQ26" s="47"/>
      <c r="ER26" s="57"/>
      <c r="ES26" s="41">
        <v>26</v>
      </c>
      <c r="ET26" s="56">
        <f t="shared" si="61"/>
        <v>26</v>
      </c>
      <c r="EU26" s="47"/>
      <c r="EV26" s="50"/>
      <c r="EW26" s="41">
        <v>26</v>
      </c>
      <c r="EX26" s="56">
        <f t="shared" si="62"/>
        <v>26</v>
      </c>
      <c r="EY26" s="47"/>
      <c r="EZ26" s="50"/>
      <c r="FA26" s="41">
        <v>26</v>
      </c>
      <c r="FB26" s="56">
        <f t="shared" si="63"/>
        <v>26</v>
      </c>
      <c r="FC26" s="47"/>
      <c r="FD26" s="50"/>
      <c r="FE26" s="41">
        <v>26</v>
      </c>
      <c r="FF26" s="56">
        <f t="shared" si="64"/>
        <v>26</v>
      </c>
      <c r="FG26" s="47"/>
      <c r="FH26" s="50"/>
      <c r="FI26" s="41">
        <v>26</v>
      </c>
      <c r="FJ26" s="241">
        <f t="shared" si="65"/>
        <v>26</v>
      </c>
      <c r="FK26" s="52"/>
      <c r="FL26" s="50"/>
      <c r="FM26" s="41">
        <v>26</v>
      </c>
      <c r="FN26" s="241">
        <f t="shared" si="66"/>
        <v>26</v>
      </c>
      <c r="FO26" s="53"/>
      <c r="FP26" s="50"/>
      <c r="FQ26" s="54">
        <f t="shared" si="25"/>
        <v>312</v>
      </c>
      <c r="FR26" s="54">
        <f t="shared" si="26"/>
        <v>15194.3755392</v>
      </c>
      <c r="FS26" s="58" t="e">
        <v>#REF!</v>
      </c>
      <c r="FT26" s="56" t="e">
        <f t="shared" si="27"/>
        <v>#REF!</v>
      </c>
      <c r="FU26" s="43"/>
      <c r="FV26" s="42"/>
      <c r="FW26" s="58">
        <v>21.75</v>
      </c>
      <c r="FX26" s="56">
        <f t="shared" si="28"/>
        <v>21</v>
      </c>
      <c r="FY26" s="43"/>
      <c r="FZ26" s="42"/>
      <c r="GA26" s="59">
        <v>27.500000000000004</v>
      </c>
      <c r="GB26" s="56">
        <f t="shared" si="29"/>
        <v>27</v>
      </c>
      <c r="GC26" s="43"/>
      <c r="GD26" s="42"/>
      <c r="GE26" s="59">
        <v>27.500000000000004</v>
      </c>
      <c r="GF26" s="56">
        <f t="shared" si="30"/>
        <v>27</v>
      </c>
      <c r="GG26" s="43"/>
      <c r="GH26" s="42"/>
      <c r="GI26" s="59">
        <v>27.500000000000004</v>
      </c>
      <c r="GJ26" s="56">
        <f t="shared" si="31"/>
        <v>27</v>
      </c>
      <c r="GK26" s="44"/>
      <c r="GL26" s="42"/>
      <c r="GM26" s="59">
        <v>27.500000000000004</v>
      </c>
      <c r="GN26" s="56">
        <f t="shared" si="32"/>
        <v>27</v>
      </c>
      <c r="GO26" s="47"/>
      <c r="GP26" s="57"/>
      <c r="GQ26" s="59">
        <v>27.500000000000004</v>
      </c>
      <c r="GR26" s="56">
        <f t="shared" si="33"/>
        <v>27</v>
      </c>
      <c r="GS26" s="47"/>
      <c r="GT26" s="50"/>
      <c r="GU26" s="59">
        <v>27.500000000000004</v>
      </c>
      <c r="GV26" s="56">
        <f t="shared" si="34"/>
        <v>27</v>
      </c>
      <c r="GW26" s="47"/>
      <c r="GX26" s="50"/>
      <c r="GY26" s="59">
        <v>27.500000000000004</v>
      </c>
      <c r="GZ26" s="56">
        <f t="shared" si="35"/>
        <v>27</v>
      </c>
      <c r="HA26" s="47"/>
      <c r="HB26" s="50"/>
      <c r="HC26" s="59">
        <v>27.500000000000004</v>
      </c>
      <c r="HD26" s="56">
        <f t="shared" si="36"/>
        <v>27</v>
      </c>
      <c r="HE26" s="47"/>
      <c r="HF26" s="50"/>
      <c r="HG26" s="59">
        <v>27.500000000000004</v>
      </c>
      <c r="HH26" s="56">
        <f t="shared" si="37"/>
        <v>27</v>
      </c>
      <c r="HI26" s="52"/>
      <c r="HJ26" s="50"/>
      <c r="HK26" s="59">
        <v>27.500000000000004</v>
      </c>
      <c r="HL26" s="56">
        <f t="shared" si="38"/>
        <v>27</v>
      </c>
      <c r="HM26" s="53"/>
      <c r="HN26" s="50"/>
      <c r="HO26" s="54" t="e">
        <f t="shared" si="39"/>
        <v>#REF!</v>
      </c>
      <c r="HP26" s="54" t="e">
        <f t="shared" si="40"/>
        <v>#REF!</v>
      </c>
      <c r="HQ26" s="59">
        <v>27.500000000000004</v>
      </c>
      <c r="HR26" s="56">
        <f t="shared" si="41"/>
        <v>27</v>
      </c>
      <c r="HS26" s="43"/>
      <c r="HT26" s="42"/>
      <c r="HU26" s="59">
        <v>27.500000000000004</v>
      </c>
      <c r="HV26" s="56">
        <f t="shared" si="42"/>
        <v>27</v>
      </c>
      <c r="HW26" s="43"/>
      <c r="HX26" s="42"/>
      <c r="HY26" s="59">
        <v>27.500000000000004</v>
      </c>
      <c r="HZ26" s="56">
        <f t="shared" si="43"/>
        <v>27</v>
      </c>
      <c r="IA26" s="43"/>
      <c r="IB26" s="42"/>
      <c r="IC26" s="59">
        <v>27.500000000000004</v>
      </c>
      <c r="ID26" s="56">
        <f t="shared" si="44"/>
        <v>27</v>
      </c>
      <c r="IE26" s="43"/>
      <c r="IF26" s="42"/>
      <c r="IG26" s="59">
        <v>27.500000000000004</v>
      </c>
      <c r="IH26" s="56">
        <f t="shared" si="45"/>
        <v>27</v>
      </c>
      <c r="II26" s="44"/>
      <c r="IJ26" s="42"/>
      <c r="IK26" s="59">
        <v>27.500000000000004</v>
      </c>
      <c r="IL26" s="56">
        <f t="shared" si="46"/>
        <v>27</v>
      </c>
      <c r="IM26" s="47"/>
      <c r="IN26" s="57"/>
      <c r="IO26" s="59">
        <v>27.500000000000004</v>
      </c>
      <c r="IP26" s="56">
        <f t="shared" si="47"/>
        <v>27</v>
      </c>
      <c r="IQ26" s="47"/>
      <c r="IR26" s="50"/>
      <c r="IS26" s="59">
        <v>27.500000000000004</v>
      </c>
      <c r="IT26" s="56">
        <f t="shared" si="48"/>
        <v>27</v>
      </c>
      <c r="IU26" s="47"/>
      <c r="IV26" s="50"/>
      <c r="IW26" s="59">
        <v>27.500000000000004</v>
      </c>
      <c r="IX26" s="56">
        <f t="shared" si="49"/>
        <v>27</v>
      </c>
      <c r="IY26" s="47"/>
      <c r="IZ26" s="50"/>
      <c r="JA26" s="59">
        <v>27.500000000000004</v>
      </c>
      <c r="JB26" s="56">
        <f t="shared" si="50"/>
        <v>27</v>
      </c>
      <c r="JC26" s="47"/>
      <c r="JD26" s="50"/>
      <c r="JE26" s="59">
        <v>27.500000000000004</v>
      </c>
      <c r="JF26" s="56">
        <f t="shared" si="51"/>
        <v>27</v>
      </c>
      <c r="JG26" s="52"/>
      <c r="JH26" s="50"/>
      <c r="JI26" s="59">
        <v>27.500000000000004</v>
      </c>
      <c r="JJ26" s="56">
        <f t="shared" si="52"/>
        <v>27</v>
      </c>
      <c r="JK26" s="53"/>
      <c r="JL26" s="50"/>
      <c r="JM26" s="54">
        <f t="shared" si="53"/>
        <v>330.00000000000006</v>
      </c>
      <c r="JN26" s="54">
        <f t="shared" si="54"/>
        <v>16070.974128000003</v>
      </c>
    </row>
    <row r="27" spans="1:274">
      <c r="A27" s="249"/>
      <c r="B27" s="250"/>
      <c r="C27" s="250"/>
      <c r="D27" s="249"/>
      <c r="E27" s="36">
        <v>22</v>
      </c>
      <c r="F27" s="37"/>
      <c r="G27" s="38">
        <v>9522010020</v>
      </c>
      <c r="H27" s="39" t="s">
        <v>64</v>
      </c>
      <c r="I27" s="71">
        <v>48.699921600000003</v>
      </c>
      <c r="J27" s="36"/>
      <c r="K27" s="36"/>
      <c r="L27" s="36"/>
      <c r="M27" s="41"/>
      <c r="N27" s="42"/>
      <c r="O27" s="43"/>
      <c r="P27" s="42"/>
      <c r="Q27" s="41"/>
      <c r="R27" s="42"/>
      <c r="S27" s="43"/>
      <c r="T27" s="42"/>
      <c r="U27" s="41"/>
      <c r="V27" s="42"/>
      <c r="W27" s="43"/>
      <c r="X27" s="42"/>
      <c r="Y27" s="41"/>
      <c r="Z27" s="42"/>
      <c r="AA27" s="43"/>
      <c r="AB27" s="42"/>
      <c r="AC27" s="41"/>
      <c r="AD27" s="42"/>
      <c r="AE27" s="44"/>
      <c r="AF27" s="42"/>
      <c r="AG27" s="45"/>
      <c r="AH27" s="46"/>
      <c r="AI27" s="47"/>
      <c r="AJ27" s="253"/>
      <c r="AK27" s="45"/>
      <c r="AL27" s="49"/>
      <c r="AM27" s="47"/>
      <c r="AN27" s="50"/>
      <c r="AO27" s="45"/>
      <c r="AP27" s="42"/>
      <c r="AQ27" s="43"/>
      <c r="AR27" s="51"/>
      <c r="AS27" s="45"/>
      <c r="AT27" s="49"/>
      <c r="AU27" s="47"/>
      <c r="AV27" s="50"/>
      <c r="AW27" s="45"/>
      <c r="AX27" s="49"/>
      <c r="AY27" s="47"/>
      <c r="AZ27" s="50"/>
      <c r="BA27" s="45"/>
      <c r="BB27" s="49"/>
      <c r="BC27" s="52"/>
      <c r="BD27" s="50"/>
      <c r="BE27" s="45"/>
      <c r="BF27" s="49"/>
      <c r="BG27" s="53"/>
      <c r="BH27" s="50"/>
      <c r="BI27" s="54"/>
      <c r="BJ27" s="54"/>
      <c r="BK27" s="41">
        <v>20</v>
      </c>
      <c r="BL27" s="55">
        <f t="shared" si="2"/>
        <v>18</v>
      </c>
      <c r="BM27" s="56">
        <v>20</v>
      </c>
      <c r="BN27" s="43">
        <v>20</v>
      </c>
      <c r="BO27" s="42"/>
      <c r="BP27" s="41">
        <v>20</v>
      </c>
      <c r="BQ27" s="55">
        <f t="shared" si="3"/>
        <v>18</v>
      </c>
      <c r="BR27" s="56">
        <v>20</v>
      </c>
      <c r="BS27" s="43">
        <v>15</v>
      </c>
      <c r="BT27" s="42"/>
      <c r="BU27" s="41">
        <v>20</v>
      </c>
      <c r="BV27" s="55">
        <f t="shared" si="4"/>
        <v>18</v>
      </c>
      <c r="BW27" s="56">
        <v>20</v>
      </c>
      <c r="BX27" s="43">
        <v>102</v>
      </c>
      <c r="BY27" s="42"/>
      <c r="BZ27" s="41">
        <v>20</v>
      </c>
      <c r="CA27" s="55">
        <f t="shared" si="5"/>
        <v>18</v>
      </c>
      <c r="CB27" s="56">
        <v>20</v>
      </c>
      <c r="CC27" s="43">
        <v>12</v>
      </c>
      <c r="CD27" s="42"/>
      <c r="CE27" s="41">
        <v>20</v>
      </c>
      <c r="CF27" s="55">
        <f t="shared" si="6"/>
        <v>18</v>
      </c>
      <c r="CG27" s="56">
        <v>20</v>
      </c>
      <c r="CH27" s="44">
        <v>43</v>
      </c>
      <c r="CI27" s="42"/>
      <c r="CJ27" s="41">
        <v>20</v>
      </c>
      <c r="CK27" s="55">
        <f t="shared" si="7"/>
        <v>18</v>
      </c>
      <c r="CL27" s="56">
        <v>20</v>
      </c>
      <c r="CM27" s="47">
        <v>5</v>
      </c>
      <c r="CN27" s="57"/>
      <c r="CO27" s="41">
        <v>20</v>
      </c>
      <c r="CP27" s="55">
        <f t="shared" si="8"/>
        <v>18</v>
      </c>
      <c r="CQ27" s="56">
        <v>20</v>
      </c>
      <c r="CR27" s="47"/>
      <c r="CS27" s="50"/>
      <c r="CT27" s="41">
        <v>20</v>
      </c>
      <c r="CU27" s="55">
        <f t="shared" si="9"/>
        <v>18</v>
      </c>
      <c r="CV27" s="56">
        <v>20</v>
      </c>
      <c r="CW27" s="47">
        <v>5</v>
      </c>
      <c r="CX27" s="50"/>
      <c r="CY27" s="41">
        <v>20</v>
      </c>
      <c r="CZ27" s="55">
        <f t="shared" si="10"/>
        <v>18</v>
      </c>
      <c r="DA27" s="56">
        <v>20</v>
      </c>
      <c r="DB27" s="47">
        <v>51</v>
      </c>
      <c r="DC27" s="50"/>
      <c r="DD27" s="41">
        <v>20</v>
      </c>
      <c r="DE27" s="55">
        <f t="shared" si="11"/>
        <v>18</v>
      </c>
      <c r="DF27" s="56">
        <v>20</v>
      </c>
      <c r="DG27" s="47">
        <v>3</v>
      </c>
      <c r="DH27" s="50"/>
      <c r="DI27" s="41">
        <v>20</v>
      </c>
      <c r="DJ27" s="55">
        <f t="shared" si="12"/>
        <v>18</v>
      </c>
      <c r="DK27" s="56">
        <v>20</v>
      </c>
      <c r="DL27" s="52">
        <v>70</v>
      </c>
      <c r="DM27" s="50"/>
      <c r="DN27" s="41">
        <v>20</v>
      </c>
      <c r="DO27" s="55">
        <f t="shared" si="13"/>
        <v>18</v>
      </c>
      <c r="DP27" s="56">
        <v>20</v>
      </c>
      <c r="DQ27" s="53">
        <v>43</v>
      </c>
      <c r="DR27" s="50"/>
      <c r="DS27" s="54">
        <f t="shared" si="14"/>
        <v>240</v>
      </c>
      <c r="DT27" s="54">
        <f t="shared" si="15"/>
        <v>11687.981184</v>
      </c>
      <c r="DU27" s="41">
        <v>28</v>
      </c>
      <c r="DV27" s="56">
        <v>15</v>
      </c>
      <c r="DW27" s="43">
        <v>63</v>
      </c>
      <c r="DX27" s="42"/>
      <c r="DY27" s="41">
        <v>28</v>
      </c>
      <c r="DZ27" s="56">
        <f t="shared" si="55"/>
        <v>28</v>
      </c>
      <c r="EA27" s="43">
        <v>140</v>
      </c>
      <c r="EB27" s="42"/>
      <c r="EC27" s="41">
        <v>28</v>
      </c>
      <c r="ED27" s="56">
        <f t="shared" si="57"/>
        <v>28</v>
      </c>
      <c r="EE27" s="43">
        <v>84</v>
      </c>
      <c r="EF27" s="42"/>
      <c r="EG27" s="41">
        <v>28</v>
      </c>
      <c r="EH27" s="56">
        <f t="shared" ref="EH27:EH33" si="67">ROUNDDOWN(EG27,0)</f>
        <v>28</v>
      </c>
      <c r="EI27" s="43">
        <v>65</v>
      </c>
      <c r="EJ27" s="42"/>
      <c r="EK27" s="41">
        <v>28</v>
      </c>
      <c r="EL27" s="56">
        <f t="shared" si="59"/>
        <v>28</v>
      </c>
      <c r="EM27" s="44">
        <v>24</v>
      </c>
      <c r="EN27" s="42"/>
      <c r="EO27" s="41">
        <v>28</v>
      </c>
      <c r="EP27" s="56">
        <f t="shared" si="60"/>
        <v>28</v>
      </c>
      <c r="EQ27" s="47"/>
      <c r="ER27" s="57"/>
      <c r="ES27" s="41">
        <v>28</v>
      </c>
      <c r="ET27" s="56">
        <f t="shared" si="61"/>
        <v>28</v>
      </c>
      <c r="EU27" s="47"/>
      <c r="EV27" s="50"/>
      <c r="EW27" s="41">
        <v>28</v>
      </c>
      <c r="EX27" s="56">
        <f t="shared" si="62"/>
        <v>28</v>
      </c>
      <c r="EY27" s="47"/>
      <c r="EZ27" s="50"/>
      <c r="FA27" s="41">
        <v>28</v>
      </c>
      <c r="FB27" s="56">
        <f t="shared" si="63"/>
        <v>28</v>
      </c>
      <c r="FC27" s="47"/>
      <c r="FD27" s="50"/>
      <c r="FE27" s="41">
        <v>28</v>
      </c>
      <c r="FF27" s="56">
        <f t="shared" si="64"/>
        <v>28</v>
      </c>
      <c r="FG27" s="47"/>
      <c r="FH27" s="50"/>
      <c r="FI27" s="41">
        <v>28</v>
      </c>
      <c r="FJ27" s="241">
        <f t="shared" si="65"/>
        <v>28</v>
      </c>
      <c r="FK27" s="52"/>
      <c r="FL27" s="50"/>
      <c r="FM27" s="41">
        <v>28</v>
      </c>
      <c r="FN27" s="241">
        <f t="shared" si="66"/>
        <v>28</v>
      </c>
      <c r="FO27" s="53"/>
      <c r="FP27" s="50"/>
      <c r="FQ27" s="54">
        <f t="shared" si="25"/>
        <v>336</v>
      </c>
      <c r="FR27" s="54">
        <f t="shared" si="26"/>
        <v>16363.1736576</v>
      </c>
      <c r="FS27" s="58" t="e">
        <v>#REF!</v>
      </c>
      <c r="FT27" s="56" t="e">
        <f t="shared" si="27"/>
        <v>#REF!</v>
      </c>
      <c r="FU27" s="43"/>
      <c r="FV27" s="42"/>
      <c r="FW27" s="58">
        <v>21.75</v>
      </c>
      <c r="FX27" s="56">
        <f t="shared" si="28"/>
        <v>21</v>
      </c>
      <c r="FY27" s="43"/>
      <c r="FZ27" s="42"/>
      <c r="GA27" s="59">
        <v>27.500000000000004</v>
      </c>
      <c r="GB27" s="56">
        <f t="shared" si="29"/>
        <v>27</v>
      </c>
      <c r="GC27" s="43"/>
      <c r="GD27" s="42"/>
      <c r="GE27" s="59">
        <v>27.500000000000004</v>
      </c>
      <c r="GF27" s="56">
        <f t="shared" si="30"/>
        <v>27</v>
      </c>
      <c r="GG27" s="43"/>
      <c r="GH27" s="42"/>
      <c r="GI27" s="59">
        <v>27.500000000000004</v>
      </c>
      <c r="GJ27" s="56">
        <f t="shared" si="31"/>
        <v>27</v>
      </c>
      <c r="GK27" s="44"/>
      <c r="GL27" s="42"/>
      <c r="GM27" s="59">
        <v>27.500000000000004</v>
      </c>
      <c r="GN27" s="56">
        <f t="shared" si="32"/>
        <v>27</v>
      </c>
      <c r="GO27" s="47"/>
      <c r="GP27" s="57"/>
      <c r="GQ27" s="59">
        <v>27.500000000000004</v>
      </c>
      <c r="GR27" s="56">
        <f t="shared" si="33"/>
        <v>27</v>
      </c>
      <c r="GS27" s="47"/>
      <c r="GT27" s="50"/>
      <c r="GU27" s="59">
        <v>27.500000000000004</v>
      </c>
      <c r="GV27" s="56">
        <f t="shared" si="34"/>
        <v>27</v>
      </c>
      <c r="GW27" s="47"/>
      <c r="GX27" s="50"/>
      <c r="GY27" s="59">
        <v>27.500000000000004</v>
      </c>
      <c r="GZ27" s="56">
        <f t="shared" si="35"/>
        <v>27</v>
      </c>
      <c r="HA27" s="47"/>
      <c r="HB27" s="50"/>
      <c r="HC27" s="59">
        <v>27.500000000000004</v>
      </c>
      <c r="HD27" s="56">
        <f t="shared" si="36"/>
        <v>27</v>
      </c>
      <c r="HE27" s="47"/>
      <c r="HF27" s="50"/>
      <c r="HG27" s="59">
        <v>27.500000000000004</v>
      </c>
      <c r="HH27" s="56">
        <f t="shared" si="37"/>
        <v>27</v>
      </c>
      <c r="HI27" s="52"/>
      <c r="HJ27" s="50"/>
      <c r="HK27" s="59">
        <v>27.500000000000004</v>
      </c>
      <c r="HL27" s="56">
        <f t="shared" si="38"/>
        <v>27</v>
      </c>
      <c r="HM27" s="53"/>
      <c r="HN27" s="50"/>
      <c r="HO27" s="54" t="e">
        <f t="shared" si="39"/>
        <v>#REF!</v>
      </c>
      <c r="HP27" s="54" t="e">
        <f t="shared" si="40"/>
        <v>#REF!</v>
      </c>
      <c r="HQ27" s="59">
        <v>27.500000000000004</v>
      </c>
      <c r="HR27" s="56">
        <f t="shared" si="41"/>
        <v>27</v>
      </c>
      <c r="HS27" s="43"/>
      <c r="HT27" s="42"/>
      <c r="HU27" s="59">
        <v>27.500000000000004</v>
      </c>
      <c r="HV27" s="56">
        <f t="shared" si="42"/>
        <v>27</v>
      </c>
      <c r="HW27" s="43"/>
      <c r="HX27" s="42"/>
      <c r="HY27" s="59">
        <v>27.500000000000004</v>
      </c>
      <c r="HZ27" s="56">
        <f t="shared" si="43"/>
        <v>27</v>
      </c>
      <c r="IA27" s="43"/>
      <c r="IB27" s="42"/>
      <c r="IC27" s="59">
        <v>27.500000000000004</v>
      </c>
      <c r="ID27" s="56">
        <f t="shared" si="44"/>
        <v>27</v>
      </c>
      <c r="IE27" s="43"/>
      <c r="IF27" s="42"/>
      <c r="IG27" s="59">
        <v>27.500000000000004</v>
      </c>
      <c r="IH27" s="56">
        <f t="shared" si="45"/>
        <v>27</v>
      </c>
      <c r="II27" s="44"/>
      <c r="IJ27" s="42"/>
      <c r="IK27" s="59">
        <v>27.500000000000004</v>
      </c>
      <c r="IL27" s="56">
        <f t="shared" si="46"/>
        <v>27</v>
      </c>
      <c r="IM27" s="47"/>
      <c r="IN27" s="57"/>
      <c r="IO27" s="59">
        <v>27.500000000000004</v>
      </c>
      <c r="IP27" s="56">
        <f t="shared" si="47"/>
        <v>27</v>
      </c>
      <c r="IQ27" s="47"/>
      <c r="IR27" s="50"/>
      <c r="IS27" s="59">
        <v>27.500000000000004</v>
      </c>
      <c r="IT27" s="56">
        <f t="shared" si="48"/>
        <v>27</v>
      </c>
      <c r="IU27" s="47"/>
      <c r="IV27" s="50"/>
      <c r="IW27" s="59">
        <v>27.500000000000004</v>
      </c>
      <c r="IX27" s="56">
        <f t="shared" si="49"/>
        <v>27</v>
      </c>
      <c r="IY27" s="47"/>
      <c r="IZ27" s="50"/>
      <c r="JA27" s="59">
        <v>27.500000000000004</v>
      </c>
      <c r="JB27" s="56">
        <f t="shared" si="50"/>
        <v>27</v>
      </c>
      <c r="JC27" s="47"/>
      <c r="JD27" s="50"/>
      <c r="JE27" s="59">
        <v>27.500000000000004</v>
      </c>
      <c r="JF27" s="56">
        <f t="shared" si="51"/>
        <v>27</v>
      </c>
      <c r="JG27" s="52"/>
      <c r="JH27" s="50"/>
      <c r="JI27" s="59">
        <v>27.500000000000004</v>
      </c>
      <c r="JJ27" s="56">
        <f t="shared" si="52"/>
        <v>27</v>
      </c>
      <c r="JK27" s="53"/>
      <c r="JL27" s="50"/>
      <c r="JM27" s="54">
        <f t="shared" si="53"/>
        <v>330.00000000000006</v>
      </c>
      <c r="JN27" s="54">
        <f t="shared" si="54"/>
        <v>16070.974128000003</v>
      </c>
    </row>
    <row r="28" spans="1:274">
      <c r="A28" s="249"/>
      <c r="B28" s="250"/>
      <c r="C28" s="250"/>
      <c r="D28" s="249"/>
      <c r="E28" s="36">
        <v>23</v>
      </c>
      <c r="F28" s="37"/>
      <c r="G28" s="38">
        <v>9700514230</v>
      </c>
      <c r="H28" s="39" t="s">
        <v>65</v>
      </c>
      <c r="I28" s="71">
        <v>355.60840800000005</v>
      </c>
      <c r="J28" s="36"/>
      <c r="K28" s="36"/>
      <c r="L28" s="36"/>
      <c r="M28" s="41"/>
      <c r="N28" s="42"/>
      <c r="O28" s="43"/>
      <c r="P28" s="42"/>
      <c r="Q28" s="41"/>
      <c r="R28" s="42"/>
      <c r="S28" s="43"/>
      <c r="T28" s="42"/>
      <c r="U28" s="41"/>
      <c r="V28" s="42"/>
      <c r="W28" s="43"/>
      <c r="X28" s="42"/>
      <c r="Y28" s="41"/>
      <c r="Z28" s="42"/>
      <c r="AA28" s="43"/>
      <c r="AB28" s="42"/>
      <c r="AC28" s="41"/>
      <c r="AD28" s="42"/>
      <c r="AE28" s="44"/>
      <c r="AF28" s="42"/>
      <c r="AG28" s="45"/>
      <c r="AH28" s="46"/>
      <c r="AI28" s="47"/>
      <c r="AJ28" s="253"/>
      <c r="AK28" s="45"/>
      <c r="AL28" s="49"/>
      <c r="AM28" s="47"/>
      <c r="AN28" s="50"/>
      <c r="AO28" s="45"/>
      <c r="AP28" s="42"/>
      <c r="AQ28" s="43"/>
      <c r="AR28" s="51"/>
      <c r="AS28" s="45"/>
      <c r="AT28" s="49"/>
      <c r="AU28" s="47"/>
      <c r="AV28" s="50"/>
      <c r="AW28" s="45"/>
      <c r="AX28" s="49"/>
      <c r="AY28" s="47"/>
      <c r="AZ28" s="50"/>
      <c r="BA28" s="45"/>
      <c r="BB28" s="49"/>
      <c r="BC28" s="52"/>
      <c r="BD28" s="50"/>
      <c r="BE28" s="45"/>
      <c r="BF28" s="49"/>
      <c r="BG28" s="53"/>
      <c r="BH28" s="50"/>
      <c r="BI28" s="54"/>
      <c r="BJ28" s="54"/>
      <c r="BK28" s="41">
        <v>6</v>
      </c>
      <c r="BL28" s="55">
        <f t="shared" si="2"/>
        <v>5</v>
      </c>
      <c r="BM28" s="56">
        <v>6</v>
      </c>
      <c r="BN28" s="43">
        <v>0</v>
      </c>
      <c r="BO28" s="42"/>
      <c r="BP28" s="41">
        <v>6</v>
      </c>
      <c r="BQ28" s="55">
        <f t="shared" si="3"/>
        <v>5</v>
      </c>
      <c r="BR28" s="56">
        <v>6</v>
      </c>
      <c r="BS28" s="43">
        <v>0</v>
      </c>
      <c r="BT28" s="42"/>
      <c r="BU28" s="41">
        <v>6</v>
      </c>
      <c r="BV28" s="55">
        <f t="shared" si="4"/>
        <v>5</v>
      </c>
      <c r="BW28" s="56">
        <v>6</v>
      </c>
      <c r="BX28" s="43">
        <v>0</v>
      </c>
      <c r="BY28" s="42"/>
      <c r="BZ28" s="41">
        <v>6</v>
      </c>
      <c r="CA28" s="55">
        <f t="shared" si="5"/>
        <v>5</v>
      </c>
      <c r="CB28" s="56">
        <v>6</v>
      </c>
      <c r="CC28" s="43">
        <v>0</v>
      </c>
      <c r="CD28" s="42"/>
      <c r="CE28" s="41">
        <v>6</v>
      </c>
      <c r="CF28" s="55">
        <f t="shared" si="6"/>
        <v>5</v>
      </c>
      <c r="CG28" s="56">
        <v>6</v>
      </c>
      <c r="CH28" s="44">
        <v>0</v>
      </c>
      <c r="CI28" s="42"/>
      <c r="CJ28" s="41">
        <v>6</v>
      </c>
      <c r="CK28" s="55">
        <f t="shared" si="7"/>
        <v>5</v>
      </c>
      <c r="CL28" s="56">
        <v>6</v>
      </c>
      <c r="CM28" s="47">
        <v>6</v>
      </c>
      <c r="CN28" s="57"/>
      <c r="CO28" s="41">
        <v>6</v>
      </c>
      <c r="CP28" s="55">
        <f t="shared" si="8"/>
        <v>5</v>
      </c>
      <c r="CQ28" s="56">
        <v>6</v>
      </c>
      <c r="CR28" s="47"/>
      <c r="CS28" s="50"/>
      <c r="CT28" s="41">
        <v>6</v>
      </c>
      <c r="CU28" s="55">
        <f t="shared" si="9"/>
        <v>5</v>
      </c>
      <c r="CV28" s="56">
        <v>6</v>
      </c>
      <c r="CW28" s="47">
        <v>3</v>
      </c>
      <c r="CX28" s="50"/>
      <c r="CY28" s="41">
        <v>6</v>
      </c>
      <c r="CZ28" s="55">
        <f t="shared" si="10"/>
        <v>5</v>
      </c>
      <c r="DA28" s="56">
        <v>6</v>
      </c>
      <c r="DB28" s="47"/>
      <c r="DC28" s="50"/>
      <c r="DD28" s="41">
        <v>6</v>
      </c>
      <c r="DE28" s="55">
        <f t="shared" si="11"/>
        <v>5</v>
      </c>
      <c r="DF28" s="56">
        <v>6</v>
      </c>
      <c r="DG28" s="47">
        <v>1</v>
      </c>
      <c r="DH28" s="50"/>
      <c r="DI28" s="41">
        <v>6</v>
      </c>
      <c r="DJ28" s="55">
        <f t="shared" si="12"/>
        <v>5</v>
      </c>
      <c r="DK28" s="56">
        <v>6</v>
      </c>
      <c r="DL28" s="52"/>
      <c r="DM28" s="50"/>
      <c r="DN28" s="41">
        <v>6</v>
      </c>
      <c r="DO28" s="55">
        <f t="shared" si="13"/>
        <v>5</v>
      </c>
      <c r="DP28" s="56">
        <v>6</v>
      </c>
      <c r="DQ28" s="53"/>
      <c r="DR28" s="50"/>
      <c r="DS28" s="54">
        <f t="shared" si="14"/>
        <v>72</v>
      </c>
      <c r="DT28" s="54">
        <f t="shared" si="15"/>
        <v>25603.805376000004</v>
      </c>
      <c r="DU28" s="41">
        <v>1</v>
      </c>
      <c r="DV28" s="56">
        <f t="shared" ref="DV28:DV52" si="68">ROUNDDOWN(DU28,0)</f>
        <v>1</v>
      </c>
      <c r="DW28" s="43"/>
      <c r="DX28" s="42"/>
      <c r="DY28" s="41">
        <v>1</v>
      </c>
      <c r="DZ28" s="56">
        <f t="shared" si="55"/>
        <v>1</v>
      </c>
      <c r="EA28" s="43">
        <v>5</v>
      </c>
      <c r="EB28" s="42"/>
      <c r="EC28" s="41">
        <v>1</v>
      </c>
      <c r="ED28" s="56">
        <f t="shared" si="57"/>
        <v>1</v>
      </c>
      <c r="EE28" s="43"/>
      <c r="EF28" s="42"/>
      <c r="EG28" s="41">
        <v>1</v>
      </c>
      <c r="EH28" s="56">
        <f t="shared" si="67"/>
        <v>1</v>
      </c>
      <c r="EI28" s="43">
        <v>3</v>
      </c>
      <c r="EJ28" s="42"/>
      <c r="EK28" s="41">
        <v>1</v>
      </c>
      <c r="EL28" s="56">
        <f t="shared" si="59"/>
        <v>1</v>
      </c>
      <c r="EM28" s="44">
        <v>1</v>
      </c>
      <c r="EN28" s="42"/>
      <c r="EO28" s="41">
        <v>1</v>
      </c>
      <c r="EP28" s="56">
        <f t="shared" si="60"/>
        <v>1</v>
      </c>
      <c r="EQ28" s="47"/>
      <c r="ER28" s="57"/>
      <c r="ES28" s="41">
        <v>1</v>
      </c>
      <c r="ET28" s="56">
        <f t="shared" si="61"/>
        <v>1</v>
      </c>
      <c r="EU28" s="47"/>
      <c r="EV28" s="50"/>
      <c r="EW28" s="41">
        <v>1</v>
      </c>
      <c r="EX28" s="56">
        <f t="shared" si="62"/>
        <v>1</v>
      </c>
      <c r="EY28" s="47"/>
      <c r="EZ28" s="50"/>
      <c r="FA28" s="41">
        <v>1</v>
      </c>
      <c r="FB28" s="56">
        <f t="shared" si="63"/>
        <v>1</v>
      </c>
      <c r="FC28" s="47"/>
      <c r="FD28" s="50"/>
      <c r="FE28" s="41">
        <v>1</v>
      </c>
      <c r="FF28" s="56">
        <f t="shared" si="64"/>
        <v>1</v>
      </c>
      <c r="FG28" s="47"/>
      <c r="FH28" s="50"/>
      <c r="FI28" s="41">
        <v>1</v>
      </c>
      <c r="FJ28" s="241">
        <f t="shared" si="65"/>
        <v>1</v>
      </c>
      <c r="FK28" s="52"/>
      <c r="FL28" s="50"/>
      <c r="FM28" s="41">
        <v>1</v>
      </c>
      <c r="FN28" s="241">
        <f t="shared" si="66"/>
        <v>1</v>
      </c>
      <c r="FO28" s="53"/>
      <c r="FP28" s="50"/>
      <c r="FQ28" s="54">
        <f t="shared" si="25"/>
        <v>12</v>
      </c>
      <c r="FR28" s="54">
        <f t="shared" si="26"/>
        <v>4267.3008960000006</v>
      </c>
      <c r="FS28" s="58" t="e">
        <v>#REF!</v>
      </c>
      <c r="FT28" s="56" t="e">
        <f t="shared" si="27"/>
        <v>#REF!</v>
      </c>
      <c r="FU28" s="43"/>
      <c r="FV28" s="42"/>
      <c r="FW28" s="58">
        <v>6.5250000000000004</v>
      </c>
      <c r="FX28" s="56">
        <f t="shared" si="28"/>
        <v>6</v>
      </c>
      <c r="FY28" s="43"/>
      <c r="FZ28" s="42"/>
      <c r="GA28" s="59">
        <v>8.25</v>
      </c>
      <c r="GB28" s="56">
        <f t="shared" si="29"/>
        <v>8</v>
      </c>
      <c r="GC28" s="43"/>
      <c r="GD28" s="42"/>
      <c r="GE28" s="59">
        <v>8.25</v>
      </c>
      <c r="GF28" s="56">
        <f t="shared" si="30"/>
        <v>8</v>
      </c>
      <c r="GG28" s="43"/>
      <c r="GH28" s="42"/>
      <c r="GI28" s="59">
        <v>8.25</v>
      </c>
      <c r="GJ28" s="56">
        <f t="shared" si="31"/>
        <v>8</v>
      </c>
      <c r="GK28" s="44"/>
      <c r="GL28" s="42"/>
      <c r="GM28" s="59">
        <v>8.25</v>
      </c>
      <c r="GN28" s="56">
        <f t="shared" si="32"/>
        <v>8</v>
      </c>
      <c r="GO28" s="47"/>
      <c r="GP28" s="57"/>
      <c r="GQ28" s="59">
        <v>8.25</v>
      </c>
      <c r="GR28" s="56">
        <f t="shared" si="33"/>
        <v>8</v>
      </c>
      <c r="GS28" s="47"/>
      <c r="GT28" s="50"/>
      <c r="GU28" s="59">
        <v>8.25</v>
      </c>
      <c r="GV28" s="56">
        <f t="shared" si="34"/>
        <v>8</v>
      </c>
      <c r="GW28" s="47"/>
      <c r="GX28" s="50"/>
      <c r="GY28" s="59">
        <v>8.25</v>
      </c>
      <c r="GZ28" s="56">
        <f t="shared" si="35"/>
        <v>8</v>
      </c>
      <c r="HA28" s="47"/>
      <c r="HB28" s="50"/>
      <c r="HC28" s="59">
        <v>8.25</v>
      </c>
      <c r="HD28" s="56">
        <f t="shared" si="36"/>
        <v>8</v>
      </c>
      <c r="HE28" s="47"/>
      <c r="HF28" s="50"/>
      <c r="HG28" s="59">
        <v>8.25</v>
      </c>
      <c r="HH28" s="56">
        <f t="shared" si="37"/>
        <v>8</v>
      </c>
      <c r="HI28" s="52"/>
      <c r="HJ28" s="50"/>
      <c r="HK28" s="59">
        <v>8.25</v>
      </c>
      <c r="HL28" s="56">
        <f t="shared" si="38"/>
        <v>8</v>
      </c>
      <c r="HM28" s="53"/>
      <c r="HN28" s="50"/>
      <c r="HO28" s="54" t="e">
        <f t="shared" si="39"/>
        <v>#REF!</v>
      </c>
      <c r="HP28" s="54" t="e">
        <f t="shared" si="40"/>
        <v>#REF!</v>
      </c>
      <c r="HQ28" s="59">
        <v>8.25</v>
      </c>
      <c r="HR28" s="56">
        <f t="shared" si="41"/>
        <v>8</v>
      </c>
      <c r="HS28" s="43"/>
      <c r="HT28" s="42"/>
      <c r="HU28" s="59">
        <v>8.25</v>
      </c>
      <c r="HV28" s="56">
        <f t="shared" si="42"/>
        <v>8</v>
      </c>
      <c r="HW28" s="43"/>
      <c r="HX28" s="42"/>
      <c r="HY28" s="59">
        <v>8.25</v>
      </c>
      <c r="HZ28" s="56">
        <f t="shared" si="43"/>
        <v>8</v>
      </c>
      <c r="IA28" s="43"/>
      <c r="IB28" s="42"/>
      <c r="IC28" s="59">
        <v>8.25</v>
      </c>
      <c r="ID28" s="56">
        <f t="shared" si="44"/>
        <v>8</v>
      </c>
      <c r="IE28" s="43"/>
      <c r="IF28" s="42"/>
      <c r="IG28" s="59">
        <v>8.25</v>
      </c>
      <c r="IH28" s="56">
        <f t="shared" si="45"/>
        <v>8</v>
      </c>
      <c r="II28" s="44"/>
      <c r="IJ28" s="42"/>
      <c r="IK28" s="59">
        <v>8.25</v>
      </c>
      <c r="IL28" s="56">
        <f t="shared" si="46"/>
        <v>8</v>
      </c>
      <c r="IM28" s="47"/>
      <c r="IN28" s="57"/>
      <c r="IO28" s="59">
        <v>8.25</v>
      </c>
      <c r="IP28" s="56">
        <f t="shared" si="47"/>
        <v>8</v>
      </c>
      <c r="IQ28" s="47"/>
      <c r="IR28" s="50"/>
      <c r="IS28" s="59">
        <v>8.25</v>
      </c>
      <c r="IT28" s="56">
        <f t="shared" si="48"/>
        <v>8</v>
      </c>
      <c r="IU28" s="47"/>
      <c r="IV28" s="50"/>
      <c r="IW28" s="59">
        <v>8.25</v>
      </c>
      <c r="IX28" s="56">
        <f t="shared" si="49"/>
        <v>8</v>
      </c>
      <c r="IY28" s="47"/>
      <c r="IZ28" s="50"/>
      <c r="JA28" s="59">
        <v>8.25</v>
      </c>
      <c r="JB28" s="56">
        <f t="shared" si="50"/>
        <v>8</v>
      </c>
      <c r="JC28" s="47"/>
      <c r="JD28" s="50"/>
      <c r="JE28" s="59">
        <v>8.25</v>
      </c>
      <c r="JF28" s="56">
        <f t="shared" si="51"/>
        <v>8</v>
      </c>
      <c r="JG28" s="52"/>
      <c r="JH28" s="50"/>
      <c r="JI28" s="59">
        <v>8.25</v>
      </c>
      <c r="JJ28" s="56">
        <f t="shared" si="52"/>
        <v>8</v>
      </c>
      <c r="JK28" s="53"/>
      <c r="JL28" s="50"/>
      <c r="JM28" s="54">
        <f t="shared" si="53"/>
        <v>99</v>
      </c>
      <c r="JN28" s="54">
        <f t="shared" si="54"/>
        <v>35205.232392000005</v>
      </c>
    </row>
    <row r="29" spans="1:274">
      <c r="A29" s="249"/>
      <c r="B29" s="250"/>
      <c r="C29" s="250"/>
      <c r="D29" s="249"/>
      <c r="E29" s="36">
        <v>24</v>
      </c>
      <c r="F29" s="37"/>
      <c r="G29" s="38">
        <v>4410328080</v>
      </c>
      <c r="H29" s="39" t="s">
        <v>66</v>
      </c>
      <c r="I29" s="71">
        <v>51.208000000000006</v>
      </c>
      <c r="J29" s="36"/>
      <c r="K29" s="36"/>
      <c r="L29" s="36"/>
      <c r="M29" s="41"/>
      <c r="N29" s="42"/>
      <c r="O29" s="43"/>
      <c r="P29" s="42"/>
      <c r="Q29" s="41"/>
      <c r="R29" s="42"/>
      <c r="S29" s="43"/>
      <c r="T29" s="42"/>
      <c r="U29" s="41"/>
      <c r="V29" s="42"/>
      <c r="W29" s="43"/>
      <c r="X29" s="42"/>
      <c r="Y29" s="41"/>
      <c r="Z29" s="42"/>
      <c r="AA29" s="43"/>
      <c r="AB29" s="42"/>
      <c r="AC29" s="41"/>
      <c r="AD29" s="42"/>
      <c r="AE29" s="44"/>
      <c r="AF29" s="42"/>
      <c r="AG29" s="45"/>
      <c r="AH29" s="46"/>
      <c r="AI29" s="47"/>
      <c r="AJ29" s="253"/>
      <c r="AK29" s="45"/>
      <c r="AL29" s="49"/>
      <c r="AM29" s="47"/>
      <c r="AN29" s="50"/>
      <c r="AO29" s="45"/>
      <c r="AP29" s="42"/>
      <c r="AQ29" s="43"/>
      <c r="AR29" s="51"/>
      <c r="AS29" s="45"/>
      <c r="AT29" s="49"/>
      <c r="AU29" s="47"/>
      <c r="AV29" s="50"/>
      <c r="AW29" s="45"/>
      <c r="AX29" s="49"/>
      <c r="AY29" s="47"/>
      <c r="AZ29" s="50"/>
      <c r="BA29" s="45"/>
      <c r="BB29" s="49"/>
      <c r="BC29" s="52"/>
      <c r="BD29" s="50"/>
      <c r="BE29" s="45"/>
      <c r="BF29" s="49"/>
      <c r="BG29" s="53"/>
      <c r="BH29" s="50"/>
      <c r="BI29" s="54"/>
      <c r="BJ29" s="54"/>
      <c r="BK29" s="41">
        <v>200</v>
      </c>
      <c r="BL29" s="55">
        <f t="shared" si="2"/>
        <v>180</v>
      </c>
      <c r="BM29" s="56">
        <v>200</v>
      </c>
      <c r="BN29" s="43">
        <v>80</v>
      </c>
      <c r="BO29" s="42"/>
      <c r="BP29" s="41">
        <v>200</v>
      </c>
      <c r="BQ29" s="55">
        <f t="shared" si="3"/>
        <v>180</v>
      </c>
      <c r="BR29" s="56">
        <v>200</v>
      </c>
      <c r="BS29" s="43">
        <v>44</v>
      </c>
      <c r="BT29" s="42"/>
      <c r="BU29" s="41">
        <v>200</v>
      </c>
      <c r="BV29" s="55">
        <f t="shared" si="4"/>
        <v>180</v>
      </c>
      <c r="BW29" s="56">
        <v>200</v>
      </c>
      <c r="BX29" s="43">
        <v>21</v>
      </c>
      <c r="BY29" s="42"/>
      <c r="BZ29" s="41">
        <v>200</v>
      </c>
      <c r="CA29" s="55">
        <f t="shared" si="5"/>
        <v>180</v>
      </c>
      <c r="CB29" s="56">
        <v>200</v>
      </c>
      <c r="CC29" s="43">
        <v>19</v>
      </c>
      <c r="CD29" s="42"/>
      <c r="CE29" s="41">
        <v>200</v>
      </c>
      <c r="CF29" s="55">
        <f t="shared" si="6"/>
        <v>180</v>
      </c>
      <c r="CG29" s="56">
        <v>200</v>
      </c>
      <c r="CH29" s="44">
        <v>52</v>
      </c>
      <c r="CI29" s="42"/>
      <c r="CJ29" s="41">
        <v>200</v>
      </c>
      <c r="CK29" s="55">
        <f t="shared" si="7"/>
        <v>180</v>
      </c>
      <c r="CL29" s="56">
        <v>200</v>
      </c>
      <c r="CM29" s="47">
        <v>60</v>
      </c>
      <c r="CN29" s="57"/>
      <c r="CO29" s="41">
        <v>200</v>
      </c>
      <c r="CP29" s="55">
        <f t="shared" si="8"/>
        <v>180</v>
      </c>
      <c r="CQ29" s="56">
        <v>200</v>
      </c>
      <c r="CR29" s="47">
        <v>70</v>
      </c>
      <c r="CS29" s="50"/>
      <c r="CT29" s="41">
        <v>200</v>
      </c>
      <c r="CU29" s="55">
        <f t="shared" si="9"/>
        <v>180</v>
      </c>
      <c r="CV29" s="56">
        <v>100</v>
      </c>
      <c r="CW29" s="47">
        <v>40</v>
      </c>
      <c r="CX29" s="50"/>
      <c r="CY29" s="41">
        <v>200</v>
      </c>
      <c r="CZ29" s="55">
        <f t="shared" si="10"/>
        <v>180</v>
      </c>
      <c r="DA29" s="56">
        <v>100</v>
      </c>
      <c r="DB29" s="47">
        <v>40</v>
      </c>
      <c r="DC29" s="50"/>
      <c r="DD29" s="41">
        <v>200</v>
      </c>
      <c r="DE29" s="55">
        <f t="shared" si="11"/>
        <v>180</v>
      </c>
      <c r="DF29" s="56">
        <v>100</v>
      </c>
      <c r="DG29" s="47">
        <v>102</v>
      </c>
      <c r="DH29" s="50"/>
      <c r="DI29" s="41">
        <v>200</v>
      </c>
      <c r="DJ29" s="55">
        <f t="shared" si="12"/>
        <v>180</v>
      </c>
      <c r="DK29" s="56">
        <v>100</v>
      </c>
      <c r="DL29" s="52">
        <v>59</v>
      </c>
      <c r="DM29" s="50"/>
      <c r="DN29" s="41">
        <v>200</v>
      </c>
      <c r="DO29" s="55">
        <f t="shared" si="13"/>
        <v>180</v>
      </c>
      <c r="DP29" s="56">
        <v>100</v>
      </c>
      <c r="DQ29" s="53">
        <v>2</v>
      </c>
      <c r="DR29" s="50"/>
      <c r="DS29" s="54">
        <f t="shared" si="14"/>
        <v>2400</v>
      </c>
      <c r="DT29" s="54">
        <f t="shared" si="15"/>
        <v>122899.20000000001</v>
      </c>
      <c r="DU29" s="41">
        <v>50</v>
      </c>
      <c r="DV29" s="56">
        <f t="shared" si="68"/>
        <v>50</v>
      </c>
      <c r="DW29" s="43">
        <v>40</v>
      </c>
      <c r="DX29" s="42"/>
      <c r="DY29" s="41">
        <v>50</v>
      </c>
      <c r="DZ29" s="56">
        <v>100</v>
      </c>
      <c r="EA29" s="43">
        <v>30</v>
      </c>
      <c r="EB29" s="42"/>
      <c r="EC29" s="41">
        <v>50</v>
      </c>
      <c r="ED29" s="56">
        <f t="shared" si="57"/>
        <v>50</v>
      </c>
      <c r="EE29" s="43">
        <v>200</v>
      </c>
      <c r="EF29" s="42"/>
      <c r="EG29" s="41">
        <v>50</v>
      </c>
      <c r="EH29" s="56">
        <f t="shared" si="67"/>
        <v>50</v>
      </c>
      <c r="EI29" s="43">
        <v>220</v>
      </c>
      <c r="EJ29" s="42"/>
      <c r="EK29" s="41">
        <v>50</v>
      </c>
      <c r="EL29" s="56">
        <f t="shared" si="59"/>
        <v>50</v>
      </c>
      <c r="EM29" s="44">
        <v>32</v>
      </c>
      <c r="EN29" s="42"/>
      <c r="EO29" s="41">
        <v>50</v>
      </c>
      <c r="EP29" s="56">
        <f t="shared" si="60"/>
        <v>50</v>
      </c>
      <c r="EQ29" s="47"/>
      <c r="ER29" s="57"/>
      <c r="ES29" s="41">
        <v>50</v>
      </c>
      <c r="ET29" s="56">
        <f t="shared" si="61"/>
        <v>50</v>
      </c>
      <c r="EU29" s="47"/>
      <c r="EV29" s="50"/>
      <c r="EW29" s="41">
        <v>50</v>
      </c>
      <c r="EX29" s="56">
        <f t="shared" si="62"/>
        <v>50</v>
      </c>
      <c r="EY29" s="47"/>
      <c r="EZ29" s="50"/>
      <c r="FA29" s="41">
        <v>50</v>
      </c>
      <c r="FB29" s="56">
        <f t="shared" si="63"/>
        <v>50</v>
      </c>
      <c r="FC29" s="47"/>
      <c r="FD29" s="50"/>
      <c r="FE29" s="41">
        <v>50</v>
      </c>
      <c r="FF29" s="56">
        <f t="shared" si="64"/>
        <v>50</v>
      </c>
      <c r="FG29" s="47"/>
      <c r="FH29" s="50"/>
      <c r="FI29" s="41">
        <v>50</v>
      </c>
      <c r="FJ29" s="241">
        <f t="shared" si="65"/>
        <v>50</v>
      </c>
      <c r="FK29" s="52"/>
      <c r="FL29" s="50"/>
      <c r="FM29" s="41">
        <v>50</v>
      </c>
      <c r="FN29" s="241">
        <f t="shared" si="66"/>
        <v>50</v>
      </c>
      <c r="FO29" s="53"/>
      <c r="FP29" s="50"/>
      <c r="FQ29" s="54">
        <f t="shared" si="25"/>
        <v>600</v>
      </c>
      <c r="FR29" s="54">
        <f t="shared" si="26"/>
        <v>30724.800000000003</v>
      </c>
      <c r="FS29" s="58" t="e">
        <v>#REF!</v>
      </c>
      <c r="FT29" s="56" t="e">
        <f t="shared" si="27"/>
        <v>#REF!</v>
      </c>
      <c r="FU29" s="43"/>
      <c r="FV29" s="42"/>
      <c r="FW29" s="58">
        <v>217.5</v>
      </c>
      <c r="FX29" s="56">
        <f t="shared" si="28"/>
        <v>217</v>
      </c>
      <c r="FY29" s="43"/>
      <c r="FZ29" s="42"/>
      <c r="GA29" s="59">
        <v>275</v>
      </c>
      <c r="GB29" s="56">
        <f t="shared" si="29"/>
        <v>275</v>
      </c>
      <c r="GC29" s="43"/>
      <c r="GD29" s="42"/>
      <c r="GE29" s="59">
        <v>275</v>
      </c>
      <c r="GF29" s="56">
        <f t="shared" si="30"/>
        <v>275</v>
      </c>
      <c r="GG29" s="43"/>
      <c r="GH29" s="42"/>
      <c r="GI29" s="59">
        <v>275</v>
      </c>
      <c r="GJ29" s="56">
        <f t="shared" si="31"/>
        <v>275</v>
      </c>
      <c r="GK29" s="44"/>
      <c r="GL29" s="42"/>
      <c r="GM29" s="59">
        <v>275</v>
      </c>
      <c r="GN29" s="56">
        <f t="shared" si="32"/>
        <v>275</v>
      </c>
      <c r="GO29" s="47"/>
      <c r="GP29" s="57"/>
      <c r="GQ29" s="59">
        <v>275</v>
      </c>
      <c r="GR29" s="56">
        <f t="shared" si="33"/>
        <v>275</v>
      </c>
      <c r="GS29" s="47"/>
      <c r="GT29" s="50"/>
      <c r="GU29" s="59">
        <v>275</v>
      </c>
      <c r="GV29" s="56">
        <f t="shared" si="34"/>
        <v>275</v>
      </c>
      <c r="GW29" s="47"/>
      <c r="GX29" s="50"/>
      <c r="GY29" s="59">
        <v>275</v>
      </c>
      <c r="GZ29" s="56">
        <f t="shared" si="35"/>
        <v>275</v>
      </c>
      <c r="HA29" s="47"/>
      <c r="HB29" s="50"/>
      <c r="HC29" s="59">
        <v>275</v>
      </c>
      <c r="HD29" s="56">
        <f t="shared" si="36"/>
        <v>275</v>
      </c>
      <c r="HE29" s="47"/>
      <c r="HF29" s="50"/>
      <c r="HG29" s="59">
        <v>275</v>
      </c>
      <c r="HH29" s="56">
        <f t="shared" si="37"/>
        <v>275</v>
      </c>
      <c r="HI29" s="52"/>
      <c r="HJ29" s="50"/>
      <c r="HK29" s="59">
        <v>275</v>
      </c>
      <c r="HL29" s="56">
        <f t="shared" si="38"/>
        <v>275</v>
      </c>
      <c r="HM29" s="53"/>
      <c r="HN29" s="50"/>
      <c r="HO29" s="54" t="e">
        <f t="shared" si="39"/>
        <v>#REF!</v>
      </c>
      <c r="HP29" s="54" t="e">
        <f t="shared" si="40"/>
        <v>#REF!</v>
      </c>
      <c r="HQ29" s="59">
        <v>275</v>
      </c>
      <c r="HR29" s="56">
        <f t="shared" si="41"/>
        <v>275</v>
      </c>
      <c r="HS29" s="43"/>
      <c r="HT29" s="42"/>
      <c r="HU29" s="59">
        <v>275</v>
      </c>
      <c r="HV29" s="56">
        <f t="shared" si="42"/>
        <v>275</v>
      </c>
      <c r="HW29" s="43"/>
      <c r="HX29" s="42"/>
      <c r="HY29" s="59">
        <v>275</v>
      </c>
      <c r="HZ29" s="56">
        <f t="shared" si="43"/>
        <v>275</v>
      </c>
      <c r="IA29" s="43"/>
      <c r="IB29" s="42"/>
      <c r="IC29" s="59">
        <v>275</v>
      </c>
      <c r="ID29" s="56">
        <f t="shared" si="44"/>
        <v>275</v>
      </c>
      <c r="IE29" s="43"/>
      <c r="IF29" s="42"/>
      <c r="IG29" s="59">
        <v>275</v>
      </c>
      <c r="IH29" s="56">
        <f t="shared" si="45"/>
        <v>275</v>
      </c>
      <c r="II29" s="44"/>
      <c r="IJ29" s="42"/>
      <c r="IK29" s="59">
        <v>275</v>
      </c>
      <c r="IL29" s="56">
        <f t="shared" si="46"/>
        <v>275</v>
      </c>
      <c r="IM29" s="47"/>
      <c r="IN29" s="57"/>
      <c r="IO29" s="59">
        <v>275</v>
      </c>
      <c r="IP29" s="56">
        <f t="shared" si="47"/>
        <v>275</v>
      </c>
      <c r="IQ29" s="47"/>
      <c r="IR29" s="50"/>
      <c r="IS29" s="59">
        <v>275</v>
      </c>
      <c r="IT29" s="56">
        <f t="shared" si="48"/>
        <v>275</v>
      </c>
      <c r="IU29" s="47"/>
      <c r="IV29" s="50"/>
      <c r="IW29" s="59">
        <v>275</v>
      </c>
      <c r="IX29" s="56">
        <f t="shared" si="49"/>
        <v>275</v>
      </c>
      <c r="IY29" s="47"/>
      <c r="IZ29" s="50"/>
      <c r="JA29" s="59">
        <v>275</v>
      </c>
      <c r="JB29" s="56">
        <f t="shared" si="50"/>
        <v>275</v>
      </c>
      <c r="JC29" s="47"/>
      <c r="JD29" s="50"/>
      <c r="JE29" s="59">
        <v>275</v>
      </c>
      <c r="JF29" s="56">
        <f t="shared" si="51"/>
        <v>275</v>
      </c>
      <c r="JG29" s="52"/>
      <c r="JH29" s="50"/>
      <c r="JI29" s="59">
        <v>275</v>
      </c>
      <c r="JJ29" s="56">
        <f t="shared" si="52"/>
        <v>275</v>
      </c>
      <c r="JK29" s="53"/>
      <c r="JL29" s="50"/>
      <c r="JM29" s="54">
        <f t="shared" si="53"/>
        <v>3300</v>
      </c>
      <c r="JN29" s="54">
        <f t="shared" si="54"/>
        <v>168986.40000000002</v>
      </c>
    </row>
    <row r="30" spans="1:274">
      <c r="A30" s="249"/>
      <c r="B30" s="250"/>
      <c r="C30" s="250"/>
      <c r="D30" s="249"/>
      <c r="E30" s="36">
        <v>25</v>
      </c>
      <c r="F30" s="37"/>
      <c r="G30" s="38">
        <v>4497230400</v>
      </c>
      <c r="H30" s="39" t="s">
        <v>67</v>
      </c>
      <c r="I30" s="71">
        <v>97.228641600000003</v>
      </c>
      <c r="J30" s="36"/>
      <c r="K30" s="36"/>
      <c r="L30" s="36"/>
      <c r="M30" s="41"/>
      <c r="N30" s="42"/>
      <c r="O30" s="43"/>
      <c r="P30" s="42"/>
      <c r="Q30" s="41"/>
      <c r="R30" s="42"/>
      <c r="S30" s="43"/>
      <c r="T30" s="42"/>
      <c r="U30" s="41"/>
      <c r="V30" s="42"/>
      <c r="W30" s="43"/>
      <c r="X30" s="42"/>
      <c r="Y30" s="41"/>
      <c r="Z30" s="42"/>
      <c r="AA30" s="43"/>
      <c r="AB30" s="42"/>
      <c r="AC30" s="41"/>
      <c r="AD30" s="42"/>
      <c r="AE30" s="44"/>
      <c r="AF30" s="42"/>
      <c r="AG30" s="45"/>
      <c r="AH30" s="46"/>
      <c r="AI30" s="47"/>
      <c r="AJ30" s="253"/>
      <c r="AK30" s="45"/>
      <c r="AL30" s="49"/>
      <c r="AM30" s="47"/>
      <c r="AN30" s="50"/>
      <c r="AO30" s="45"/>
      <c r="AP30" s="42"/>
      <c r="AQ30" s="43"/>
      <c r="AR30" s="51"/>
      <c r="AS30" s="45"/>
      <c r="AT30" s="49"/>
      <c r="AU30" s="47"/>
      <c r="AV30" s="50"/>
      <c r="AW30" s="45"/>
      <c r="AX30" s="49"/>
      <c r="AY30" s="47"/>
      <c r="AZ30" s="50"/>
      <c r="BA30" s="45"/>
      <c r="BB30" s="49"/>
      <c r="BC30" s="52"/>
      <c r="BD30" s="50"/>
      <c r="BE30" s="45"/>
      <c r="BF30" s="49"/>
      <c r="BG30" s="53"/>
      <c r="BH30" s="50"/>
      <c r="BI30" s="54"/>
      <c r="BJ30" s="54"/>
      <c r="BK30" s="41">
        <v>13</v>
      </c>
      <c r="BL30" s="55">
        <f t="shared" si="2"/>
        <v>12</v>
      </c>
      <c r="BM30" s="56">
        <v>13</v>
      </c>
      <c r="BN30" s="43">
        <v>30</v>
      </c>
      <c r="BO30" s="42"/>
      <c r="BP30" s="41">
        <v>13</v>
      </c>
      <c r="BQ30" s="55">
        <f t="shared" si="3"/>
        <v>12</v>
      </c>
      <c r="BR30" s="56">
        <v>13</v>
      </c>
      <c r="BS30" s="43">
        <v>36</v>
      </c>
      <c r="BT30" s="42"/>
      <c r="BU30" s="41">
        <v>13</v>
      </c>
      <c r="BV30" s="55">
        <f t="shared" si="4"/>
        <v>12</v>
      </c>
      <c r="BW30" s="56">
        <v>13</v>
      </c>
      <c r="BX30" s="43">
        <v>100</v>
      </c>
      <c r="BY30" s="42"/>
      <c r="BZ30" s="41">
        <v>13</v>
      </c>
      <c r="CA30" s="55">
        <f t="shared" si="5"/>
        <v>12</v>
      </c>
      <c r="CB30" s="56">
        <v>13</v>
      </c>
      <c r="CC30" s="43">
        <v>0</v>
      </c>
      <c r="CD30" s="42"/>
      <c r="CE30" s="41">
        <v>13</v>
      </c>
      <c r="CF30" s="55">
        <f t="shared" si="6"/>
        <v>12</v>
      </c>
      <c r="CG30" s="56">
        <v>13</v>
      </c>
      <c r="CH30" s="44">
        <v>3</v>
      </c>
      <c r="CI30" s="42"/>
      <c r="CJ30" s="41">
        <v>13</v>
      </c>
      <c r="CK30" s="55">
        <f t="shared" si="7"/>
        <v>12</v>
      </c>
      <c r="CL30" s="56">
        <v>13</v>
      </c>
      <c r="CM30" s="47"/>
      <c r="CN30" s="57"/>
      <c r="CO30" s="41">
        <v>13</v>
      </c>
      <c r="CP30" s="55">
        <f t="shared" si="8"/>
        <v>12</v>
      </c>
      <c r="CQ30" s="56">
        <v>13</v>
      </c>
      <c r="CR30" s="47"/>
      <c r="CS30" s="50"/>
      <c r="CT30" s="41">
        <v>13</v>
      </c>
      <c r="CU30" s="55">
        <f t="shared" si="9"/>
        <v>12</v>
      </c>
      <c r="CV30" s="56">
        <v>13</v>
      </c>
      <c r="CW30" s="47"/>
      <c r="CX30" s="50"/>
      <c r="CY30" s="41">
        <v>13</v>
      </c>
      <c r="CZ30" s="55">
        <f t="shared" si="10"/>
        <v>12</v>
      </c>
      <c r="DA30" s="56">
        <v>13</v>
      </c>
      <c r="DB30" s="47"/>
      <c r="DC30" s="50"/>
      <c r="DD30" s="41">
        <v>13</v>
      </c>
      <c r="DE30" s="55">
        <f t="shared" si="11"/>
        <v>12</v>
      </c>
      <c r="DF30" s="56">
        <v>13</v>
      </c>
      <c r="DG30" s="47"/>
      <c r="DH30" s="50"/>
      <c r="DI30" s="41">
        <v>13</v>
      </c>
      <c r="DJ30" s="55">
        <f t="shared" si="12"/>
        <v>12</v>
      </c>
      <c r="DK30" s="56">
        <v>13</v>
      </c>
      <c r="DL30" s="52"/>
      <c r="DM30" s="50"/>
      <c r="DN30" s="41">
        <v>13</v>
      </c>
      <c r="DO30" s="55">
        <f t="shared" si="13"/>
        <v>12</v>
      </c>
      <c r="DP30" s="56">
        <v>13</v>
      </c>
      <c r="DQ30" s="53">
        <v>10</v>
      </c>
      <c r="DR30" s="50"/>
      <c r="DS30" s="54">
        <f t="shared" si="14"/>
        <v>156</v>
      </c>
      <c r="DT30" s="54">
        <f t="shared" si="15"/>
        <v>15167.6680896</v>
      </c>
      <c r="DU30" s="41">
        <v>14</v>
      </c>
      <c r="DV30" s="56">
        <f t="shared" si="68"/>
        <v>14</v>
      </c>
      <c r="DW30" s="43">
        <v>10</v>
      </c>
      <c r="DX30" s="42"/>
      <c r="DY30" s="41">
        <v>14</v>
      </c>
      <c r="DZ30" s="56">
        <f t="shared" ref="DZ30:DZ41" si="69">ROUNDDOWN(DY30,0)</f>
        <v>14</v>
      </c>
      <c r="EA30" s="43">
        <v>7</v>
      </c>
      <c r="EB30" s="42"/>
      <c r="EC30" s="41">
        <v>14</v>
      </c>
      <c r="ED30" s="56">
        <f t="shared" si="57"/>
        <v>14</v>
      </c>
      <c r="EE30" s="43">
        <v>10</v>
      </c>
      <c r="EF30" s="42"/>
      <c r="EG30" s="41">
        <v>14</v>
      </c>
      <c r="EH30" s="56">
        <f t="shared" si="67"/>
        <v>14</v>
      </c>
      <c r="EI30" s="43">
        <v>25</v>
      </c>
      <c r="EJ30" s="42"/>
      <c r="EK30" s="41">
        <v>14</v>
      </c>
      <c r="EL30" s="56">
        <f t="shared" si="59"/>
        <v>14</v>
      </c>
      <c r="EM30" s="44"/>
      <c r="EN30" s="42"/>
      <c r="EO30" s="41">
        <v>14</v>
      </c>
      <c r="EP30" s="56">
        <f t="shared" si="60"/>
        <v>14</v>
      </c>
      <c r="EQ30" s="47"/>
      <c r="ER30" s="57"/>
      <c r="ES30" s="41">
        <v>14</v>
      </c>
      <c r="ET30" s="56">
        <f t="shared" si="61"/>
        <v>14</v>
      </c>
      <c r="EU30" s="47"/>
      <c r="EV30" s="50"/>
      <c r="EW30" s="41">
        <v>14</v>
      </c>
      <c r="EX30" s="56">
        <f t="shared" si="62"/>
        <v>14</v>
      </c>
      <c r="EY30" s="47"/>
      <c r="EZ30" s="50"/>
      <c r="FA30" s="41">
        <v>14</v>
      </c>
      <c r="FB30" s="56">
        <f t="shared" si="63"/>
        <v>14</v>
      </c>
      <c r="FC30" s="47"/>
      <c r="FD30" s="50"/>
      <c r="FE30" s="41">
        <v>14</v>
      </c>
      <c r="FF30" s="56">
        <f t="shared" si="64"/>
        <v>14</v>
      </c>
      <c r="FG30" s="47"/>
      <c r="FH30" s="50"/>
      <c r="FI30" s="41">
        <v>14</v>
      </c>
      <c r="FJ30" s="241">
        <f t="shared" si="65"/>
        <v>14</v>
      </c>
      <c r="FK30" s="52"/>
      <c r="FL30" s="50"/>
      <c r="FM30" s="41">
        <v>14</v>
      </c>
      <c r="FN30" s="241">
        <f t="shared" si="66"/>
        <v>14</v>
      </c>
      <c r="FO30" s="53"/>
      <c r="FP30" s="50"/>
      <c r="FQ30" s="54">
        <f t="shared" si="25"/>
        <v>168</v>
      </c>
      <c r="FR30" s="54">
        <f t="shared" si="26"/>
        <v>16334.4117888</v>
      </c>
      <c r="FS30" s="58" t="e">
        <v>#REF!</v>
      </c>
      <c r="FT30" s="56" t="e">
        <f t="shared" si="27"/>
        <v>#REF!</v>
      </c>
      <c r="FU30" s="43"/>
      <c r="FV30" s="42"/>
      <c r="FW30" s="58">
        <v>14.137499999999999</v>
      </c>
      <c r="FX30" s="56">
        <f t="shared" si="28"/>
        <v>14</v>
      </c>
      <c r="FY30" s="43"/>
      <c r="FZ30" s="42"/>
      <c r="GA30" s="59">
        <v>17.875</v>
      </c>
      <c r="GB30" s="56">
        <f t="shared" si="29"/>
        <v>17</v>
      </c>
      <c r="GC30" s="43"/>
      <c r="GD30" s="42"/>
      <c r="GE30" s="59">
        <v>17.875</v>
      </c>
      <c r="GF30" s="56">
        <f t="shared" si="30"/>
        <v>17</v>
      </c>
      <c r="GG30" s="43"/>
      <c r="GH30" s="42"/>
      <c r="GI30" s="59">
        <v>17.875</v>
      </c>
      <c r="GJ30" s="56">
        <f t="shared" si="31"/>
        <v>17</v>
      </c>
      <c r="GK30" s="44"/>
      <c r="GL30" s="42"/>
      <c r="GM30" s="59">
        <v>17.875</v>
      </c>
      <c r="GN30" s="56">
        <f t="shared" si="32"/>
        <v>17</v>
      </c>
      <c r="GO30" s="47"/>
      <c r="GP30" s="57"/>
      <c r="GQ30" s="59">
        <v>17.875</v>
      </c>
      <c r="GR30" s="56">
        <f t="shared" si="33"/>
        <v>17</v>
      </c>
      <c r="GS30" s="47"/>
      <c r="GT30" s="50"/>
      <c r="GU30" s="59">
        <v>17.875</v>
      </c>
      <c r="GV30" s="56">
        <f t="shared" si="34"/>
        <v>17</v>
      </c>
      <c r="GW30" s="47"/>
      <c r="GX30" s="50"/>
      <c r="GY30" s="59">
        <v>17.875</v>
      </c>
      <c r="GZ30" s="56">
        <f t="shared" si="35"/>
        <v>17</v>
      </c>
      <c r="HA30" s="47"/>
      <c r="HB30" s="50"/>
      <c r="HC30" s="59">
        <v>17.875</v>
      </c>
      <c r="HD30" s="56">
        <f t="shared" si="36"/>
        <v>17</v>
      </c>
      <c r="HE30" s="47"/>
      <c r="HF30" s="50"/>
      <c r="HG30" s="59">
        <v>17.875</v>
      </c>
      <c r="HH30" s="56">
        <f t="shared" si="37"/>
        <v>17</v>
      </c>
      <c r="HI30" s="52"/>
      <c r="HJ30" s="50"/>
      <c r="HK30" s="59">
        <v>17.875</v>
      </c>
      <c r="HL30" s="56">
        <f t="shared" si="38"/>
        <v>17</v>
      </c>
      <c r="HM30" s="53"/>
      <c r="HN30" s="50"/>
      <c r="HO30" s="54" t="e">
        <f t="shared" si="39"/>
        <v>#REF!</v>
      </c>
      <c r="HP30" s="54" t="e">
        <f t="shared" si="40"/>
        <v>#REF!</v>
      </c>
      <c r="HQ30" s="59">
        <v>17.875</v>
      </c>
      <c r="HR30" s="56">
        <f t="shared" si="41"/>
        <v>17</v>
      </c>
      <c r="HS30" s="43"/>
      <c r="HT30" s="42"/>
      <c r="HU30" s="59">
        <v>17.875</v>
      </c>
      <c r="HV30" s="56">
        <f t="shared" si="42"/>
        <v>17</v>
      </c>
      <c r="HW30" s="43"/>
      <c r="HX30" s="42"/>
      <c r="HY30" s="59">
        <v>17.875</v>
      </c>
      <c r="HZ30" s="56">
        <f t="shared" si="43"/>
        <v>17</v>
      </c>
      <c r="IA30" s="43"/>
      <c r="IB30" s="42"/>
      <c r="IC30" s="59">
        <v>17.875</v>
      </c>
      <c r="ID30" s="56">
        <f t="shared" si="44"/>
        <v>17</v>
      </c>
      <c r="IE30" s="43"/>
      <c r="IF30" s="42"/>
      <c r="IG30" s="59">
        <v>17.875</v>
      </c>
      <c r="IH30" s="56">
        <f t="shared" si="45"/>
        <v>17</v>
      </c>
      <c r="II30" s="44"/>
      <c r="IJ30" s="42"/>
      <c r="IK30" s="59">
        <v>17.875</v>
      </c>
      <c r="IL30" s="56">
        <f t="shared" si="46"/>
        <v>17</v>
      </c>
      <c r="IM30" s="47"/>
      <c r="IN30" s="57"/>
      <c r="IO30" s="59">
        <v>17.875</v>
      </c>
      <c r="IP30" s="56">
        <f t="shared" si="47"/>
        <v>17</v>
      </c>
      <c r="IQ30" s="47"/>
      <c r="IR30" s="50"/>
      <c r="IS30" s="59">
        <v>17.875</v>
      </c>
      <c r="IT30" s="56">
        <f t="shared" si="48"/>
        <v>17</v>
      </c>
      <c r="IU30" s="47"/>
      <c r="IV30" s="50"/>
      <c r="IW30" s="59">
        <v>17.875</v>
      </c>
      <c r="IX30" s="56">
        <f t="shared" si="49"/>
        <v>17</v>
      </c>
      <c r="IY30" s="47"/>
      <c r="IZ30" s="50"/>
      <c r="JA30" s="59">
        <v>17.875</v>
      </c>
      <c r="JB30" s="56">
        <f t="shared" si="50"/>
        <v>17</v>
      </c>
      <c r="JC30" s="47"/>
      <c r="JD30" s="50"/>
      <c r="JE30" s="59">
        <v>17.875</v>
      </c>
      <c r="JF30" s="56">
        <f t="shared" si="51"/>
        <v>17</v>
      </c>
      <c r="JG30" s="52"/>
      <c r="JH30" s="50"/>
      <c r="JI30" s="59">
        <v>17.875</v>
      </c>
      <c r="JJ30" s="56">
        <f t="shared" si="52"/>
        <v>17</v>
      </c>
      <c r="JK30" s="53"/>
      <c r="JL30" s="50"/>
      <c r="JM30" s="54">
        <f t="shared" si="53"/>
        <v>214.5</v>
      </c>
      <c r="JN30" s="54">
        <f t="shared" si="54"/>
        <v>20855.543623199999</v>
      </c>
    </row>
    <row r="31" spans="1:274">
      <c r="A31" s="249"/>
      <c r="B31" s="250"/>
      <c r="C31" s="250"/>
      <c r="D31" s="249"/>
      <c r="E31" s="36">
        <v>26</v>
      </c>
      <c r="F31" s="37"/>
      <c r="G31" s="38">
        <v>9710029000</v>
      </c>
      <c r="H31" s="39" t="s">
        <v>68</v>
      </c>
      <c r="I31" s="71">
        <v>500.39458560000003</v>
      </c>
      <c r="J31" s="36"/>
      <c r="K31" s="36"/>
      <c r="L31" s="36"/>
      <c r="M31" s="41"/>
      <c r="N31" s="42"/>
      <c r="O31" s="43"/>
      <c r="P31" s="42"/>
      <c r="Q31" s="41"/>
      <c r="R31" s="42"/>
      <c r="S31" s="43"/>
      <c r="T31" s="42"/>
      <c r="U31" s="41"/>
      <c r="V31" s="42"/>
      <c r="W31" s="43"/>
      <c r="X31" s="42"/>
      <c r="Y31" s="41"/>
      <c r="Z31" s="42"/>
      <c r="AA31" s="43"/>
      <c r="AB31" s="42"/>
      <c r="AC31" s="41"/>
      <c r="AD31" s="42"/>
      <c r="AE31" s="44"/>
      <c r="AF31" s="42"/>
      <c r="AG31" s="45"/>
      <c r="AH31" s="46"/>
      <c r="AI31" s="47"/>
      <c r="AJ31" s="253"/>
      <c r="AK31" s="45"/>
      <c r="AL31" s="49"/>
      <c r="AM31" s="47"/>
      <c r="AN31" s="50"/>
      <c r="AO31" s="45"/>
      <c r="AP31" s="42"/>
      <c r="AQ31" s="43"/>
      <c r="AR31" s="51"/>
      <c r="AS31" s="45"/>
      <c r="AT31" s="49"/>
      <c r="AU31" s="47"/>
      <c r="AV31" s="50"/>
      <c r="AW31" s="45"/>
      <c r="AX31" s="49"/>
      <c r="AY31" s="47"/>
      <c r="AZ31" s="50"/>
      <c r="BA31" s="45"/>
      <c r="BB31" s="49"/>
      <c r="BC31" s="52"/>
      <c r="BD31" s="50"/>
      <c r="BE31" s="45"/>
      <c r="BF31" s="49"/>
      <c r="BG31" s="53"/>
      <c r="BH31" s="50"/>
      <c r="BI31" s="54"/>
      <c r="BJ31" s="54"/>
      <c r="BK31" s="41">
        <v>8</v>
      </c>
      <c r="BL31" s="55">
        <f t="shared" si="2"/>
        <v>7</v>
      </c>
      <c r="BM31" s="56">
        <v>8</v>
      </c>
      <c r="BN31" s="43">
        <v>5</v>
      </c>
      <c r="BO31" s="42"/>
      <c r="BP31" s="41">
        <v>8</v>
      </c>
      <c r="BQ31" s="55">
        <f t="shared" si="3"/>
        <v>7</v>
      </c>
      <c r="BR31" s="56">
        <v>8</v>
      </c>
      <c r="BS31" s="43">
        <v>4</v>
      </c>
      <c r="BT31" s="42"/>
      <c r="BU31" s="41">
        <v>8</v>
      </c>
      <c r="BV31" s="55">
        <f t="shared" si="4"/>
        <v>7</v>
      </c>
      <c r="BW31" s="56">
        <v>8</v>
      </c>
      <c r="BX31" s="43">
        <v>5</v>
      </c>
      <c r="BY31" s="42"/>
      <c r="BZ31" s="41">
        <v>8</v>
      </c>
      <c r="CA31" s="55">
        <f t="shared" si="5"/>
        <v>7</v>
      </c>
      <c r="CB31" s="56">
        <v>8</v>
      </c>
      <c r="CC31" s="43">
        <v>8</v>
      </c>
      <c r="CD31" s="42"/>
      <c r="CE31" s="41">
        <v>8</v>
      </c>
      <c r="CF31" s="55">
        <f t="shared" si="6"/>
        <v>7</v>
      </c>
      <c r="CG31" s="56">
        <v>8</v>
      </c>
      <c r="CH31" s="44">
        <v>3</v>
      </c>
      <c r="CI31" s="42"/>
      <c r="CJ31" s="41">
        <v>8</v>
      </c>
      <c r="CK31" s="55">
        <f t="shared" si="7"/>
        <v>7</v>
      </c>
      <c r="CL31" s="56">
        <v>8</v>
      </c>
      <c r="CM31" s="47">
        <v>15</v>
      </c>
      <c r="CN31" s="57"/>
      <c r="CO31" s="41">
        <v>8</v>
      </c>
      <c r="CP31" s="55">
        <f t="shared" si="8"/>
        <v>7</v>
      </c>
      <c r="CQ31" s="56">
        <v>8</v>
      </c>
      <c r="CR31" s="47">
        <v>8</v>
      </c>
      <c r="CS31" s="50"/>
      <c r="CT31" s="41">
        <v>8</v>
      </c>
      <c r="CU31" s="55">
        <f t="shared" si="9"/>
        <v>7</v>
      </c>
      <c r="CV31" s="56">
        <v>8</v>
      </c>
      <c r="CW31" s="47">
        <v>8</v>
      </c>
      <c r="CX31" s="50"/>
      <c r="CY31" s="41">
        <v>8</v>
      </c>
      <c r="CZ31" s="55">
        <f t="shared" si="10"/>
        <v>7</v>
      </c>
      <c r="DA31" s="56">
        <v>8</v>
      </c>
      <c r="DB31" s="47">
        <v>16</v>
      </c>
      <c r="DC31" s="50"/>
      <c r="DD31" s="41">
        <v>8</v>
      </c>
      <c r="DE31" s="55">
        <f t="shared" si="11"/>
        <v>7</v>
      </c>
      <c r="DF31" s="56">
        <v>8</v>
      </c>
      <c r="DG31" s="47">
        <v>26</v>
      </c>
      <c r="DH31" s="50"/>
      <c r="DI31" s="41">
        <v>8</v>
      </c>
      <c r="DJ31" s="55">
        <f t="shared" si="12"/>
        <v>7</v>
      </c>
      <c r="DK31" s="56">
        <v>8</v>
      </c>
      <c r="DL31" s="52">
        <v>16</v>
      </c>
      <c r="DM31" s="50"/>
      <c r="DN31" s="41">
        <v>8</v>
      </c>
      <c r="DO31" s="55">
        <f t="shared" si="13"/>
        <v>7</v>
      </c>
      <c r="DP31" s="56">
        <v>8</v>
      </c>
      <c r="DQ31" s="53">
        <v>17</v>
      </c>
      <c r="DR31" s="50"/>
      <c r="DS31" s="54">
        <f t="shared" si="14"/>
        <v>96</v>
      </c>
      <c r="DT31" s="54">
        <f t="shared" si="15"/>
        <v>48037.880217600003</v>
      </c>
      <c r="DU31" s="41">
        <v>9</v>
      </c>
      <c r="DV31" s="56">
        <f t="shared" si="68"/>
        <v>9</v>
      </c>
      <c r="DW31" s="43">
        <v>20</v>
      </c>
      <c r="DX31" s="42"/>
      <c r="DY31" s="41">
        <v>9</v>
      </c>
      <c r="DZ31" s="56">
        <f t="shared" si="69"/>
        <v>9</v>
      </c>
      <c r="EA31" s="43">
        <v>23</v>
      </c>
      <c r="EB31" s="42"/>
      <c r="EC31" s="41">
        <v>9</v>
      </c>
      <c r="ED31" s="56">
        <f t="shared" si="57"/>
        <v>9</v>
      </c>
      <c r="EE31" s="43">
        <v>18</v>
      </c>
      <c r="EF31" s="42"/>
      <c r="EG31" s="41">
        <v>9</v>
      </c>
      <c r="EH31" s="56">
        <f t="shared" si="67"/>
        <v>9</v>
      </c>
      <c r="EI31" s="43">
        <v>23</v>
      </c>
      <c r="EJ31" s="42"/>
      <c r="EK31" s="41">
        <v>9</v>
      </c>
      <c r="EL31" s="56">
        <f t="shared" si="59"/>
        <v>9</v>
      </c>
      <c r="EM31" s="44">
        <v>4</v>
      </c>
      <c r="EN31" s="42"/>
      <c r="EO31" s="41">
        <v>9</v>
      </c>
      <c r="EP31" s="56">
        <f t="shared" si="60"/>
        <v>9</v>
      </c>
      <c r="EQ31" s="47"/>
      <c r="ER31" s="57"/>
      <c r="ES31" s="41">
        <v>9</v>
      </c>
      <c r="ET31" s="56">
        <f t="shared" si="61"/>
        <v>9</v>
      </c>
      <c r="EU31" s="47"/>
      <c r="EV31" s="50"/>
      <c r="EW31" s="41">
        <v>9</v>
      </c>
      <c r="EX31" s="56">
        <f t="shared" si="62"/>
        <v>9</v>
      </c>
      <c r="EY31" s="47"/>
      <c r="EZ31" s="50"/>
      <c r="FA31" s="41">
        <v>9</v>
      </c>
      <c r="FB31" s="56">
        <f t="shared" si="63"/>
        <v>9</v>
      </c>
      <c r="FC31" s="47"/>
      <c r="FD31" s="50"/>
      <c r="FE31" s="41">
        <v>9</v>
      </c>
      <c r="FF31" s="56">
        <f t="shared" si="64"/>
        <v>9</v>
      </c>
      <c r="FG31" s="47"/>
      <c r="FH31" s="50"/>
      <c r="FI31" s="41">
        <v>9</v>
      </c>
      <c r="FJ31" s="241">
        <f t="shared" si="65"/>
        <v>9</v>
      </c>
      <c r="FK31" s="52"/>
      <c r="FL31" s="50"/>
      <c r="FM31" s="41">
        <v>9</v>
      </c>
      <c r="FN31" s="241">
        <f t="shared" si="66"/>
        <v>9</v>
      </c>
      <c r="FO31" s="53"/>
      <c r="FP31" s="50"/>
      <c r="FQ31" s="54">
        <f t="shared" si="25"/>
        <v>108</v>
      </c>
      <c r="FR31" s="54">
        <f t="shared" si="26"/>
        <v>54042.615244800007</v>
      </c>
      <c r="FS31" s="58" t="e">
        <v>#REF!</v>
      </c>
      <c r="FT31" s="56" t="e">
        <f t="shared" si="27"/>
        <v>#REF!</v>
      </c>
      <c r="FU31" s="43"/>
      <c r="FV31" s="42"/>
      <c r="FW31" s="58">
        <v>8.6999999999999993</v>
      </c>
      <c r="FX31" s="56">
        <f t="shared" si="28"/>
        <v>8</v>
      </c>
      <c r="FY31" s="43"/>
      <c r="FZ31" s="42"/>
      <c r="GA31" s="59">
        <v>11</v>
      </c>
      <c r="GB31" s="56">
        <f t="shared" si="29"/>
        <v>11</v>
      </c>
      <c r="GC31" s="43"/>
      <c r="GD31" s="42"/>
      <c r="GE31" s="59">
        <v>11</v>
      </c>
      <c r="GF31" s="56">
        <f t="shared" si="30"/>
        <v>11</v>
      </c>
      <c r="GG31" s="43"/>
      <c r="GH31" s="42"/>
      <c r="GI31" s="59">
        <v>11</v>
      </c>
      <c r="GJ31" s="56">
        <f t="shared" si="31"/>
        <v>11</v>
      </c>
      <c r="GK31" s="44"/>
      <c r="GL31" s="42"/>
      <c r="GM31" s="59">
        <v>11</v>
      </c>
      <c r="GN31" s="56">
        <f t="shared" si="32"/>
        <v>11</v>
      </c>
      <c r="GO31" s="47"/>
      <c r="GP31" s="57"/>
      <c r="GQ31" s="59">
        <v>11</v>
      </c>
      <c r="GR31" s="56">
        <f t="shared" si="33"/>
        <v>11</v>
      </c>
      <c r="GS31" s="47"/>
      <c r="GT31" s="50"/>
      <c r="GU31" s="59">
        <v>11</v>
      </c>
      <c r="GV31" s="56">
        <f t="shared" si="34"/>
        <v>11</v>
      </c>
      <c r="GW31" s="47"/>
      <c r="GX31" s="50"/>
      <c r="GY31" s="59">
        <v>11</v>
      </c>
      <c r="GZ31" s="56">
        <f t="shared" si="35"/>
        <v>11</v>
      </c>
      <c r="HA31" s="47"/>
      <c r="HB31" s="50"/>
      <c r="HC31" s="59">
        <v>11</v>
      </c>
      <c r="HD31" s="56">
        <f t="shared" si="36"/>
        <v>11</v>
      </c>
      <c r="HE31" s="47"/>
      <c r="HF31" s="50"/>
      <c r="HG31" s="59">
        <v>11</v>
      </c>
      <c r="HH31" s="56">
        <f t="shared" si="37"/>
        <v>11</v>
      </c>
      <c r="HI31" s="52"/>
      <c r="HJ31" s="50"/>
      <c r="HK31" s="59">
        <v>11</v>
      </c>
      <c r="HL31" s="56">
        <f t="shared" si="38"/>
        <v>11</v>
      </c>
      <c r="HM31" s="53"/>
      <c r="HN31" s="50"/>
      <c r="HO31" s="54" t="e">
        <f t="shared" si="39"/>
        <v>#REF!</v>
      </c>
      <c r="HP31" s="54" t="e">
        <f t="shared" si="40"/>
        <v>#REF!</v>
      </c>
      <c r="HQ31" s="59">
        <v>11</v>
      </c>
      <c r="HR31" s="56">
        <f t="shared" si="41"/>
        <v>11</v>
      </c>
      <c r="HS31" s="43"/>
      <c r="HT31" s="42"/>
      <c r="HU31" s="59">
        <v>11</v>
      </c>
      <c r="HV31" s="56">
        <f t="shared" si="42"/>
        <v>11</v>
      </c>
      <c r="HW31" s="43"/>
      <c r="HX31" s="42"/>
      <c r="HY31" s="59">
        <v>11</v>
      </c>
      <c r="HZ31" s="56">
        <f t="shared" si="43"/>
        <v>11</v>
      </c>
      <c r="IA31" s="43"/>
      <c r="IB31" s="42"/>
      <c r="IC31" s="59">
        <v>11</v>
      </c>
      <c r="ID31" s="56">
        <f t="shared" si="44"/>
        <v>11</v>
      </c>
      <c r="IE31" s="43"/>
      <c r="IF31" s="42"/>
      <c r="IG31" s="59">
        <v>11</v>
      </c>
      <c r="IH31" s="56">
        <f t="shared" si="45"/>
        <v>11</v>
      </c>
      <c r="II31" s="44"/>
      <c r="IJ31" s="42"/>
      <c r="IK31" s="59">
        <v>11</v>
      </c>
      <c r="IL31" s="56">
        <f t="shared" si="46"/>
        <v>11</v>
      </c>
      <c r="IM31" s="47"/>
      <c r="IN31" s="57"/>
      <c r="IO31" s="59">
        <v>11</v>
      </c>
      <c r="IP31" s="56">
        <f t="shared" si="47"/>
        <v>11</v>
      </c>
      <c r="IQ31" s="47"/>
      <c r="IR31" s="50"/>
      <c r="IS31" s="59">
        <v>11</v>
      </c>
      <c r="IT31" s="56">
        <f t="shared" si="48"/>
        <v>11</v>
      </c>
      <c r="IU31" s="47"/>
      <c r="IV31" s="50"/>
      <c r="IW31" s="59">
        <v>11</v>
      </c>
      <c r="IX31" s="56">
        <f t="shared" si="49"/>
        <v>11</v>
      </c>
      <c r="IY31" s="47"/>
      <c r="IZ31" s="50"/>
      <c r="JA31" s="59">
        <v>11</v>
      </c>
      <c r="JB31" s="56">
        <f t="shared" si="50"/>
        <v>11</v>
      </c>
      <c r="JC31" s="47"/>
      <c r="JD31" s="50"/>
      <c r="JE31" s="59">
        <v>11</v>
      </c>
      <c r="JF31" s="56">
        <f t="shared" si="51"/>
        <v>11</v>
      </c>
      <c r="JG31" s="52"/>
      <c r="JH31" s="50"/>
      <c r="JI31" s="59">
        <v>11</v>
      </c>
      <c r="JJ31" s="56">
        <f t="shared" si="52"/>
        <v>11</v>
      </c>
      <c r="JK31" s="53"/>
      <c r="JL31" s="50"/>
      <c r="JM31" s="54">
        <f t="shared" si="53"/>
        <v>132</v>
      </c>
      <c r="JN31" s="54">
        <f t="shared" si="54"/>
        <v>66052.0852992</v>
      </c>
    </row>
    <row r="32" spans="1:274">
      <c r="A32" s="249"/>
      <c r="B32" s="250"/>
      <c r="C32" s="250"/>
      <c r="D32" s="249"/>
      <c r="E32" s="36">
        <v>27</v>
      </c>
      <c r="F32" s="37"/>
      <c r="G32" s="38">
        <v>4630320200</v>
      </c>
      <c r="H32" s="39" t="s">
        <v>69</v>
      </c>
      <c r="I32" s="71">
        <v>284.58802176000006</v>
      </c>
      <c r="J32" s="36"/>
      <c r="K32" s="36"/>
      <c r="L32" s="36"/>
      <c r="M32" s="41"/>
      <c r="N32" s="42"/>
      <c r="O32" s="43"/>
      <c r="P32" s="42"/>
      <c r="Q32" s="41"/>
      <c r="R32" s="42"/>
      <c r="S32" s="43"/>
      <c r="T32" s="42"/>
      <c r="U32" s="41"/>
      <c r="V32" s="42"/>
      <c r="W32" s="43"/>
      <c r="X32" s="42"/>
      <c r="Y32" s="41"/>
      <c r="Z32" s="42"/>
      <c r="AA32" s="43"/>
      <c r="AB32" s="42"/>
      <c r="AC32" s="41"/>
      <c r="AD32" s="42"/>
      <c r="AE32" s="44"/>
      <c r="AF32" s="42"/>
      <c r="AG32" s="45"/>
      <c r="AH32" s="46"/>
      <c r="AI32" s="47"/>
      <c r="AJ32" s="253"/>
      <c r="AK32" s="45"/>
      <c r="AL32" s="49"/>
      <c r="AM32" s="47"/>
      <c r="AN32" s="50"/>
      <c r="AO32" s="45"/>
      <c r="AP32" s="42"/>
      <c r="AQ32" s="43"/>
      <c r="AR32" s="51"/>
      <c r="AS32" s="45"/>
      <c r="AT32" s="49"/>
      <c r="AU32" s="47"/>
      <c r="AV32" s="50"/>
      <c r="AW32" s="45"/>
      <c r="AX32" s="49"/>
      <c r="AY32" s="47"/>
      <c r="AZ32" s="50"/>
      <c r="BA32" s="45"/>
      <c r="BB32" s="49"/>
      <c r="BC32" s="52"/>
      <c r="BD32" s="50"/>
      <c r="BE32" s="45"/>
      <c r="BF32" s="49"/>
      <c r="BG32" s="53"/>
      <c r="BH32" s="50"/>
      <c r="BI32" s="54"/>
      <c r="BJ32" s="54"/>
      <c r="BK32" s="41">
        <v>12</v>
      </c>
      <c r="BL32" s="55">
        <f t="shared" si="2"/>
        <v>11</v>
      </c>
      <c r="BM32" s="56">
        <v>12</v>
      </c>
      <c r="BN32" s="43">
        <v>10</v>
      </c>
      <c r="BO32" s="42"/>
      <c r="BP32" s="41">
        <v>12</v>
      </c>
      <c r="BQ32" s="55">
        <f t="shared" si="3"/>
        <v>11</v>
      </c>
      <c r="BR32" s="56">
        <v>12</v>
      </c>
      <c r="BS32" s="43">
        <v>18</v>
      </c>
      <c r="BT32" s="42"/>
      <c r="BU32" s="41">
        <v>12</v>
      </c>
      <c r="BV32" s="55">
        <f t="shared" si="4"/>
        <v>11</v>
      </c>
      <c r="BW32" s="56">
        <v>12</v>
      </c>
      <c r="BX32" s="43">
        <v>4</v>
      </c>
      <c r="BY32" s="42"/>
      <c r="BZ32" s="41">
        <v>12</v>
      </c>
      <c r="CA32" s="55">
        <f t="shared" si="5"/>
        <v>11</v>
      </c>
      <c r="CB32" s="56">
        <v>12</v>
      </c>
      <c r="CC32" s="43">
        <v>1</v>
      </c>
      <c r="CD32" s="42"/>
      <c r="CE32" s="41">
        <v>12</v>
      </c>
      <c r="CF32" s="55">
        <f t="shared" si="6"/>
        <v>11</v>
      </c>
      <c r="CG32" s="56">
        <v>12</v>
      </c>
      <c r="CH32" s="44">
        <v>3</v>
      </c>
      <c r="CI32" s="42"/>
      <c r="CJ32" s="41">
        <v>12</v>
      </c>
      <c r="CK32" s="55">
        <f t="shared" si="7"/>
        <v>11</v>
      </c>
      <c r="CL32" s="56">
        <v>12</v>
      </c>
      <c r="CM32" s="47">
        <v>5</v>
      </c>
      <c r="CN32" s="57"/>
      <c r="CO32" s="41">
        <v>12</v>
      </c>
      <c r="CP32" s="55">
        <f t="shared" si="8"/>
        <v>11</v>
      </c>
      <c r="CQ32" s="56">
        <v>12</v>
      </c>
      <c r="CR32" s="47">
        <v>9</v>
      </c>
      <c r="CS32" s="50"/>
      <c r="CT32" s="41">
        <v>12</v>
      </c>
      <c r="CU32" s="55">
        <f t="shared" si="9"/>
        <v>11</v>
      </c>
      <c r="CV32" s="56">
        <v>8</v>
      </c>
      <c r="CW32" s="47"/>
      <c r="CX32" s="50"/>
      <c r="CY32" s="41">
        <v>12</v>
      </c>
      <c r="CZ32" s="55">
        <f t="shared" si="10"/>
        <v>11</v>
      </c>
      <c r="DA32" s="56">
        <v>8</v>
      </c>
      <c r="DB32" s="47">
        <v>7</v>
      </c>
      <c r="DC32" s="50"/>
      <c r="DD32" s="41">
        <v>12</v>
      </c>
      <c r="DE32" s="55">
        <f t="shared" si="11"/>
        <v>11</v>
      </c>
      <c r="DF32" s="56">
        <v>8</v>
      </c>
      <c r="DG32" s="47">
        <v>7</v>
      </c>
      <c r="DH32" s="50"/>
      <c r="DI32" s="41">
        <v>12</v>
      </c>
      <c r="DJ32" s="55">
        <f t="shared" si="12"/>
        <v>11</v>
      </c>
      <c r="DK32" s="56">
        <v>8</v>
      </c>
      <c r="DL32" s="52">
        <v>4</v>
      </c>
      <c r="DM32" s="50"/>
      <c r="DN32" s="41">
        <v>12</v>
      </c>
      <c r="DO32" s="55">
        <f t="shared" si="13"/>
        <v>11</v>
      </c>
      <c r="DP32" s="56">
        <v>8</v>
      </c>
      <c r="DQ32" s="53">
        <v>10</v>
      </c>
      <c r="DR32" s="50"/>
      <c r="DS32" s="54">
        <f t="shared" si="14"/>
        <v>144</v>
      </c>
      <c r="DT32" s="54">
        <f t="shared" si="15"/>
        <v>40980.675133440011</v>
      </c>
      <c r="DU32" s="41">
        <v>6</v>
      </c>
      <c r="DV32" s="56">
        <f t="shared" si="68"/>
        <v>6</v>
      </c>
      <c r="DW32" s="43">
        <v>5</v>
      </c>
      <c r="DX32" s="42"/>
      <c r="DY32" s="41">
        <v>6</v>
      </c>
      <c r="DZ32" s="56">
        <f t="shared" si="69"/>
        <v>6</v>
      </c>
      <c r="EA32" s="43">
        <v>12</v>
      </c>
      <c r="EB32" s="42"/>
      <c r="EC32" s="41">
        <v>6</v>
      </c>
      <c r="ED32" s="56">
        <f t="shared" si="57"/>
        <v>6</v>
      </c>
      <c r="EE32" s="43">
        <v>6</v>
      </c>
      <c r="EF32" s="42"/>
      <c r="EG32" s="41">
        <v>6</v>
      </c>
      <c r="EH32" s="56">
        <f t="shared" si="67"/>
        <v>6</v>
      </c>
      <c r="EI32" s="43">
        <v>10</v>
      </c>
      <c r="EJ32" s="42"/>
      <c r="EK32" s="41">
        <v>6</v>
      </c>
      <c r="EL32" s="56">
        <f t="shared" si="59"/>
        <v>6</v>
      </c>
      <c r="EM32" s="44">
        <v>6</v>
      </c>
      <c r="EN32" s="42"/>
      <c r="EO32" s="41">
        <v>6</v>
      </c>
      <c r="EP32" s="56">
        <f t="shared" si="60"/>
        <v>6</v>
      </c>
      <c r="EQ32" s="47"/>
      <c r="ER32" s="57"/>
      <c r="ES32" s="41">
        <v>6</v>
      </c>
      <c r="ET32" s="56">
        <f t="shared" si="61"/>
        <v>6</v>
      </c>
      <c r="EU32" s="47"/>
      <c r="EV32" s="50"/>
      <c r="EW32" s="41">
        <v>6</v>
      </c>
      <c r="EX32" s="56">
        <f t="shared" si="62"/>
        <v>6</v>
      </c>
      <c r="EY32" s="47"/>
      <c r="EZ32" s="50"/>
      <c r="FA32" s="41">
        <v>6</v>
      </c>
      <c r="FB32" s="56">
        <f t="shared" si="63"/>
        <v>6</v>
      </c>
      <c r="FC32" s="47"/>
      <c r="FD32" s="50"/>
      <c r="FE32" s="41">
        <v>6</v>
      </c>
      <c r="FF32" s="56">
        <f t="shared" si="64"/>
        <v>6</v>
      </c>
      <c r="FG32" s="47"/>
      <c r="FH32" s="50"/>
      <c r="FI32" s="41">
        <v>6</v>
      </c>
      <c r="FJ32" s="241">
        <f t="shared" si="65"/>
        <v>6</v>
      </c>
      <c r="FK32" s="52"/>
      <c r="FL32" s="50"/>
      <c r="FM32" s="41">
        <v>6</v>
      </c>
      <c r="FN32" s="241">
        <f t="shared" si="66"/>
        <v>6</v>
      </c>
      <c r="FO32" s="53"/>
      <c r="FP32" s="50"/>
      <c r="FQ32" s="54">
        <f t="shared" si="25"/>
        <v>72</v>
      </c>
      <c r="FR32" s="54">
        <f t="shared" si="26"/>
        <v>20490.337566720005</v>
      </c>
      <c r="FS32" s="58" t="e">
        <v>#REF!</v>
      </c>
      <c r="FT32" s="56" t="e">
        <f t="shared" si="27"/>
        <v>#REF!</v>
      </c>
      <c r="FU32" s="43"/>
      <c r="FV32" s="42"/>
      <c r="FW32" s="58">
        <v>13.05</v>
      </c>
      <c r="FX32" s="56">
        <f t="shared" si="28"/>
        <v>13</v>
      </c>
      <c r="FY32" s="43"/>
      <c r="FZ32" s="42"/>
      <c r="GA32" s="59">
        <v>16.5</v>
      </c>
      <c r="GB32" s="56">
        <f t="shared" si="29"/>
        <v>16</v>
      </c>
      <c r="GC32" s="43"/>
      <c r="GD32" s="42"/>
      <c r="GE32" s="59">
        <v>16.5</v>
      </c>
      <c r="GF32" s="56">
        <f t="shared" si="30"/>
        <v>16</v>
      </c>
      <c r="GG32" s="43"/>
      <c r="GH32" s="42"/>
      <c r="GI32" s="59">
        <v>16.5</v>
      </c>
      <c r="GJ32" s="56">
        <f t="shared" si="31"/>
        <v>16</v>
      </c>
      <c r="GK32" s="44"/>
      <c r="GL32" s="42"/>
      <c r="GM32" s="59">
        <v>16.5</v>
      </c>
      <c r="GN32" s="56">
        <f t="shared" si="32"/>
        <v>16</v>
      </c>
      <c r="GO32" s="47"/>
      <c r="GP32" s="57"/>
      <c r="GQ32" s="59">
        <v>16.5</v>
      </c>
      <c r="GR32" s="56">
        <f t="shared" si="33"/>
        <v>16</v>
      </c>
      <c r="GS32" s="47"/>
      <c r="GT32" s="50"/>
      <c r="GU32" s="59">
        <v>16.5</v>
      </c>
      <c r="GV32" s="56">
        <f t="shared" si="34"/>
        <v>16</v>
      </c>
      <c r="GW32" s="47"/>
      <c r="GX32" s="50"/>
      <c r="GY32" s="59">
        <v>16.5</v>
      </c>
      <c r="GZ32" s="56">
        <f t="shared" si="35"/>
        <v>16</v>
      </c>
      <c r="HA32" s="47"/>
      <c r="HB32" s="50"/>
      <c r="HC32" s="59">
        <v>16.5</v>
      </c>
      <c r="HD32" s="56">
        <f t="shared" si="36"/>
        <v>16</v>
      </c>
      <c r="HE32" s="47"/>
      <c r="HF32" s="50"/>
      <c r="HG32" s="59">
        <v>16.5</v>
      </c>
      <c r="HH32" s="56">
        <f t="shared" si="37"/>
        <v>16</v>
      </c>
      <c r="HI32" s="52"/>
      <c r="HJ32" s="50"/>
      <c r="HK32" s="59">
        <v>16.5</v>
      </c>
      <c r="HL32" s="56">
        <f t="shared" si="38"/>
        <v>16</v>
      </c>
      <c r="HM32" s="53"/>
      <c r="HN32" s="50"/>
      <c r="HO32" s="54" t="e">
        <f t="shared" si="39"/>
        <v>#REF!</v>
      </c>
      <c r="HP32" s="54" t="e">
        <f t="shared" si="40"/>
        <v>#REF!</v>
      </c>
      <c r="HQ32" s="59">
        <v>16.5</v>
      </c>
      <c r="HR32" s="56">
        <f t="shared" si="41"/>
        <v>16</v>
      </c>
      <c r="HS32" s="43"/>
      <c r="HT32" s="42"/>
      <c r="HU32" s="59">
        <v>16.5</v>
      </c>
      <c r="HV32" s="56">
        <f t="shared" si="42"/>
        <v>16</v>
      </c>
      <c r="HW32" s="43"/>
      <c r="HX32" s="42"/>
      <c r="HY32" s="59">
        <v>16.5</v>
      </c>
      <c r="HZ32" s="56">
        <f t="shared" si="43"/>
        <v>16</v>
      </c>
      <c r="IA32" s="43"/>
      <c r="IB32" s="42"/>
      <c r="IC32" s="59">
        <v>16.5</v>
      </c>
      <c r="ID32" s="56">
        <f t="shared" si="44"/>
        <v>16</v>
      </c>
      <c r="IE32" s="43"/>
      <c r="IF32" s="42"/>
      <c r="IG32" s="59">
        <v>16.5</v>
      </c>
      <c r="IH32" s="56">
        <f t="shared" si="45"/>
        <v>16</v>
      </c>
      <c r="II32" s="44"/>
      <c r="IJ32" s="42"/>
      <c r="IK32" s="59">
        <v>16.5</v>
      </c>
      <c r="IL32" s="56">
        <f t="shared" si="46"/>
        <v>16</v>
      </c>
      <c r="IM32" s="47"/>
      <c r="IN32" s="57"/>
      <c r="IO32" s="59">
        <v>16.5</v>
      </c>
      <c r="IP32" s="56">
        <f t="shared" si="47"/>
        <v>16</v>
      </c>
      <c r="IQ32" s="47"/>
      <c r="IR32" s="50"/>
      <c r="IS32" s="59">
        <v>16.5</v>
      </c>
      <c r="IT32" s="56">
        <f t="shared" si="48"/>
        <v>16</v>
      </c>
      <c r="IU32" s="47"/>
      <c r="IV32" s="50"/>
      <c r="IW32" s="59">
        <v>16.5</v>
      </c>
      <c r="IX32" s="56">
        <f t="shared" si="49"/>
        <v>16</v>
      </c>
      <c r="IY32" s="47"/>
      <c r="IZ32" s="50"/>
      <c r="JA32" s="59">
        <v>16.5</v>
      </c>
      <c r="JB32" s="56">
        <f t="shared" si="50"/>
        <v>16</v>
      </c>
      <c r="JC32" s="47"/>
      <c r="JD32" s="50"/>
      <c r="JE32" s="59">
        <v>16.5</v>
      </c>
      <c r="JF32" s="56">
        <f t="shared" si="51"/>
        <v>16</v>
      </c>
      <c r="JG32" s="52"/>
      <c r="JH32" s="50"/>
      <c r="JI32" s="59">
        <v>16.5</v>
      </c>
      <c r="JJ32" s="56">
        <f t="shared" si="52"/>
        <v>16</v>
      </c>
      <c r="JK32" s="53"/>
      <c r="JL32" s="50"/>
      <c r="JM32" s="54">
        <f t="shared" si="53"/>
        <v>198</v>
      </c>
      <c r="JN32" s="54">
        <f t="shared" si="54"/>
        <v>56348.428308480012</v>
      </c>
    </row>
    <row r="33" spans="1:274">
      <c r="A33" s="249"/>
      <c r="B33" s="250"/>
      <c r="C33" s="250"/>
      <c r="D33" s="249"/>
      <c r="E33" s="36">
        <v>28</v>
      </c>
      <c r="F33" s="37"/>
      <c r="G33" s="38">
        <v>4334010030</v>
      </c>
      <c r="H33" s="39" t="s">
        <v>70</v>
      </c>
      <c r="I33" s="71">
        <v>34.104000000000006</v>
      </c>
      <c r="J33" s="36"/>
      <c r="K33" s="36"/>
      <c r="L33" s="36"/>
      <c r="M33" s="41"/>
      <c r="N33" s="42"/>
      <c r="O33" s="43"/>
      <c r="P33" s="42"/>
      <c r="Q33" s="41"/>
      <c r="R33" s="42"/>
      <c r="S33" s="43"/>
      <c r="T33" s="42"/>
      <c r="U33" s="41"/>
      <c r="V33" s="42"/>
      <c r="W33" s="43"/>
      <c r="X33" s="42"/>
      <c r="Y33" s="41"/>
      <c r="Z33" s="42"/>
      <c r="AA33" s="43"/>
      <c r="AB33" s="42"/>
      <c r="AC33" s="41"/>
      <c r="AD33" s="42"/>
      <c r="AE33" s="44"/>
      <c r="AF33" s="42"/>
      <c r="AG33" s="45"/>
      <c r="AH33" s="46"/>
      <c r="AI33" s="47"/>
      <c r="AJ33" s="253"/>
      <c r="AK33" s="45"/>
      <c r="AL33" s="49"/>
      <c r="AM33" s="47"/>
      <c r="AN33" s="50"/>
      <c r="AO33" s="45"/>
      <c r="AP33" s="42"/>
      <c r="AQ33" s="43"/>
      <c r="AR33" s="51"/>
      <c r="AS33" s="45"/>
      <c r="AT33" s="49"/>
      <c r="AU33" s="47"/>
      <c r="AV33" s="50"/>
      <c r="AW33" s="45"/>
      <c r="AX33" s="49"/>
      <c r="AY33" s="47"/>
      <c r="AZ33" s="50"/>
      <c r="BA33" s="45"/>
      <c r="BB33" s="49"/>
      <c r="BC33" s="52"/>
      <c r="BD33" s="50"/>
      <c r="BE33" s="45"/>
      <c r="BF33" s="49"/>
      <c r="BG33" s="53"/>
      <c r="BH33" s="50"/>
      <c r="BI33" s="54"/>
      <c r="BJ33" s="54"/>
      <c r="BK33" s="41">
        <v>11</v>
      </c>
      <c r="BL33" s="55">
        <f t="shared" si="2"/>
        <v>10</v>
      </c>
      <c r="BM33" s="56">
        <v>11</v>
      </c>
      <c r="BN33" s="43">
        <v>0</v>
      </c>
      <c r="BO33" s="42"/>
      <c r="BP33" s="41">
        <v>11</v>
      </c>
      <c r="BQ33" s="55">
        <f t="shared" si="3"/>
        <v>10</v>
      </c>
      <c r="BR33" s="56">
        <v>11</v>
      </c>
      <c r="BS33" s="43">
        <v>0</v>
      </c>
      <c r="BT33" s="42"/>
      <c r="BU33" s="41">
        <v>11</v>
      </c>
      <c r="BV33" s="55">
        <f t="shared" si="4"/>
        <v>10</v>
      </c>
      <c r="BW33" s="56">
        <v>11</v>
      </c>
      <c r="BX33" s="43">
        <v>10</v>
      </c>
      <c r="BY33" s="42"/>
      <c r="BZ33" s="41">
        <v>11</v>
      </c>
      <c r="CA33" s="55">
        <f t="shared" si="5"/>
        <v>10</v>
      </c>
      <c r="CB33" s="56">
        <v>11</v>
      </c>
      <c r="CC33" s="43">
        <v>11</v>
      </c>
      <c r="CD33" s="42"/>
      <c r="CE33" s="41">
        <v>11</v>
      </c>
      <c r="CF33" s="55">
        <f t="shared" si="6"/>
        <v>10</v>
      </c>
      <c r="CG33" s="56">
        <v>11</v>
      </c>
      <c r="CH33" s="44">
        <v>0</v>
      </c>
      <c r="CI33" s="42"/>
      <c r="CJ33" s="41">
        <v>11</v>
      </c>
      <c r="CK33" s="55">
        <f t="shared" si="7"/>
        <v>10</v>
      </c>
      <c r="CL33" s="56">
        <v>11</v>
      </c>
      <c r="CM33" s="47">
        <v>3</v>
      </c>
      <c r="CN33" s="57"/>
      <c r="CO33" s="41">
        <v>11</v>
      </c>
      <c r="CP33" s="55">
        <f t="shared" si="8"/>
        <v>10</v>
      </c>
      <c r="CQ33" s="56">
        <v>11</v>
      </c>
      <c r="CR33" s="47">
        <v>13</v>
      </c>
      <c r="CS33" s="50"/>
      <c r="CT33" s="41">
        <v>11</v>
      </c>
      <c r="CU33" s="55">
        <f t="shared" si="9"/>
        <v>10</v>
      </c>
      <c r="CV33" s="56">
        <v>11</v>
      </c>
      <c r="CW33" s="47"/>
      <c r="CX33" s="50"/>
      <c r="CY33" s="41">
        <v>11</v>
      </c>
      <c r="CZ33" s="55">
        <f t="shared" si="10"/>
        <v>10</v>
      </c>
      <c r="DA33" s="56">
        <v>11</v>
      </c>
      <c r="DB33" s="47"/>
      <c r="DC33" s="50"/>
      <c r="DD33" s="41">
        <v>11</v>
      </c>
      <c r="DE33" s="55">
        <f t="shared" si="11"/>
        <v>10</v>
      </c>
      <c r="DF33" s="56">
        <v>11</v>
      </c>
      <c r="DG33" s="47"/>
      <c r="DH33" s="50"/>
      <c r="DI33" s="41">
        <v>11</v>
      </c>
      <c r="DJ33" s="55">
        <f t="shared" si="12"/>
        <v>10</v>
      </c>
      <c r="DK33" s="56">
        <v>11</v>
      </c>
      <c r="DL33" s="52"/>
      <c r="DM33" s="50"/>
      <c r="DN33" s="41">
        <v>11</v>
      </c>
      <c r="DO33" s="55">
        <f t="shared" si="13"/>
        <v>10</v>
      </c>
      <c r="DP33" s="56">
        <v>11</v>
      </c>
      <c r="DQ33" s="53"/>
      <c r="DR33" s="50"/>
      <c r="DS33" s="54">
        <f t="shared" si="14"/>
        <v>132</v>
      </c>
      <c r="DT33" s="54">
        <f t="shared" si="15"/>
        <v>4501.728000000001</v>
      </c>
      <c r="DU33" s="41">
        <v>4</v>
      </c>
      <c r="DV33" s="56">
        <f t="shared" si="68"/>
        <v>4</v>
      </c>
      <c r="DW33" s="43"/>
      <c r="DX33" s="42"/>
      <c r="DY33" s="41">
        <v>4</v>
      </c>
      <c r="DZ33" s="56">
        <f t="shared" si="69"/>
        <v>4</v>
      </c>
      <c r="EA33" s="43"/>
      <c r="EB33" s="42"/>
      <c r="EC33" s="41">
        <v>4</v>
      </c>
      <c r="ED33" s="56">
        <f t="shared" si="57"/>
        <v>4</v>
      </c>
      <c r="EE33" s="43"/>
      <c r="EF33" s="42"/>
      <c r="EG33" s="41">
        <v>4</v>
      </c>
      <c r="EH33" s="56">
        <f t="shared" si="67"/>
        <v>4</v>
      </c>
      <c r="EI33" s="43"/>
      <c r="EJ33" s="42"/>
      <c r="EK33" s="41">
        <v>4</v>
      </c>
      <c r="EL33" s="56">
        <f t="shared" si="59"/>
        <v>4</v>
      </c>
      <c r="EM33" s="44">
        <v>3</v>
      </c>
      <c r="EN33" s="42"/>
      <c r="EO33" s="41">
        <v>4</v>
      </c>
      <c r="EP33" s="56">
        <f t="shared" si="60"/>
        <v>4</v>
      </c>
      <c r="EQ33" s="47"/>
      <c r="ER33" s="57"/>
      <c r="ES33" s="41">
        <v>4</v>
      </c>
      <c r="ET33" s="56">
        <f t="shared" si="61"/>
        <v>4</v>
      </c>
      <c r="EU33" s="47"/>
      <c r="EV33" s="50"/>
      <c r="EW33" s="41">
        <v>4</v>
      </c>
      <c r="EX33" s="56">
        <f t="shared" si="62"/>
        <v>4</v>
      </c>
      <c r="EY33" s="47"/>
      <c r="EZ33" s="50"/>
      <c r="FA33" s="41">
        <v>4</v>
      </c>
      <c r="FB33" s="56">
        <f t="shared" si="63"/>
        <v>4</v>
      </c>
      <c r="FC33" s="47"/>
      <c r="FD33" s="50"/>
      <c r="FE33" s="41">
        <v>4</v>
      </c>
      <c r="FF33" s="56">
        <f t="shared" si="64"/>
        <v>4</v>
      </c>
      <c r="FG33" s="47"/>
      <c r="FH33" s="50"/>
      <c r="FI33" s="41">
        <v>4</v>
      </c>
      <c r="FJ33" s="241">
        <f t="shared" si="65"/>
        <v>4</v>
      </c>
      <c r="FK33" s="52"/>
      <c r="FL33" s="50"/>
      <c r="FM33" s="41">
        <v>4</v>
      </c>
      <c r="FN33" s="241">
        <f t="shared" si="66"/>
        <v>4</v>
      </c>
      <c r="FO33" s="53"/>
      <c r="FP33" s="50"/>
      <c r="FQ33" s="54">
        <f t="shared" si="25"/>
        <v>48</v>
      </c>
      <c r="FR33" s="54">
        <f t="shared" si="26"/>
        <v>1636.9920000000002</v>
      </c>
      <c r="FS33" s="58" t="e">
        <v>#REF!</v>
      </c>
      <c r="FT33" s="56" t="e">
        <f t="shared" si="27"/>
        <v>#REF!</v>
      </c>
      <c r="FU33" s="43"/>
      <c r="FV33" s="42"/>
      <c r="FW33" s="58">
        <v>11.9625</v>
      </c>
      <c r="FX33" s="56">
        <f t="shared" si="28"/>
        <v>11</v>
      </c>
      <c r="FY33" s="43"/>
      <c r="FZ33" s="42"/>
      <c r="GA33" s="59">
        <v>15.125000000000002</v>
      </c>
      <c r="GB33" s="56">
        <f t="shared" si="29"/>
        <v>15</v>
      </c>
      <c r="GC33" s="43"/>
      <c r="GD33" s="42"/>
      <c r="GE33" s="59">
        <v>15.125000000000002</v>
      </c>
      <c r="GF33" s="56">
        <f t="shared" si="30"/>
        <v>15</v>
      </c>
      <c r="GG33" s="43"/>
      <c r="GH33" s="42"/>
      <c r="GI33" s="59">
        <v>15.125000000000002</v>
      </c>
      <c r="GJ33" s="56">
        <f t="shared" si="31"/>
        <v>15</v>
      </c>
      <c r="GK33" s="44"/>
      <c r="GL33" s="42"/>
      <c r="GM33" s="59">
        <v>15.125000000000002</v>
      </c>
      <c r="GN33" s="56">
        <f t="shared" si="32"/>
        <v>15</v>
      </c>
      <c r="GO33" s="47"/>
      <c r="GP33" s="57"/>
      <c r="GQ33" s="59">
        <v>15.125000000000002</v>
      </c>
      <c r="GR33" s="56">
        <f t="shared" si="33"/>
        <v>15</v>
      </c>
      <c r="GS33" s="47"/>
      <c r="GT33" s="50"/>
      <c r="GU33" s="59">
        <v>15.125000000000002</v>
      </c>
      <c r="GV33" s="56">
        <f t="shared" si="34"/>
        <v>15</v>
      </c>
      <c r="GW33" s="47"/>
      <c r="GX33" s="50"/>
      <c r="GY33" s="59">
        <v>15.125000000000002</v>
      </c>
      <c r="GZ33" s="56">
        <f t="shared" si="35"/>
        <v>15</v>
      </c>
      <c r="HA33" s="47"/>
      <c r="HB33" s="50"/>
      <c r="HC33" s="59">
        <v>15.125000000000002</v>
      </c>
      <c r="HD33" s="56">
        <f t="shared" si="36"/>
        <v>15</v>
      </c>
      <c r="HE33" s="47"/>
      <c r="HF33" s="50"/>
      <c r="HG33" s="59">
        <v>15.125000000000002</v>
      </c>
      <c r="HH33" s="56">
        <f t="shared" si="37"/>
        <v>15</v>
      </c>
      <c r="HI33" s="52"/>
      <c r="HJ33" s="50"/>
      <c r="HK33" s="59">
        <v>15.125000000000002</v>
      </c>
      <c r="HL33" s="56">
        <f t="shared" si="38"/>
        <v>15</v>
      </c>
      <c r="HM33" s="53"/>
      <c r="HN33" s="50"/>
      <c r="HO33" s="54" t="e">
        <f t="shared" si="39"/>
        <v>#REF!</v>
      </c>
      <c r="HP33" s="54" t="e">
        <f t="shared" si="40"/>
        <v>#REF!</v>
      </c>
      <c r="HQ33" s="59">
        <v>15.125000000000002</v>
      </c>
      <c r="HR33" s="56">
        <f t="shared" si="41"/>
        <v>15</v>
      </c>
      <c r="HS33" s="43"/>
      <c r="HT33" s="42"/>
      <c r="HU33" s="59">
        <v>15.125000000000002</v>
      </c>
      <c r="HV33" s="56">
        <f t="shared" si="42"/>
        <v>15</v>
      </c>
      <c r="HW33" s="43"/>
      <c r="HX33" s="42"/>
      <c r="HY33" s="59">
        <v>15.125000000000002</v>
      </c>
      <c r="HZ33" s="56">
        <f t="shared" si="43"/>
        <v>15</v>
      </c>
      <c r="IA33" s="43"/>
      <c r="IB33" s="42"/>
      <c r="IC33" s="59">
        <v>15.125000000000002</v>
      </c>
      <c r="ID33" s="56">
        <f t="shared" si="44"/>
        <v>15</v>
      </c>
      <c r="IE33" s="43"/>
      <c r="IF33" s="42"/>
      <c r="IG33" s="59">
        <v>15.125000000000002</v>
      </c>
      <c r="IH33" s="56">
        <f t="shared" si="45"/>
        <v>15</v>
      </c>
      <c r="II33" s="44"/>
      <c r="IJ33" s="42"/>
      <c r="IK33" s="59">
        <v>15.125000000000002</v>
      </c>
      <c r="IL33" s="56">
        <f t="shared" si="46"/>
        <v>15</v>
      </c>
      <c r="IM33" s="47"/>
      <c r="IN33" s="57"/>
      <c r="IO33" s="59">
        <v>15.125000000000002</v>
      </c>
      <c r="IP33" s="56">
        <f t="shared" si="47"/>
        <v>15</v>
      </c>
      <c r="IQ33" s="47"/>
      <c r="IR33" s="50"/>
      <c r="IS33" s="59">
        <v>15.125000000000002</v>
      </c>
      <c r="IT33" s="56">
        <f t="shared" si="48"/>
        <v>15</v>
      </c>
      <c r="IU33" s="47"/>
      <c r="IV33" s="50"/>
      <c r="IW33" s="59">
        <v>15.125000000000002</v>
      </c>
      <c r="IX33" s="56">
        <f t="shared" si="49"/>
        <v>15</v>
      </c>
      <c r="IY33" s="47"/>
      <c r="IZ33" s="50"/>
      <c r="JA33" s="59">
        <v>15.125000000000002</v>
      </c>
      <c r="JB33" s="56">
        <f t="shared" si="50"/>
        <v>15</v>
      </c>
      <c r="JC33" s="47"/>
      <c r="JD33" s="50"/>
      <c r="JE33" s="59">
        <v>15.125000000000002</v>
      </c>
      <c r="JF33" s="56">
        <f t="shared" si="51"/>
        <v>15</v>
      </c>
      <c r="JG33" s="52"/>
      <c r="JH33" s="50"/>
      <c r="JI33" s="59">
        <v>15.125000000000002</v>
      </c>
      <c r="JJ33" s="56">
        <f t="shared" si="52"/>
        <v>15</v>
      </c>
      <c r="JK33" s="53"/>
      <c r="JL33" s="50"/>
      <c r="JM33" s="54">
        <f t="shared" si="53"/>
        <v>181.50000000000003</v>
      </c>
      <c r="JN33" s="54">
        <f t="shared" si="54"/>
        <v>6189.876000000002</v>
      </c>
    </row>
    <row r="34" spans="1:274">
      <c r="A34" s="249"/>
      <c r="B34" s="250"/>
      <c r="C34" s="250"/>
      <c r="D34" s="249"/>
      <c r="E34" s="36">
        <v>29</v>
      </c>
      <c r="F34" s="37"/>
      <c r="G34" s="38">
        <v>4460087000</v>
      </c>
      <c r="H34" s="39" t="s">
        <v>71</v>
      </c>
      <c r="I34" s="71">
        <v>310.14648000000005</v>
      </c>
      <c r="J34" s="36"/>
      <c r="K34" s="36"/>
      <c r="L34" s="36"/>
      <c r="M34" s="41"/>
      <c r="N34" s="42"/>
      <c r="O34" s="43"/>
      <c r="P34" s="42"/>
      <c r="Q34" s="41"/>
      <c r="R34" s="42"/>
      <c r="S34" s="43"/>
      <c r="T34" s="42"/>
      <c r="U34" s="41"/>
      <c r="V34" s="42"/>
      <c r="W34" s="43"/>
      <c r="X34" s="42"/>
      <c r="Y34" s="41"/>
      <c r="Z34" s="42"/>
      <c r="AA34" s="43"/>
      <c r="AB34" s="42"/>
      <c r="AC34" s="41"/>
      <c r="AD34" s="42"/>
      <c r="AE34" s="44"/>
      <c r="AF34" s="42"/>
      <c r="AG34" s="45"/>
      <c r="AH34" s="46"/>
      <c r="AI34" s="47"/>
      <c r="AJ34" s="253"/>
      <c r="AK34" s="45"/>
      <c r="AL34" s="49"/>
      <c r="AM34" s="47"/>
      <c r="AN34" s="50"/>
      <c r="AO34" s="45"/>
      <c r="AP34" s="42"/>
      <c r="AQ34" s="43"/>
      <c r="AR34" s="51"/>
      <c r="AS34" s="45"/>
      <c r="AT34" s="49"/>
      <c r="AU34" s="47"/>
      <c r="AV34" s="50"/>
      <c r="AW34" s="45"/>
      <c r="AX34" s="49"/>
      <c r="AY34" s="47"/>
      <c r="AZ34" s="50"/>
      <c r="BA34" s="45"/>
      <c r="BB34" s="49"/>
      <c r="BC34" s="52"/>
      <c r="BD34" s="50"/>
      <c r="BE34" s="45"/>
      <c r="BF34" s="49"/>
      <c r="BG34" s="53"/>
      <c r="BH34" s="50"/>
      <c r="BI34" s="54"/>
      <c r="BJ34" s="54"/>
      <c r="BK34" s="41">
        <v>8</v>
      </c>
      <c r="BL34" s="55">
        <f t="shared" si="2"/>
        <v>7</v>
      </c>
      <c r="BM34" s="56">
        <v>8</v>
      </c>
      <c r="BN34" s="43">
        <v>0</v>
      </c>
      <c r="BO34" s="42"/>
      <c r="BP34" s="41">
        <v>8</v>
      </c>
      <c r="BQ34" s="55">
        <f t="shared" si="3"/>
        <v>7</v>
      </c>
      <c r="BR34" s="56">
        <v>8</v>
      </c>
      <c r="BS34" s="43">
        <v>2</v>
      </c>
      <c r="BT34" s="42"/>
      <c r="BU34" s="41">
        <v>8</v>
      </c>
      <c r="BV34" s="55">
        <f t="shared" si="4"/>
        <v>7</v>
      </c>
      <c r="BW34" s="56">
        <v>8</v>
      </c>
      <c r="BX34" s="43">
        <v>0</v>
      </c>
      <c r="BY34" s="42"/>
      <c r="BZ34" s="41">
        <v>8</v>
      </c>
      <c r="CA34" s="55">
        <f t="shared" si="5"/>
        <v>7</v>
      </c>
      <c r="CB34" s="56">
        <v>8</v>
      </c>
      <c r="CC34" s="43">
        <v>0</v>
      </c>
      <c r="CD34" s="42"/>
      <c r="CE34" s="41">
        <v>8</v>
      </c>
      <c r="CF34" s="55">
        <f t="shared" si="6"/>
        <v>7</v>
      </c>
      <c r="CG34" s="56">
        <v>8</v>
      </c>
      <c r="CH34" s="44">
        <v>0</v>
      </c>
      <c r="CI34" s="42"/>
      <c r="CJ34" s="41">
        <v>8</v>
      </c>
      <c r="CK34" s="55">
        <f t="shared" si="7"/>
        <v>7</v>
      </c>
      <c r="CL34" s="56">
        <v>8</v>
      </c>
      <c r="CM34" s="47">
        <v>5</v>
      </c>
      <c r="CN34" s="57"/>
      <c r="CO34" s="41">
        <v>8</v>
      </c>
      <c r="CP34" s="55">
        <f t="shared" si="8"/>
        <v>7</v>
      </c>
      <c r="CQ34" s="56">
        <v>8</v>
      </c>
      <c r="CR34" s="47"/>
      <c r="CS34" s="50"/>
      <c r="CT34" s="41">
        <v>8</v>
      </c>
      <c r="CU34" s="55">
        <f t="shared" si="9"/>
        <v>7</v>
      </c>
      <c r="CV34" s="56">
        <v>8</v>
      </c>
      <c r="CW34" s="47"/>
      <c r="CX34" s="50"/>
      <c r="CY34" s="41">
        <v>8</v>
      </c>
      <c r="CZ34" s="55">
        <f t="shared" si="10"/>
        <v>7</v>
      </c>
      <c r="DA34" s="56">
        <v>8</v>
      </c>
      <c r="DB34" s="47"/>
      <c r="DC34" s="50"/>
      <c r="DD34" s="41">
        <v>8</v>
      </c>
      <c r="DE34" s="55">
        <f t="shared" si="11"/>
        <v>7</v>
      </c>
      <c r="DF34" s="56">
        <v>8</v>
      </c>
      <c r="DG34" s="47">
        <v>22</v>
      </c>
      <c r="DH34" s="50"/>
      <c r="DI34" s="41">
        <v>8</v>
      </c>
      <c r="DJ34" s="55">
        <f t="shared" si="12"/>
        <v>7</v>
      </c>
      <c r="DK34" s="56">
        <v>8</v>
      </c>
      <c r="DL34" s="52">
        <v>40</v>
      </c>
      <c r="DM34" s="50"/>
      <c r="DN34" s="41">
        <v>8</v>
      </c>
      <c r="DO34" s="55">
        <f t="shared" si="13"/>
        <v>7</v>
      </c>
      <c r="DP34" s="56">
        <v>8</v>
      </c>
      <c r="DQ34" s="53"/>
      <c r="DR34" s="50"/>
      <c r="DS34" s="54">
        <f t="shared" si="14"/>
        <v>96</v>
      </c>
      <c r="DT34" s="54">
        <f t="shared" si="15"/>
        <v>29774.062080000003</v>
      </c>
      <c r="DU34" s="41">
        <v>6</v>
      </c>
      <c r="DV34" s="56">
        <f t="shared" si="68"/>
        <v>6</v>
      </c>
      <c r="DW34" s="43">
        <v>20</v>
      </c>
      <c r="DX34" s="42"/>
      <c r="DY34" s="41">
        <v>6</v>
      </c>
      <c r="DZ34" s="56">
        <f t="shared" si="69"/>
        <v>6</v>
      </c>
      <c r="EA34" s="43">
        <v>32</v>
      </c>
      <c r="EB34" s="42"/>
      <c r="EC34" s="41">
        <v>6</v>
      </c>
      <c r="ED34" s="56">
        <f t="shared" si="57"/>
        <v>6</v>
      </c>
      <c r="EE34" s="43">
        <v>50</v>
      </c>
      <c r="EF34" s="42"/>
      <c r="EG34" s="41">
        <v>6</v>
      </c>
      <c r="EH34" s="56">
        <v>10</v>
      </c>
      <c r="EI34" s="43">
        <v>5</v>
      </c>
      <c r="EJ34" s="42"/>
      <c r="EK34" s="41">
        <v>6</v>
      </c>
      <c r="EL34" s="56">
        <v>20</v>
      </c>
      <c r="EM34" s="44">
        <v>50</v>
      </c>
      <c r="EN34" s="42"/>
      <c r="EO34" s="41">
        <v>6</v>
      </c>
      <c r="EP34" s="56">
        <v>10</v>
      </c>
      <c r="EQ34" s="47"/>
      <c r="ER34" s="57"/>
      <c r="ES34" s="41">
        <v>6</v>
      </c>
      <c r="ET34" s="56">
        <v>10</v>
      </c>
      <c r="EU34" s="47"/>
      <c r="EV34" s="50"/>
      <c r="EW34" s="41">
        <v>6</v>
      </c>
      <c r="EX34" s="56">
        <v>10</v>
      </c>
      <c r="EY34" s="47"/>
      <c r="EZ34" s="50"/>
      <c r="FA34" s="41">
        <v>6</v>
      </c>
      <c r="FB34" s="56">
        <v>10</v>
      </c>
      <c r="FC34" s="47"/>
      <c r="FD34" s="50"/>
      <c r="FE34" s="41">
        <v>6</v>
      </c>
      <c r="FF34" s="56">
        <v>10</v>
      </c>
      <c r="FG34" s="47"/>
      <c r="FH34" s="50"/>
      <c r="FI34" s="41">
        <v>6</v>
      </c>
      <c r="FJ34" s="241">
        <v>10</v>
      </c>
      <c r="FK34" s="52"/>
      <c r="FL34" s="50"/>
      <c r="FM34" s="41">
        <v>6</v>
      </c>
      <c r="FN34" s="241">
        <v>10</v>
      </c>
      <c r="FO34" s="53"/>
      <c r="FP34" s="50"/>
      <c r="FQ34" s="54">
        <f t="shared" si="25"/>
        <v>72</v>
      </c>
      <c r="FR34" s="54">
        <f t="shared" si="26"/>
        <v>22330.546560000003</v>
      </c>
      <c r="FS34" s="58" t="e">
        <v>#REF!</v>
      </c>
      <c r="FT34" s="56" t="e">
        <f t="shared" si="27"/>
        <v>#REF!</v>
      </c>
      <c r="FU34" s="43"/>
      <c r="FV34" s="42"/>
      <c r="FW34" s="58">
        <v>8.6999999999999993</v>
      </c>
      <c r="FX34" s="56">
        <f t="shared" si="28"/>
        <v>8</v>
      </c>
      <c r="FY34" s="43"/>
      <c r="FZ34" s="42"/>
      <c r="GA34" s="59">
        <v>11</v>
      </c>
      <c r="GB34" s="56">
        <f t="shared" si="29"/>
        <v>11</v>
      </c>
      <c r="GC34" s="43"/>
      <c r="GD34" s="42"/>
      <c r="GE34" s="59">
        <v>11</v>
      </c>
      <c r="GF34" s="56">
        <f t="shared" si="30"/>
        <v>11</v>
      </c>
      <c r="GG34" s="43"/>
      <c r="GH34" s="42"/>
      <c r="GI34" s="59">
        <v>11</v>
      </c>
      <c r="GJ34" s="56">
        <f t="shared" si="31"/>
        <v>11</v>
      </c>
      <c r="GK34" s="44"/>
      <c r="GL34" s="42"/>
      <c r="GM34" s="59">
        <v>11</v>
      </c>
      <c r="GN34" s="56">
        <f t="shared" si="32"/>
        <v>11</v>
      </c>
      <c r="GO34" s="47"/>
      <c r="GP34" s="57"/>
      <c r="GQ34" s="59">
        <v>11</v>
      </c>
      <c r="GR34" s="56">
        <f t="shared" si="33"/>
        <v>11</v>
      </c>
      <c r="GS34" s="47"/>
      <c r="GT34" s="50"/>
      <c r="GU34" s="59">
        <v>11</v>
      </c>
      <c r="GV34" s="56">
        <f t="shared" si="34"/>
        <v>11</v>
      </c>
      <c r="GW34" s="47"/>
      <c r="GX34" s="50"/>
      <c r="GY34" s="59">
        <v>11</v>
      </c>
      <c r="GZ34" s="56">
        <f t="shared" si="35"/>
        <v>11</v>
      </c>
      <c r="HA34" s="47"/>
      <c r="HB34" s="50"/>
      <c r="HC34" s="59">
        <v>11</v>
      </c>
      <c r="HD34" s="56">
        <f t="shared" si="36"/>
        <v>11</v>
      </c>
      <c r="HE34" s="47"/>
      <c r="HF34" s="50"/>
      <c r="HG34" s="59">
        <v>11</v>
      </c>
      <c r="HH34" s="56">
        <f t="shared" si="37"/>
        <v>11</v>
      </c>
      <c r="HI34" s="52"/>
      <c r="HJ34" s="50"/>
      <c r="HK34" s="59">
        <v>11</v>
      </c>
      <c r="HL34" s="56">
        <f t="shared" si="38"/>
        <v>11</v>
      </c>
      <c r="HM34" s="53"/>
      <c r="HN34" s="50"/>
      <c r="HO34" s="54" t="e">
        <f t="shared" si="39"/>
        <v>#REF!</v>
      </c>
      <c r="HP34" s="54" t="e">
        <f t="shared" si="40"/>
        <v>#REF!</v>
      </c>
      <c r="HQ34" s="59">
        <v>11</v>
      </c>
      <c r="HR34" s="56">
        <f t="shared" si="41"/>
        <v>11</v>
      </c>
      <c r="HS34" s="43"/>
      <c r="HT34" s="42"/>
      <c r="HU34" s="59">
        <v>11</v>
      </c>
      <c r="HV34" s="56">
        <f t="shared" si="42"/>
        <v>11</v>
      </c>
      <c r="HW34" s="43"/>
      <c r="HX34" s="42"/>
      <c r="HY34" s="59">
        <v>11</v>
      </c>
      <c r="HZ34" s="56">
        <f t="shared" si="43"/>
        <v>11</v>
      </c>
      <c r="IA34" s="43"/>
      <c r="IB34" s="42"/>
      <c r="IC34" s="59">
        <v>11</v>
      </c>
      <c r="ID34" s="56">
        <f t="shared" si="44"/>
        <v>11</v>
      </c>
      <c r="IE34" s="43"/>
      <c r="IF34" s="42"/>
      <c r="IG34" s="59">
        <v>11</v>
      </c>
      <c r="IH34" s="56">
        <f t="shared" si="45"/>
        <v>11</v>
      </c>
      <c r="II34" s="44"/>
      <c r="IJ34" s="42"/>
      <c r="IK34" s="59">
        <v>11</v>
      </c>
      <c r="IL34" s="56">
        <f t="shared" si="46"/>
        <v>11</v>
      </c>
      <c r="IM34" s="47"/>
      <c r="IN34" s="57"/>
      <c r="IO34" s="59">
        <v>11</v>
      </c>
      <c r="IP34" s="56">
        <f t="shared" si="47"/>
        <v>11</v>
      </c>
      <c r="IQ34" s="47"/>
      <c r="IR34" s="50"/>
      <c r="IS34" s="59">
        <v>11</v>
      </c>
      <c r="IT34" s="56">
        <f t="shared" si="48"/>
        <v>11</v>
      </c>
      <c r="IU34" s="47"/>
      <c r="IV34" s="50"/>
      <c r="IW34" s="59">
        <v>11</v>
      </c>
      <c r="IX34" s="56">
        <f t="shared" si="49"/>
        <v>11</v>
      </c>
      <c r="IY34" s="47"/>
      <c r="IZ34" s="50"/>
      <c r="JA34" s="59">
        <v>11</v>
      </c>
      <c r="JB34" s="56">
        <f t="shared" si="50"/>
        <v>11</v>
      </c>
      <c r="JC34" s="47"/>
      <c r="JD34" s="50"/>
      <c r="JE34" s="59">
        <v>11</v>
      </c>
      <c r="JF34" s="56">
        <f t="shared" si="51"/>
        <v>11</v>
      </c>
      <c r="JG34" s="52"/>
      <c r="JH34" s="50"/>
      <c r="JI34" s="59">
        <v>11</v>
      </c>
      <c r="JJ34" s="56">
        <f t="shared" si="52"/>
        <v>11</v>
      </c>
      <c r="JK34" s="53"/>
      <c r="JL34" s="50"/>
      <c r="JM34" s="54">
        <f t="shared" si="53"/>
        <v>132</v>
      </c>
      <c r="JN34" s="54">
        <f t="shared" si="54"/>
        <v>40939.335360000005</v>
      </c>
    </row>
    <row r="35" spans="1:274">
      <c r="A35" s="249"/>
      <c r="B35" s="250"/>
      <c r="C35" s="250"/>
      <c r="D35" s="249"/>
      <c r="E35" s="36">
        <v>30</v>
      </c>
      <c r="F35" s="37"/>
      <c r="G35" s="38">
        <v>4460087100</v>
      </c>
      <c r="H35" s="39" t="s">
        <v>72</v>
      </c>
      <c r="I35" s="71">
        <v>457.94399615999993</v>
      </c>
      <c r="J35" s="36"/>
      <c r="K35" s="36"/>
      <c r="L35" s="36"/>
      <c r="M35" s="41"/>
      <c r="N35" s="42"/>
      <c r="O35" s="43"/>
      <c r="P35" s="42"/>
      <c r="Q35" s="41"/>
      <c r="R35" s="42"/>
      <c r="S35" s="43"/>
      <c r="T35" s="42"/>
      <c r="U35" s="41"/>
      <c r="V35" s="42"/>
      <c r="W35" s="43"/>
      <c r="X35" s="42"/>
      <c r="Y35" s="41"/>
      <c r="Z35" s="42"/>
      <c r="AA35" s="43"/>
      <c r="AB35" s="42"/>
      <c r="AC35" s="41"/>
      <c r="AD35" s="42"/>
      <c r="AE35" s="44"/>
      <c r="AF35" s="42"/>
      <c r="AG35" s="45"/>
      <c r="AH35" s="46"/>
      <c r="AI35" s="47"/>
      <c r="AJ35" s="253"/>
      <c r="AK35" s="45"/>
      <c r="AL35" s="49"/>
      <c r="AM35" s="47"/>
      <c r="AN35" s="50"/>
      <c r="AO35" s="45"/>
      <c r="AP35" s="42"/>
      <c r="AQ35" s="43"/>
      <c r="AR35" s="51"/>
      <c r="AS35" s="45"/>
      <c r="AT35" s="49"/>
      <c r="AU35" s="47"/>
      <c r="AV35" s="50"/>
      <c r="AW35" s="45"/>
      <c r="AX35" s="49"/>
      <c r="AY35" s="47"/>
      <c r="AZ35" s="50"/>
      <c r="BA35" s="45"/>
      <c r="BB35" s="49"/>
      <c r="BC35" s="52"/>
      <c r="BD35" s="50"/>
      <c r="BE35" s="45"/>
      <c r="BF35" s="49"/>
      <c r="BG35" s="53"/>
      <c r="BH35" s="50"/>
      <c r="BI35" s="54"/>
      <c r="BJ35" s="54"/>
      <c r="BK35" s="41">
        <v>9</v>
      </c>
      <c r="BL35" s="55">
        <f t="shared" si="2"/>
        <v>8</v>
      </c>
      <c r="BM35" s="56">
        <v>9</v>
      </c>
      <c r="BN35" s="43">
        <v>5</v>
      </c>
      <c r="BO35" s="42"/>
      <c r="BP35" s="41">
        <v>9</v>
      </c>
      <c r="BQ35" s="55">
        <f t="shared" si="3"/>
        <v>8</v>
      </c>
      <c r="BR35" s="56">
        <v>9</v>
      </c>
      <c r="BS35" s="43">
        <v>2</v>
      </c>
      <c r="BT35" s="42"/>
      <c r="BU35" s="41">
        <v>9</v>
      </c>
      <c r="BV35" s="55">
        <f t="shared" si="4"/>
        <v>8</v>
      </c>
      <c r="BW35" s="56">
        <v>9</v>
      </c>
      <c r="BX35" s="43">
        <v>0</v>
      </c>
      <c r="BY35" s="42"/>
      <c r="BZ35" s="41">
        <v>9</v>
      </c>
      <c r="CA35" s="55">
        <f t="shared" si="5"/>
        <v>8</v>
      </c>
      <c r="CB35" s="56">
        <v>9</v>
      </c>
      <c r="CC35" s="43">
        <v>0</v>
      </c>
      <c r="CD35" s="42"/>
      <c r="CE35" s="41">
        <v>9</v>
      </c>
      <c r="CF35" s="55">
        <f t="shared" si="6"/>
        <v>8</v>
      </c>
      <c r="CG35" s="56">
        <v>9</v>
      </c>
      <c r="CH35" s="44">
        <v>0</v>
      </c>
      <c r="CI35" s="42"/>
      <c r="CJ35" s="41">
        <v>9</v>
      </c>
      <c r="CK35" s="55">
        <f t="shared" si="7"/>
        <v>8</v>
      </c>
      <c r="CL35" s="56">
        <v>9</v>
      </c>
      <c r="CM35" s="47">
        <v>5</v>
      </c>
      <c r="CN35" s="57"/>
      <c r="CO35" s="41">
        <v>9</v>
      </c>
      <c r="CP35" s="55">
        <f t="shared" si="8"/>
        <v>8</v>
      </c>
      <c r="CQ35" s="56">
        <v>9</v>
      </c>
      <c r="CR35" s="47"/>
      <c r="CS35" s="50"/>
      <c r="CT35" s="41">
        <v>9</v>
      </c>
      <c r="CU35" s="55">
        <f t="shared" si="9"/>
        <v>8</v>
      </c>
      <c r="CV35" s="56">
        <v>9</v>
      </c>
      <c r="CW35" s="47"/>
      <c r="CX35" s="50"/>
      <c r="CY35" s="41">
        <v>9</v>
      </c>
      <c r="CZ35" s="55">
        <f t="shared" si="10"/>
        <v>8</v>
      </c>
      <c r="DA35" s="56">
        <v>9</v>
      </c>
      <c r="DB35" s="47"/>
      <c r="DC35" s="50"/>
      <c r="DD35" s="41">
        <v>9</v>
      </c>
      <c r="DE35" s="55">
        <f t="shared" si="11"/>
        <v>8</v>
      </c>
      <c r="DF35" s="56">
        <v>9</v>
      </c>
      <c r="DG35" s="47">
        <v>2</v>
      </c>
      <c r="DH35" s="50"/>
      <c r="DI35" s="41">
        <v>9</v>
      </c>
      <c r="DJ35" s="55">
        <f t="shared" si="12"/>
        <v>8</v>
      </c>
      <c r="DK35" s="56">
        <v>9</v>
      </c>
      <c r="DL35" s="52"/>
      <c r="DM35" s="50"/>
      <c r="DN35" s="41">
        <v>9</v>
      </c>
      <c r="DO35" s="55">
        <f t="shared" si="13"/>
        <v>8</v>
      </c>
      <c r="DP35" s="56">
        <v>9</v>
      </c>
      <c r="DQ35" s="53">
        <v>5</v>
      </c>
      <c r="DR35" s="50"/>
      <c r="DS35" s="54">
        <f t="shared" si="14"/>
        <v>108</v>
      </c>
      <c r="DT35" s="54">
        <f t="shared" si="15"/>
        <v>49457.951585279989</v>
      </c>
      <c r="DU35" s="41">
        <v>2</v>
      </c>
      <c r="DV35" s="56">
        <f t="shared" si="68"/>
        <v>2</v>
      </c>
      <c r="DW35" s="43">
        <v>6</v>
      </c>
      <c r="DX35" s="42"/>
      <c r="DY35" s="41">
        <v>2</v>
      </c>
      <c r="DZ35" s="56">
        <f t="shared" si="69"/>
        <v>2</v>
      </c>
      <c r="EA35" s="43">
        <v>17</v>
      </c>
      <c r="EB35" s="42"/>
      <c r="EC35" s="41">
        <v>2</v>
      </c>
      <c r="ED35" s="56">
        <v>20</v>
      </c>
      <c r="EE35" s="43">
        <v>5</v>
      </c>
      <c r="EF35" s="42"/>
      <c r="EG35" s="41">
        <v>2</v>
      </c>
      <c r="EH35" s="56">
        <v>20</v>
      </c>
      <c r="EI35" s="43">
        <v>9</v>
      </c>
      <c r="EJ35" s="42"/>
      <c r="EK35" s="41">
        <v>2</v>
      </c>
      <c r="EL35" s="56">
        <v>20</v>
      </c>
      <c r="EM35" s="44">
        <v>13</v>
      </c>
      <c r="EN35" s="42"/>
      <c r="EO35" s="41">
        <v>2</v>
      </c>
      <c r="EP35" s="56">
        <v>20</v>
      </c>
      <c r="EQ35" s="47"/>
      <c r="ER35" s="57"/>
      <c r="ES35" s="41">
        <v>2</v>
      </c>
      <c r="ET35" s="56">
        <v>20</v>
      </c>
      <c r="EU35" s="47"/>
      <c r="EV35" s="50"/>
      <c r="EW35" s="41">
        <v>2</v>
      </c>
      <c r="EX35" s="56">
        <v>20</v>
      </c>
      <c r="EY35" s="47"/>
      <c r="EZ35" s="50"/>
      <c r="FA35" s="41">
        <v>2</v>
      </c>
      <c r="FB35" s="56">
        <v>20</v>
      </c>
      <c r="FC35" s="47"/>
      <c r="FD35" s="50"/>
      <c r="FE35" s="41">
        <v>2</v>
      </c>
      <c r="FF35" s="56">
        <v>20</v>
      </c>
      <c r="FG35" s="47"/>
      <c r="FH35" s="50"/>
      <c r="FI35" s="41">
        <v>2</v>
      </c>
      <c r="FJ35" s="241">
        <v>20</v>
      </c>
      <c r="FK35" s="52"/>
      <c r="FL35" s="50"/>
      <c r="FM35" s="41">
        <v>2</v>
      </c>
      <c r="FN35" s="241">
        <v>20</v>
      </c>
      <c r="FO35" s="53"/>
      <c r="FP35" s="50"/>
      <c r="FQ35" s="54">
        <f t="shared" si="25"/>
        <v>24</v>
      </c>
      <c r="FR35" s="54">
        <f t="shared" si="26"/>
        <v>10990.655907839999</v>
      </c>
      <c r="FS35" s="58" t="e">
        <v>#REF!</v>
      </c>
      <c r="FT35" s="56" t="e">
        <f t="shared" si="27"/>
        <v>#REF!</v>
      </c>
      <c r="FU35" s="43"/>
      <c r="FV35" s="42"/>
      <c r="FW35" s="58">
        <v>9.7874999999999996</v>
      </c>
      <c r="FX35" s="56">
        <f t="shared" si="28"/>
        <v>9</v>
      </c>
      <c r="FY35" s="43"/>
      <c r="FZ35" s="42"/>
      <c r="GA35" s="59">
        <v>12.375000000000002</v>
      </c>
      <c r="GB35" s="56">
        <f t="shared" si="29"/>
        <v>12</v>
      </c>
      <c r="GC35" s="43"/>
      <c r="GD35" s="42"/>
      <c r="GE35" s="59">
        <v>12.375000000000002</v>
      </c>
      <c r="GF35" s="56">
        <f t="shared" si="30"/>
        <v>12</v>
      </c>
      <c r="GG35" s="43"/>
      <c r="GH35" s="42"/>
      <c r="GI35" s="59">
        <v>12.375000000000002</v>
      </c>
      <c r="GJ35" s="56">
        <f t="shared" si="31"/>
        <v>12</v>
      </c>
      <c r="GK35" s="44"/>
      <c r="GL35" s="42"/>
      <c r="GM35" s="59">
        <v>12.375000000000002</v>
      </c>
      <c r="GN35" s="56">
        <f t="shared" si="32"/>
        <v>12</v>
      </c>
      <c r="GO35" s="47"/>
      <c r="GP35" s="57"/>
      <c r="GQ35" s="59">
        <v>12.375000000000002</v>
      </c>
      <c r="GR35" s="56">
        <f t="shared" si="33"/>
        <v>12</v>
      </c>
      <c r="GS35" s="47"/>
      <c r="GT35" s="50"/>
      <c r="GU35" s="59">
        <v>12.375000000000002</v>
      </c>
      <c r="GV35" s="56">
        <f t="shared" si="34"/>
        <v>12</v>
      </c>
      <c r="GW35" s="47"/>
      <c r="GX35" s="50"/>
      <c r="GY35" s="59">
        <v>12.375000000000002</v>
      </c>
      <c r="GZ35" s="56">
        <f t="shared" si="35"/>
        <v>12</v>
      </c>
      <c r="HA35" s="47"/>
      <c r="HB35" s="50"/>
      <c r="HC35" s="59">
        <v>12.375000000000002</v>
      </c>
      <c r="HD35" s="56">
        <f t="shared" si="36"/>
        <v>12</v>
      </c>
      <c r="HE35" s="47"/>
      <c r="HF35" s="50"/>
      <c r="HG35" s="59">
        <v>12.375000000000002</v>
      </c>
      <c r="HH35" s="56">
        <f t="shared" si="37"/>
        <v>12</v>
      </c>
      <c r="HI35" s="52"/>
      <c r="HJ35" s="50"/>
      <c r="HK35" s="59">
        <v>12.375000000000002</v>
      </c>
      <c r="HL35" s="56">
        <f t="shared" si="38"/>
        <v>12</v>
      </c>
      <c r="HM35" s="53"/>
      <c r="HN35" s="50"/>
      <c r="HO35" s="54" t="e">
        <f t="shared" si="39"/>
        <v>#REF!</v>
      </c>
      <c r="HP35" s="54" t="e">
        <f t="shared" si="40"/>
        <v>#REF!</v>
      </c>
      <c r="HQ35" s="59">
        <v>12.375000000000002</v>
      </c>
      <c r="HR35" s="56">
        <f t="shared" si="41"/>
        <v>12</v>
      </c>
      <c r="HS35" s="43"/>
      <c r="HT35" s="42"/>
      <c r="HU35" s="59">
        <v>12.375000000000002</v>
      </c>
      <c r="HV35" s="56">
        <f t="shared" si="42"/>
        <v>12</v>
      </c>
      <c r="HW35" s="43"/>
      <c r="HX35" s="42"/>
      <c r="HY35" s="59">
        <v>12.375000000000002</v>
      </c>
      <c r="HZ35" s="56">
        <f t="shared" si="43"/>
        <v>12</v>
      </c>
      <c r="IA35" s="43"/>
      <c r="IB35" s="42"/>
      <c r="IC35" s="59">
        <v>12.375000000000002</v>
      </c>
      <c r="ID35" s="56">
        <f t="shared" si="44"/>
        <v>12</v>
      </c>
      <c r="IE35" s="43"/>
      <c r="IF35" s="42"/>
      <c r="IG35" s="59">
        <v>12.375000000000002</v>
      </c>
      <c r="IH35" s="56">
        <f t="shared" si="45"/>
        <v>12</v>
      </c>
      <c r="II35" s="44"/>
      <c r="IJ35" s="42"/>
      <c r="IK35" s="59">
        <v>12.375000000000002</v>
      </c>
      <c r="IL35" s="56">
        <f t="shared" si="46"/>
        <v>12</v>
      </c>
      <c r="IM35" s="47"/>
      <c r="IN35" s="57"/>
      <c r="IO35" s="59">
        <v>12.375000000000002</v>
      </c>
      <c r="IP35" s="56">
        <f t="shared" si="47"/>
        <v>12</v>
      </c>
      <c r="IQ35" s="47"/>
      <c r="IR35" s="50"/>
      <c r="IS35" s="59">
        <v>12.375000000000002</v>
      </c>
      <c r="IT35" s="56">
        <f t="shared" si="48"/>
        <v>12</v>
      </c>
      <c r="IU35" s="47"/>
      <c r="IV35" s="50"/>
      <c r="IW35" s="59">
        <v>12.375000000000002</v>
      </c>
      <c r="IX35" s="56">
        <f t="shared" si="49"/>
        <v>12</v>
      </c>
      <c r="IY35" s="47"/>
      <c r="IZ35" s="50"/>
      <c r="JA35" s="59">
        <v>12.375000000000002</v>
      </c>
      <c r="JB35" s="56">
        <f t="shared" si="50"/>
        <v>12</v>
      </c>
      <c r="JC35" s="47"/>
      <c r="JD35" s="50"/>
      <c r="JE35" s="59">
        <v>12.375000000000002</v>
      </c>
      <c r="JF35" s="56">
        <f t="shared" si="51"/>
        <v>12</v>
      </c>
      <c r="JG35" s="52"/>
      <c r="JH35" s="50"/>
      <c r="JI35" s="59">
        <v>12.375000000000002</v>
      </c>
      <c r="JJ35" s="56">
        <f t="shared" si="52"/>
        <v>12</v>
      </c>
      <c r="JK35" s="53"/>
      <c r="JL35" s="50"/>
      <c r="JM35" s="54">
        <f t="shared" si="53"/>
        <v>148.50000000000003</v>
      </c>
      <c r="JN35" s="54">
        <f t="shared" si="54"/>
        <v>68004.68342976</v>
      </c>
    </row>
    <row r="36" spans="1:274">
      <c r="A36" s="249"/>
      <c r="B36" s="250"/>
      <c r="C36" s="250"/>
      <c r="D36" s="249"/>
      <c r="E36" s="36">
        <v>31</v>
      </c>
      <c r="F36" s="37"/>
      <c r="G36" s="38">
        <v>4491731200</v>
      </c>
      <c r="H36" s="39" t="s">
        <v>73</v>
      </c>
      <c r="I36" s="71">
        <v>650.56162080000013</v>
      </c>
      <c r="J36" s="36"/>
      <c r="K36" s="36"/>
      <c r="L36" s="36"/>
      <c r="M36" s="41"/>
      <c r="N36" s="42"/>
      <c r="O36" s="43"/>
      <c r="P36" s="42"/>
      <c r="Q36" s="41"/>
      <c r="R36" s="42"/>
      <c r="S36" s="43"/>
      <c r="T36" s="42"/>
      <c r="U36" s="41"/>
      <c r="V36" s="42"/>
      <c r="W36" s="43"/>
      <c r="X36" s="42"/>
      <c r="Y36" s="41"/>
      <c r="Z36" s="42"/>
      <c r="AA36" s="43"/>
      <c r="AB36" s="42"/>
      <c r="AC36" s="41"/>
      <c r="AD36" s="42"/>
      <c r="AE36" s="44"/>
      <c r="AF36" s="42"/>
      <c r="AG36" s="45"/>
      <c r="AH36" s="46"/>
      <c r="AI36" s="47"/>
      <c r="AJ36" s="253"/>
      <c r="AK36" s="45"/>
      <c r="AL36" s="49"/>
      <c r="AM36" s="47"/>
      <c r="AN36" s="50"/>
      <c r="AO36" s="45"/>
      <c r="AP36" s="42"/>
      <c r="AQ36" s="43"/>
      <c r="AR36" s="51"/>
      <c r="AS36" s="45"/>
      <c r="AT36" s="49"/>
      <c r="AU36" s="47"/>
      <c r="AV36" s="50"/>
      <c r="AW36" s="45"/>
      <c r="AX36" s="49"/>
      <c r="AY36" s="47"/>
      <c r="AZ36" s="50"/>
      <c r="BA36" s="45"/>
      <c r="BB36" s="49"/>
      <c r="BC36" s="52"/>
      <c r="BD36" s="50"/>
      <c r="BE36" s="45"/>
      <c r="BF36" s="49"/>
      <c r="BG36" s="53"/>
      <c r="BH36" s="50"/>
      <c r="BI36" s="54"/>
      <c r="BJ36" s="54"/>
      <c r="BK36" s="41">
        <v>2</v>
      </c>
      <c r="BL36" s="55">
        <f t="shared" si="2"/>
        <v>2</v>
      </c>
      <c r="BM36" s="56">
        <v>2</v>
      </c>
      <c r="BN36" s="43">
        <v>6</v>
      </c>
      <c r="BO36" s="42"/>
      <c r="BP36" s="41">
        <v>2</v>
      </c>
      <c r="BQ36" s="55">
        <f t="shared" si="3"/>
        <v>2</v>
      </c>
      <c r="BR36" s="56">
        <v>2</v>
      </c>
      <c r="BS36" s="43">
        <v>1</v>
      </c>
      <c r="BT36" s="42"/>
      <c r="BU36" s="41">
        <v>2</v>
      </c>
      <c r="BV36" s="55">
        <f t="shared" si="4"/>
        <v>2</v>
      </c>
      <c r="BW36" s="56">
        <v>2</v>
      </c>
      <c r="BX36" s="43">
        <v>6</v>
      </c>
      <c r="BY36" s="42"/>
      <c r="BZ36" s="41">
        <v>2</v>
      </c>
      <c r="CA36" s="55">
        <f t="shared" si="5"/>
        <v>2</v>
      </c>
      <c r="CB36" s="56">
        <v>2</v>
      </c>
      <c r="CC36" s="43">
        <v>10</v>
      </c>
      <c r="CD36" s="42"/>
      <c r="CE36" s="41">
        <v>2</v>
      </c>
      <c r="CF36" s="55">
        <f t="shared" si="6"/>
        <v>2</v>
      </c>
      <c r="CG36" s="56">
        <v>2</v>
      </c>
      <c r="CH36" s="44">
        <v>10</v>
      </c>
      <c r="CI36" s="42"/>
      <c r="CJ36" s="41">
        <v>2</v>
      </c>
      <c r="CK36" s="55">
        <f t="shared" si="7"/>
        <v>2</v>
      </c>
      <c r="CL36" s="56">
        <v>2</v>
      </c>
      <c r="CM36" s="47">
        <v>1</v>
      </c>
      <c r="CN36" s="57"/>
      <c r="CO36" s="41">
        <v>2</v>
      </c>
      <c r="CP36" s="55">
        <f t="shared" si="8"/>
        <v>2</v>
      </c>
      <c r="CQ36" s="56">
        <v>2</v>
      </c>
      <c r="CR36" s="47"/>
      <c r="CS36" s="50"/>
      <c r="CT36" s="41">
        <v>2</v>
      </c>
      <c r="CU36" s="55">
        <f t="shared" si="9"/>
        <v>2</v>
      </c>
      <c r="CV36" s="56">
        <v>2</v>
      </c>
      <c r="CW36" s="47"/>
      <c r="CX36" s="50"/>
      <c r="CY36" s="41">
        <v>2</v>
      </c>
      <c r="CZ36" s="55">
        <f t="shared" si="10"/>
        <v>2</v>
      </c>
      <c r="DA36" s="56">
        <v>2</v>
      </c>
      <c r="DB36" s="47"/>
      <c r="DC36" s="50"/>
      <c r="DD36" s="41">
        <v>2</v>
      </c>
      <c r="DE36" s="55">
        <f t="shared" si="11"/>
        <v>2</v>
      </c>
      <c r="DF36" s="56">
        <v>2</v>
      </c>
      <c r="DG36" s="47">
        <v>5</v>
      </c>
      <c r="DH36" s="50"/>
      <c r="DI36" s="41">
        <v>2</v>
      </c>
      <c r="DJ36" s="55">
        <f t="shared" si="12"/>
        <v>2</v>
      </c>
      <c r="DK36" s="56">
        <v>2</v>
      </c>
      <c r="DL36" s="52"/>
      <c r="DM36" s="50"/>
      <c r="DN36" s="41">
        <v>2</v>
      </c>
      <c r="DO36" s="55">
        <f t="shared" si="13"/>
        <v>2</v>
      </c>
      <c r="DP36" s="56">
        <v>2</v>
      </c>
      <c r="DQ36" s="53"/>
      <c r="DR36" s="50"/>
      <c r="DS36" s="54">
        <f t="shared" si="14"/>
        <v>24</v>
      </c>
      <c r="DT36" s="54">
        <f t="shared" si="15"/>
        <v>15613.478899200003</v>
      </c>
      <c r="DU36" s="41">
        <v>4</v>
      </c>
      <c r="DV36" s="56">
        <f t="shared" si="68"/>
        <v>4</v>
      </c>
      <c r="DW36" s="43"/>
      <c r="DX36" s="42"/>
      <c r="DY36" s="41">
        <v>4</v>
      </c>
      <c r="DZ36" s="56">
        <f t="shared" si="69"/>
        <v>4</v>
      </c>
      <c r="EA36" s="43">
        <v>2</v>
      </c>
      <c r="EB36" s="42"/>
      <c r="EC36" s="41">
        <v>4</v>
      </c>
      <c r="ED36" s="56">
        <f>ROUNDDOWN(EC36,0)</f>
        <v>4</v>
      </c>
      <c r="EE36" s="43">
        <v>2</v>
      </c>
      <c r="EF36" s="42"/>
      <c r="EG36" s="41">
        <v>4</v>
      </c>
      <c r="EH36" s="56">
        <f t="shared" ref="EH36:EH41" si="70">ROUNDDOWN(EG36,0)</f>
        <v>4</v>
      </c>
      <c r="EI36" s="43"/>
      <c r="EJ36" s="42"/>
      <c r="EK36" s="41">
        <v>4</v>
      </c>
      <c r="EL36" s="56">
        <f t="shared" ref="EL36:EL41" si="71">ROUNDDOWN(EK36,0)</f>
        <v>4</v>
      </c>
      <c r="EM36" s="44">
        <v>5</v>
      </c>
      <c r="EN36" s="42"/>
      <c r="EO36" s="41">
        <v>4</v>
      </c>
      <c r="EP36" s="56">
        <f t="shared" ref="EP36:EP43" si="72">ROUNDDOWN(EO36,0)</f>
        <v>4</v>
      </c>
      <c r="EQ36" s="47"/>
      <c r="ER36" s="57"/>
      <c r="ES36" s="41">
        <v>4</v>
      </c>
      <c r="ET36" s="56">
        <f t="shared" ref="ET36:ET43" si="73">ROUNDDOWN(ES36,0)</f>
        <v>4</v>
      </c>
      <c r="EU36" s="47"/>
      <c r="EV36" s="50"/>
      <c r="EW36" s="41">
        <v>4</v>
      </c>
      <c r="EX36" s="56">
        <f t="shared" ref="EX36:EX44" si="74">ROUNDDOWN(EW36,0)</f>
        <v>4</v>
      </c>
      <c r="EY36" s="47"/>
      <c r="EZ36" s="50"/>
      <c r="FA36" s="41">
        <v>4</v>
      </c>
      <c r="FB36" s="56">
        <f t="shared" ref="FB36:FB44" si="75">ROUNDDOWN(FA36,0)</f>
        <v>4</v>
      </c>
      <c r="FC36" s="47"/>
      <c r="FD36" s="50"/>
      <c r="FE36" s="41">
        <v>4</v>
      </c>
      <c r="FF36" s="56">
        <f t="shared" ref="FF36:FF44" si="76">ROUNDDOWN(FE36,0)</f>
        <v>4</v>
      </c>
      <c r="FG36" s="47"/>
      <c r="FH36" s="50"/>
      <c r="FI36" s="41">
        <v>4</v>
      </c>
      <c r="FJ36" s="241">
        <f t="shared" ref="FJ36:FJ44" si="77">ROUNDDOWN(FI36,0)</f>
        <v>4</v>
      </c>
      <c r="FK36" s="52"/>
      <c r="FL36" s="50"/>
      <c r="FM36" s="41">
        <v>4</v>
      </c>
      <c r="FN36" s="241">
        <f t="shared" ref="FN36:FN44" si="78">ROUNDDOWN(FM36,0)</f>
        <v>4</v>
      </c>
      <c r="FO36" s="53"/>
      <c r="FP36" s="50"/>
      <c r="FQ36" s="54">
        <f t="shared" si="25"/>
        <v>48</v>
      </c>
      <c r="FR36" s="54">
        <f t="shared" si="26"/>
        <v>31226.957798400006</v>
      </c>
      <c r="FS36" s="58" t="e">
        <v>#REF!</v>
      </c>
      <c r="FT36" s="56" t="e">
        <f t="shared" si="27"/>
        <v>#REF!</v>
      </c>
      <c r="FU36" s="43"/>
      <c r="FV36" s="42"/>
      <c r="FW36" s="58">
        <v>2.1749999999999998</v>
      </c>
      <c r="FX36" s="56">
        <f t="shared" si="28"/>
        <v>2</v>
      </c>
      <c r="FY36" s="43"/>
      <c r="FZ36" s="42"/>
      <c r="GA36" s="59">
        <v>2.75</v>
      </c>
      <c r="GB36" s="56">
        <f t="shared" si="29"/>
        <v>2</v>
      </c>
      <c r="GC36" s="43"/>
      <c r="GD36" s="42"/>
      <c r="GE36" s="59">
        <v>2.75</v>
      </c>
      <c r="GF36" s="56">
        <f t="shared" si="30"/>
        <v>2</v>
      </c>
      <c r="GG36" s="43"/>
      <c r="GH36" s="42"/>
      <c r="GI36" s="59">
        <v>2.75</v>
      </c>
      <c r="GJ36" s="56">
        <f t="shared" si="31"/>
        <v>2</v>
      </c>
      <c r="GK36" s="44"/>
      <c r="GL36" s="42"/>
      <c r="GM36" s="59">
        <v>2.75</v>
      </c>
      <c r="GN36" s="56">
        <f t="shared" si="32"/>
        <v>2</v>
      </c>
      <c r="GO36" s="47"/>
      <c r="GP36" s="57"/>
      <c r="GQ36" s="59">
        <v>2.75</v>
      </c>
      <c r="GR36" s="56">
        <f t="shared" si="33"/>
        <v>2</v>
      </c>
      <c r="GS36" s="47"/>
      <c r="GT36" s="50"/>
      <c r="GU36" s="59">
        <v>2.75</v>
      </c>
      <c r="GV36" s="56">
        <f t="shared" si="34"/>
        <v>2</v>
      </c>
      <c r="GW36" s="47"/>
      <c r="GX36" s="50"/>
      <c r="GY36" s="59">
        <v>2.75</v>
      </c>
      <c r="GZ36" s="56">
        <f t="shared" si="35"/>
        <v>2</v>
      </c>
      <c r="HA36" s="47"/>
      <c r="HB36" s="50"/>
      <c r="HC36" s="59">
        <v>2.75</v>
      </c>
      <c r="HD36" s="56">
        <f t="shared" si="36"/>
        <v>2</v>
      </c>
      <c r="HE36" s="47"/>
      <c r="HF36" s="50"/>
      <c r="HG36" s="59">
        <v>2.75</v>
      </c>
      <c r="HH36" s="56">
        <f t="shared" si="37"/>
        <v>2</v>
      </c>
      <c r="HI36" s="52"/>
      <c r="HJ36" s="50"/>
      <c r="HK36" s="59">
        <v>2.75</v>
      </c>
      <c r="HL36" s="56">
        <f t="shared" si="38"/>
        <v>2</v>
      </c>
      <c r="HM36" s="53"/>
      <c r="HN36" s="50"/>
      <c r="HO36" s="54" t="e">
        <f t="shared" si="39"/>
        <v>#REF!</v>
      </c>
      <c r="HP36" s="54" t="e">
        <f t="shared" si="40"/>
        <v>#REF!</v>
      </c>
      <c r="HQ36" s="59">
        <v>2.75</v>
      </c>
      <c r="HR36" s="56">
        <f t="shared" si="41"/>
        <v>2</v>
      </c>
      <c r="HS36" s="43"/>
      <c r="HT36" s="42"/>
      <c r="HU36" s="59">
        <v>2.75</v>
      </c>
      <c r="HV36" s="56">
        <f t="shared" si="42"/>
        <v>2</v>
      </c>
      <c r="HW36" s="43"/>
      <c r="HX36" s="42"/>
      <c r="HY36" s="59">
        <v>2.75</v>
      </c>
      <c r="HZ36" s="56">
        <f t="shared" si="43"/>
        <v>2</v>
      </c>
      <c r="IA36" s="43"/>
      <c r="IB36" s="42"/>
      <c r="IC36" s="59">
        <v>2.75</v>
      </c>
      <c r="ID36" s="56">
        <f t="shared" si="44"/>
        <v>2</v>
      </c>
      <c r="IE36" s="43"/>
      <c r="IF36" s="42"/>
      <c r="IG36" s="59">
        <v>2.75</v>
      </c>
      <c r="IH36" s="56">
        <f t="shared" si="45"/>
        <v>2</v>
      </c>
      <c r="II36" s="44"/>
      <c r="IJ36" s="42"/>
      <c r="IK36" s="59">
        <v>2.75</v>
      </c>
      <c r="IL36" s="56">
        <f t="shared" si="46"/>
        <v>2</v>
      </c>
      <c r="IM36" s="47"/>
      <c r="IN36" s="57"/>
      <c r="IO36" s="59">
        <v>2.75</v>
      </c>
      <c r="IP36" s="56">
        <f t="shared" si="47"/>
        <v>2</v>
      </c>
      <c r="IQ36" s="47"/>
      <c r="IR36" s="50"/>
      <c r="IS36" s="59">
        <v>2.75</v>
      </c>
      <c r="IT36" s="56">
        <f t="shared" si="48"/>
        <v>2</v>
      </c>
      <c r="IU36" s="47"/>
      <c r="IV36" s="50"/>
      <c r="IW36" s="59">
        <v>2.75</v>
      </c>
      <c r="IX36" s="56">
        <f t="shared" si="49"/>
        <v>2</v>
      </c>
      <c r="IY36" s="47"/>
      <c r="IZ36" s="50"/>
      <c r="JA36" s="59">
        <v>2.75</v>
      </c>
      <c r="JB36" s="56">
        <f t="shared" si="50"/>
        <v>2</v>
      </c>
      <c r="JC36" s="47"/>
      <c r="JD36" s="50"/>
      <c r="JE36" s="59">
        <v>2.75</v>
      </c>
      <c r="JF36" s="56">
        <f t="shared" si="51"/>
        <v>2</v>
      </c>
      <c r="JG36" s="52"/>
      <c r="JH36" s="50"/>
      <c r="JI36" s="59">
        <v>2.75</v>
      </c>
      <c r="JJ36" s="56">
        <f t="shared" si="52"/>
        <v>2</v>
      </c>
      <c r="JK36" s="53"/>
      <c r="JL36" s="50"/>
      <c r="JM36" s="54">
        <f t="shared" si="53"/>
        <v>33</v>
      </c>
      <c r="JN36" s="54">
        <f t="shared" si="54"/>
        <v>21468.533486400003</v>
      </c>
    </row>
    <row r="37" spans="1:274">
      <c r="A37" s="249"/>
      <c r="B37" s="250"/>
      <c r="C37" s="250"/>
      <c r="D37" s="249"/>
      <c r="E37" s="36">
        <v>32</v>
      </c>
      <c r="F37" s="37"/>
      <c r="G37" s="38">
        <v>4721950180</v>
      </c>
      <c r="H37" s="39" t="s">
        <v>74</v>
      </c>
      <c r="I37" s="71">
        <v>277.52159999999998</v>
      </c>
      <c r="J37" s="36"/>
      <c r="K37" s="36"/>
      <c r="L37" s="36"/>
      <c r="M37" s="41"/>
      <c r="N37" s="42"/>
      <c r="O37" s="43"/>
      <c r="P37" s="42"/>
      <c r="Q37" s="41"/>
      <c r="R37" s="42"/>
      <c r="S37" s="43"/>
      <c r="T37" s="42"/>
      <c r="U37" s="41"/>
      <c r="V37" s="42"/>
      <c r="W37" s="43"/>
      <c r="X37" s="42"/>
      <c r="Y37" s="41"/>
      <c r="Z37" s="42"/>
      <c r="AA37" s="43"/>
      <c r="AB37" s="42"/>
      <c r="AC37" s="41"/>
      <c r="AD37" s="42"/>
      <c r="AE37" s="44"/>
      <c r="AF37" s="42"/>
      <c r="AG37" s="45"/>
      <c r="AH37" s="46"/>
      <c r="AI37" s="47"/>
      <c r="AJ37" s="253"/>
      <c r="AK37" s="45"/>
      <c r="AL37" s="49"/>
      <c r="AM37" s="47"/>
      <c r="AN37" s="50"/>
      <c r="AO37" s="45"/>
      <c r="AP37" s="42"/>
      <c r="AQ37" s="43"/>
      <c r="AR37" s="51"/>
      <c r="AS37" s="45"/>
      <c r="AT37" s="49"/>
      <c r="AU37" s="47"/>
      <c r="AV37" s="50"/>
      <c r="AW37" s="45"/>
      <c r="AX37" s="49"/>
      <c r="AY37" s="47"/>
      <c r="AZ37" s="50"/>
      <c r="BA37" s="45"/>
      <c r="BB37" s="49"/>
      <c r="BC37" s="52"/>
      <c r="BD37" s="50"/>
      <c r="BE37" s="45"/>
      <c r="BF37" s="49"/>
      <c r="BG37" s="53"/>
      <c r="BH37" s="50"/>
      <c r="BI37" s="54"/>
      <c r="BJ37" s="54"/>
      <c r="BK37" s="41">
        <v>20</v>
      </c>
      <c r="BL37" s="55">
        <f t="shared" si="2"/>
        <v>18</v>
      </c>
      <c r="BM37" s="56">
        <v>20</v>
      </c>
      <c r="BN37" s="43">
        <v>20</v>
      </c>
      <c r="BO37" s="42"/>
      <c r="BP37" s="41">
        <v>20</v>
      </c>
      <c r="BQ37" s="55">
        <f t="shared" si="3"/>
        <v>18</v>
      </c>
      <c r="BR37" s="56">
        <v>20</v>
      </c>
      <c r="BS37" s="43">
        <v>100</v>
      </c>
      <c r="BT37" s="42"/>
      <c r="BU37" s="41">
        <v>20</v>
      </c>
      <c r="BV37" s="55">
        <f t="shared" si="4"/>
        <v>18</v>
      </c>
      <c r="BW37" s="56">
        <v>20</v>
      </c>
      <c r="BX37" s="43">
        <v>0</v>
      </c>
      <c r="BY37" s="42"/>
      <c r="BZ37" s="41">
        <v>20</v>
      </c>
      <c r="CA37" s="55">
        <f t="shared" si="5"/>
        <v>18</v>
      </c>
      <c r="CB37" s="56">
        <v>20</v>
      </c>
      <c r="CC37" s="43">
        <v>67</v>
      </c>
      <c r="CD37" s="42"/>
      <c r="CE37" s="41">
        <v>20</v>
      </c>
      <c r="CF37" s="55">
        <f t="shared" si="6"/>
        <v>18</v>
      </c>
      <c r="CG37" s="56">
        <v>20</v>
      </c>
      <c r="CH37" s="44">
        <v>50</v>
      </c>
      <c r="CI37" s="42"/>
      <c r="CJ37" s="41">
        <v>20</v>
      </c>
      <c r="CK37" s="55">
        <f t="shared" si="7"/>
        <v>18</v>
      </c>
      <c r="CL37" s="56">
        <v>20</v>
      </c>
      <c r="CM37" s="47">
        <v>10</v>
      </c>
      <c r="CN37" s="57"/>
      <c r="CO37" s="41">
        <v>20</v>
      </c>
      <c r="CP37" s="55">
        <f t="shared" si="8"/>
        <v>18</v>
      </c>
      <c r="CQ37" s="56">
        <v>20</v>
      </c>
      <c r="CR37" s="47">
        <v>48</v>
      </c>
      <c r="CS37" s="50"/>
      <c r="CT37" s="41">
        <v>20</v>
      </c>
      <c r="CU37" s="55">
        <f t="shared" si="9"/>
        <v>18</v>
      </c>
      <c r="CV37" s="56">
        <v>20</v>
      </c>
      <c r="CW37" s="47">
        <v>20</v>
      </c>
      <c r="CX37" s="50"/>
      <c r="CY37" s="41">
        <v>20</v>
      </c>
      <c r="CZ37" s="55">
        <f t="shared" si="10"/>
        <v>18</v>
      </c>
      <c r="DA37" s="56">
        <v>20</v>
      </c>
      <c r="DB37" s="47">
        <v>70</v>
      </c>
      <c r="DC37" s="50"/>
      <c r="DD37" s="41">
        <v>20</v>
      </c>
      <c r="DE37" s="55">
        <f t="shared" si="11"/>
        <v>18</v>
      </c>
      <c r="DF37" s="56">
        <v>20</v>
      </c>
      <c r="DG37" s="47">
        <v>10</v>
      </c>
      <c r="DH37" s="50"/>
      <c r="DI37" s="41">
        <v>20</v>
      </c>
      <c r="DJ37" s="55">
        <f t="shared" si="12"/>
        <v>18</v>
      </c>
      <c r="DK37" s="56">
        <v>20</v>
      </c>
      <c r="DL37" s="52">
        <v>10</v>
      </c>
      <c r="DM37" s="50"/>
      <c r="DN37" s="41">
        <v>20</v>
      </c>
      <c r="DO37" s="55">
        <f t="shared" si="13"/>
        <v>18</v>
      </c>
      <c r="DP37" s="56">
        <v>20</v>
      </c>
      <c r="DQ37" s="53">
        <v>40</v>
      </c>
      <c r="DR37" s="50"/>
      <c r="DS37" s="54">
        <f t="shared" si="14"/>
        <v>240</v>
      </c>
      <c r="DT37" s="54">
        <f t="shared" si="15"/>
        <v>66605.183999999994</v>
      </c>
      <c r="DU37" s="41">
        <v>34</v>
      </c>
      <c r="DV37" s="56">
        <f t="shared" si="68"/>
        <v>34</v>
      </c>
      <c r="DW37" s="43">
        <v>190</v>
      </c>
      <c r="DX37" s="42"/>
      <c r="DY37" s="41">
        <v>34</v>
      </c>
      <c r="DZ37" s="56">
        <f t="shared" si="69"/>
        <v>34</v>
      </c>
      <c r="EA37" s="43">
        <v>13</v>
      </c>
      <c r="EB37" s="42"/>
      <c r="EC37" s="41">
        <v>34</v>
      </c>
      <c r="ED37" s="56">
        <v>60</v>
      </c>
      <c r="EE37" s="43">
        <v>25</v>
      </c>
      <c r="EF37" s="42"/>
      <c r="EG37" s="41">
        <v>34</v>
      </c>
      <c r="EH37" s="56">
        <f t="shared" si="70"/>
        <v>34</v>
      </c>
      <c r="EI37" s="43">
        <v>142</v>
      </c>
      <c r="EJ37" s="42"/>
      <c r="EK37" s="41">
        <v>34</v>
      </c>
      <c r="EL37" s="56">
        <f t="shared" si="71"/>
        <v>34</v>
      </c>
      <c r="EM37" s="44">
        <v>13</v>
      </c>
      <c r="EN37" s="42"/>
      <c r="EO37" s="41">
        <v>34</v>
      </c>
      <c r="EP37" s="56">
        <f t="shared" si="72"/>
        <v>34</v>
      </c>
      <c r="EQ37" s="47"/>
      <c r="ER37" s="57"/>
      <c r="ES37" s="41">
        <v>34</v>
      </c>
      <c r="ET37" s="56">
        <f t="shared" si="73"/>
        <v>34</v>
      </c>
      <c r="EU37" s="47"/>
      <c r="EV37" s="50"/>
      <c r="EW37" s="41">
        <v>34</v>
      </c>
      <c r="EX37" s="56">
        <f t="shared" si="74"/>
        <v>34</v>
      </c>
      <c r="EY37" s="47"/>
      <c r="EZ37" s="50"/>
      <c r="FA37" s="41">
        <v>34</v>
      </c>
      <c r="FB37" s="56">
        <f t="shared" si="75"/>
        <v>34</v>
      </c>
      <c r="FC37" s="47"/>
      <c r="FD37" s="50"/>
      <c r="FE37" s="41">
        <v>34</v>
      </c>
      <c r="FF37" s="56">
        <f t="shared" si="76"/>
        <v>34</v>
      </c>
      <c r="FG37" s="47"/>
      <c r="FH37" s="50"/>
      <c r="FI37" s="41">
        <v>34</v>
      </c>
      <c r="FJ37" s="241">
        <f t="shared" si="77"/>
        <v>34</v>
      </c>
      <c r="FK37" s="52"/>
      <c r="FL37" s="50"/>
      <c r="FM37" s="41">
        <v>34</v>
      </c>
      <c r="FN37" s="241">
        <f t="shared" si="78"/>
        <v>34</v>
      </c>
      <c r="FO37" s="53"/>
      <c r="FP37" s="50"/>
      <c r="FQ37" s="54">
        <f t="shared" si="25"/>
        <v>408</v>
      </c>
      <c r="FR37" s="54">
        <f t="shared" si="26"/>
        <v>113228.81279999999</v>
      </c>
      <c r="FS37" s="58" t="e">
        <v>#REF!</v>
      </c>
      <c r="FT37" s="56" t="e">
        <f t="shared" si="27"/>
        <v>#REF!</v>
      </c>
      <c r="FU37" s="43"/>
      <c r="FV37" s="42"/>
      <c r="FW37" s="58">
        <v>21.75</v>
      </c>
      <c r="FX37" s="56">
        <f t="shared" si="28"/>
        <v>21</v>
      </c>
      <c r="FY37" s="43"/>
      <c r="FZ37" s="42"/>
      <c r="GA37" s="59">
        <v>27.500000000000004</v>
      </c>
      <c r="GB37" s="56">
        <f t="shared" si="29"/>
        <v>27</v>
      </c>
      <c r="GC37" s="43"/>
      <c r="GD37" s="42"/>
      <c r="GE37" s="59">
        <v>27.500000000000004</v>
      </c>
      <c r="GF37" s="56">
        <f t="shared" si="30"/>
        <v>27</v>
      </c>
      <c r="GG37" s="43"/>
      <c r="GH37" s="42"/>
      <c r="GI37" s="59">
        <v>27.500000000000004</v>
      </c>
      <c r="GJ37" s="56">
        <f t="shared" si="31"/>
        <v>27</v>
      </c>
      <c r="GK37" s="44"/>
      <c r="GL37" s="42"/>
      <c r="GM37" s="59">
        <v>27.500000000000004</v>
      </c>
      <c r="GN37" s="56">
        <f t="shared" si="32"/>
        <v>27</v>
      </c>
      <c r="GO37" s="47"/>
      <c r="GP37" s="57"/>
      <c r="GQ37" s="59">
        <v>27.500000000000004</v>
      </c>
      <c r="GR37" s="56">
        <f t="shared" si="33"/>
        <v>27</v>
      </c>
      <c r="GS37" s="47"/>
      <c r="GT37" s="50"/>
      <c r="GU37" s="59">
        <v>27.500000000000004</v>
      </c>
      <c r="GV37" s="56">
        <f t="shared" si="34"/>
        <v>27</v>
      </c>
      <c r="GW37" s="47"/>
      <c r="GX37" s="50"/>
      <c r="GY37" s="59">
        <v>27.500000000000004</v>
      </c>
      <c r="GZ37" s="56">
        <f t="shared" si="35"/>
        <v>27</v>
      </c>
      <c r="HA37" s="47"/>
      <c r="HB37" s="50"/>
      <c r="HC37" s="59">
        <v>27.500000000000004</v>
      </c>
      <c r="HD37" s="56">
        <f t="shared" si="36"/>
        <v>27</v>
      </c>
      <c r="HE37" s="47"/>
      <c r="HF37" s="50"/>
      <c r="HG37" s="59">
        <v>27.500000000000004</v>
      </c>
      <c r="HH37" s="56">
        <f t="shared" si="37"/>
        <v>27</v>
      </c>
      <c r="HI37" s="52"/>
      <c r="HJ37" s="50"/>
      <c r="HK37" s="59">
        <v>27.500000000000004</v>
      </c>
      <c r="HL37" s="56">
        <f t="shared" si="38"/>
        <v>27</v>
      </c>
      <c r="HM37" s="53"/>
      <c r="HN37" s="50"/>
      <c r="HO37" s="54" t="e">
        <f t="shared" si="39"/>
        <v>#REF!</v>
      </c>
      <c r="HP37" s="54" t="e">
        <f t="shared" si="40"/>
        <v>#REF!</v>
      </c>
      <c r="HQ37" s="59">
        <v>27.500000000000004</v>
      </c>
      <c r="HR37" s="56">
        <f t="shared" si="41"/>
        <v>27</v>
      </c>
      <c r="HS37" s="43"/>
      <c r="HT37" s="42"/>
      <c r="HU37" s="59">
        <v>27.500000000000004</v>
      </c>
      <c r="HV37" s="56">
        <f t="shared" si="42"/>
        <v>27</v>
      </c>
      <c r="HW37" s="43"/>
      <c r="HX37" s="42"/>
      <c r="HY37" s="59">
        <v>27.500000000000004</v>
      </c>
      <c r="HZ37" s="56">
        <f t="shared" si="43"/>
        <v>27</v>
      </c>
      <c r="IA37" s="43"/>
      <c r="IB37" s="42"/>
      <c r="IC37" s="59">
        <v>27.500000000000004</v>
      </c>
      <c r="ID37" s="56">
        <f t="shared" si="44"/>
        <v>27</v>
      </c>
      <c r="IE37" s="43"/>
      <c r="IF37" s="42"/>
      <c r="IG37" s="59">
        <v>27.500000000000004</v>
      </c>
      <c r="IH37" s="56">
        <f t="shared" si="45"/>
        <v>27</v>
      </c>
      <c r="II37" s="44"/>
      <c r="IJ37" s="42"/>
      <c r="IK37" s="59">
        <v>27.500000000000004</v>
      </c>
      <c r="IL37" s="56">
        <f t="shared" si="46"/>
        <v>27</v>
      </c>
      <c r="IM37" s="47"/>
      <c r="IN37" s="57"/>
      <c r="IO37" s="59">
        <v>27.500000000000004</v>
      </c>
      <c r="IP37" s="56">
        <f t="shared" si="47"/>
        <v>27</v>
      </c>
      <c r="IQ37" s="47"/>
      <c r="IR37" s="50"/>
      <c r="IS37" s="59">
        <v>27.500000000000004</v>
      </c>
      <c r="IT37" s="56">
        <f t="shared" si="48"/>
        <v>27</v>
      </c>
      <c r="IU37" s="47"/>
      <c r="IV37" s="50"/>
      <c r="IW37" s="59">
        <v>27.500000000000004</v>
      </c>
      <c r="IX37" s="56">
        <f t="shared" si="49"/>
        <v>27</v>
      </c>
      <c r="IY37" s="47"/>
      <c r="IZ37" s="50"/>
      <c r="JA37" s="59">
        <v>27.500000000000004</v>
      </c>
      <c r="JB37" s="56">
        <f t="shared" si="50"/>
        <v>27</v>
      </c>
      <c r="JC37" s="47"/>
      <c r="JD37" s="50"/>
      <c r="JE37" s="59">
        <v>27.500000000000004</v>
      </c>
      <c r="JF37" s="56">
        <f t="shared" si="51"/>
        <v>27</v>
      </c>
      <c r="JG37" s="52"/>
      <c r="JH37" s="50"/>
      <c r="JI37" s="59">
        <v>27.500000000000004</v>
      </c>
      <c r="JJ37" s="56">
        <f t="shared" si="52"/>
        <v>27</v>
      </c>
      <c r="JK37" s="53"/>
      <c r="JL37" s="50"/>
      <c r="JM37" s="54">
        <f t="shared" si="53"/>
        <v>330.00000000000006</v>
      </c>
      <c r="JN37" s="54">
        <f t="shared" si="54"/>
        <v>91582.128000000012</v>
      </c>
    </row>
    <row r="38" spans="1:274">
      <c r="A38" s="249"/>
      <c r="B38" s="250"/>
      <c r="C38" s="250"/>
      <c r="D38" s="249"/>
      <c r="E38" s="36">
        <v>33</v>
      </c>
      <c r="F38" s="37"/>
      <c r="G38" s="38">
        <v>9253761210</v>
      </c>
      <c r="H38" s="39" t="s">
        <v>75</v>
      </c>
      <c r="I38" s="71">
        <v>230.56472466081405</v>
      </c>
      <c r="J38" s="36"/>
      <c r="K38" s="36"/>
      <c r="L38" s="36"/>
      <c r="M38" s="41"/>
      <c r="N38" s="42"/>
      <c r="O38" s="43"/>
      <c r="P38" s="42"/>
      <c r="Q38" s="41"/>
      <c r="R38" s="42"/>
      <c r="S38" s="43"/>
      <c r="T38" s="42"/>
      <c r="U38" s="41"/>
      <c r="V38" s="42"/>
      <c r="W38" s="43"/>
      <c r="X38" s="42"/>
      <c r="Y38" s="41"/>
      <c r="Z38" s="42"/>
      <c r="AA38" s="43"/>
      <c r="AB38" s="42"/>
      <c r="AC38" s="41"/>
      <c r="AD38" s="42"/>
      <c r="AE38" s="44"/>
      <c r="AF38" s="42"/>
      <c r="AG38" s="45"/>
      <c r="AH38" s="46"/>
      <c r="AI38" s="47"/>
      <c r="AJ38" s="253"/>
      <c r="AK38" s="45"/>
      <c r="AL38" s="49"/>
      <c r="AM38" s="47"/>
      <c r="AN38" s="50"/>
      <c r="AO38" s="45"/>
      <c r="AP38" s="42"/>
      <c r="AQ38" s="43"/>
      <c r="AR38" s="51"/>
      <c r="AS38" s="45"/>
      <c r="AT38" s="49"/>
      <c r="AU38" s="47"/>
      <c r="AV38" s="50"/>
      <c r="AW38" s="45"/>
      <c r="AX38" s="49"/>
      <c r="AY38" s="47"/>
      <c r="AZ38" s="50"/>
      <c r="BA38" s="45"/>
      <c r="BB38" s="49"/>
      <c r="BC38" s="52"/>
      <c r="BD38" s="50"/>
      <c r="BE38" s="45"/>
      <c r="BF38" s="49"/>
      <c r="BG38" s="53"/>
      <c r="BH38" s="50"/>
      <c r="BI38" s="54"/>
      <c r="BJ38" s="54"/>
      <c r="BK38" s="41">
        <v>3</v>
      </c>
      <c r="BL38" s="55">
        <f t="shared" ref="BL38:BL62" si="79">ROUND((BK38*0.9),0)</f>
        <v>3</v>
      </c>
      <c r="BM38" s="56">
        <v>3</v>
      </c>
      <c r="BN38" s="43">
        <v>0</v>
      </c>
      <c r="BO38" s="42"/>
      <c r="BP38" s="41">
        <v>3</v>
      </c>
      <c r="BQ38" s="55">
        <f t="shared" ref="BQ38:BQ62" si="80">ROUND((BP38*0.9),0)</f>
        <v>3</v>
      </c>
      <c r="BR38" s="56">
        <v>3</v>
      </c>
      <c r="BS38" s="43">
        <v>4</v>
      </c>
      <c r="BT38" s="42"/>
      <c r="BU38" s="41">
        <v>3</v>
      </c>
      <c r="BV38" s="55">
        <f t="shared" ref="BV38:BV62" si="81">ROUND((BU38*0.9),0)</f>
        <v>3</v>
      </c>
      <c r="BW38" s="56">
        <v>3</v>
      </c>
      <c r="BX38" s="43">
        <v>0</v>
      </c>
      <c r="BY38" s="42"/>
      <c r="BZ38" s="41">
        <v>3</v>
      </c>
      <c r="CA38" s="55">
        <f t="shared" ref="CA38:CA62" si="82">ROUND((BZ38*0.9),0)</f>
        <v>3</v>
      </c>
      <c r="CB38" s="56">
        <v>3</v>
      </c>
      <c r="CC38" s="43">
        <v>0</v>
      </c>
      <c r="CD38" s="42"/>
      <c r="CE38" s="41">
        <v>3</v>
      </c>
      <c r="CF38" s="55">
        <f t="shared" ref="CF38:CF62" si="83">ROUND((CE38*0.9),0)</f>
        <v>3</v>
      </c>
      <c r="CG38" s="56">
        <v>3</v>
      </c>
      <c r="CH38" s="44">
        <v>0</v>
      </c>
      <c r="CI38" s="42"/>
      <c r="CJ38" s="41">
        <v>3</v>
      </c>
      <c r="CK38" s="55">
        <f t="shared" ref="CK38:CK62" si="84">ROUND((CJ38*0.9),0)</f>
        <v>3</v>
      </c>
      <c r="CL38" s="56">
        <v>3</v>
      </c>
      <c r="CM38" s="47">
        <v>18</v>
      </c>
      <c r="CN38" s="57"/>
      <c r="CO38" s="41">
        <v>3</v>
      </c>
      <c r="CP38" s="55">
        <f t="shared" ref="CP38:CP62" si="85">ROUND((CO38*0.9),0)</f>
        <v>3</v>
      </c>
      <c r="CQ38" s="56">
        <v>3</v>
      </c>
      <c r="CR38" s="47">
        <v>4</v>
      </c>
      <c r="CS38" s="50"/>
      <c r="CT38" s="41">
        <v>3</v>
      </c>
      <c r="CU38" s="55">
        <f t="shared" ref="CU38:CU62" si="86">ROUND((CT38*0.9),0)</f>
        <v>3</v>
      </c>
      <c r="CV38" s="56">
        <v>3</v>
      </c>
      <c r="CW38" s="47"/>
      <c r="CX38" s="50"/>
      <c r="CY38" s="41">
        <v>3</v>
      </c>
      <c r="CZ38" s="55">
        <f t="shared" ref="CZ38:CZ62" si="87">ROUND((CY38*0.9),0)</f>
        <v>3</v>
      </c>
      <c r="DA38" s="56">
        <v>3</v>
      </c>
      <c r="DB38" s="47"/>
      <c r="DC38" s="50"/>
      <c r="DD38" s="41">
        <v>3</v>
      </c>
      <c r="DE38" s="55">
        <f t="shared" ref="DE38:DE62" si="88">ROUND((DD38*0.9),0)</f>
        <v>3</v>
      </c>
      <c r="DF38" s="56">
        <v>3</v>
      </c>
      <c r="DG38" s="47">
        <v>6</v>
      </c>
      <c r="DH38" s="50"/>
      <c r="DI38" s="41">
        <v>3</v>
      </c>
      <c r="DJ38" s="55">
        <f t="shared" ref="DJ38:DJ62" si="89">ROUND((DI38*0.9),0)</f>
        <v>3</v>
      </c>
      <c r="DK38" s="56">
        <v>3</v>
      </c>
      <c r="DL38" s="52"/>
      <c r="DM38" s="50"/>
      <c r="DN38" s="41">
        <v>3</v>
      </c>
      <c r="DO38" s="55">
        <f t="shared" ref="DO38:DO62" si="90">ROUND((DN38*0.9),0)</f>
        <v>3</v>
      </c>
      <c r="DP38" s="56">
        <v>3</v>
      </c>
      <c r="DQ38" s="53"/>
      <c r="DR38" s="50"/>
      <c r="DS38" s="54">
        <f t="shared" ref="DS38:DS62" si="91">BK38+BP38+BU38+BZ38+CE38+CJ38+CO38+CT38+CY38+DD38+DI38+DN38</f>
        <v>36</v>
      </c>
      <c r="DT38" s="54">
        <f t="shared" ref="DT38:DT62" si="92">DS38*$I38</f>
        <v>8300.3300877893053</v>
      </c>
      <c r="DU38" s="41">
        <v>3</v>
      </c>
      <c r="DV38" s="56">
        <f t="shared" si="68"/>
        <v>3</v>
      </c>
      <c r="DW38" s="43"/>
      <c r="DX38" s="42"/>
      <c r="DY38" s="41">
        <v>3</v>
      </c>
      <c r="DZ38" s="56">
        <f t="shared" si="69"/>
        <v>3</v>
      </c>
      <c r="EA38" s="43">
        <v>3</v>
      </c>
      <c r="EB38" s="42"/>
      <c r="EC38" s="41">
        <v>3</v>
      </c>
      <c r="ED38" s="56">
        <f>ROUNDDOWN(EC38,0)</f>
        <v>3</v>
      </c>
      <c r="EE38" s="43"/>
      <c r="EF38" s="42"/>
      <c r="EG38" s="41">
        <v>3</v>
      </c>
      <c r="EH38" s="56">
        <f t="shared" si="70"/>
        <v>3</v>
      </c>
      <c r="EI38" s="43">
        <v>20</v>
      </c>
      <c r="EJ38" s="42"/>
      <c r="EK38" s="41">
        <v>3</v>
      </c>
      <c r="EL38" s="56">
        <f t="shared" si="71"/>
        <v>3</v>
      </c>
      <c r="EM38" s="44">
        <v>25</v>
      </c>
      <c r="EN38" s="42"/>
      <c r="EO38" s="41">
        <v>3</v>
      </c>
      <c r="EP38" s="56">
        <f t="shared" si="72"/>
        <v>3</v>
      </c>
      <c r="EQ38" s="47"/>
      <c r="ER38" s="57"/>
      <c r="ES38" s="41">
        <v>3</v>
      </c>
      <c r="ET38" s="56">
        <f t="shared" si="73"/>
        <v>3</v>
      </c>
      <c r="EU38" s="47"/>
      <c r="EV38" s="50"/>
      <c r="EW38" s="41">
        <v>3</v>
      </c>
      <c r="EX38" s="56">
        <f t="shared" si="74"/>
        <v>3</v>
      </c>
      <c r="EY38" s="47"/>
      <c r="EZ38" s="50"/>
      <c r="FA38" s="41">
        <v>3</v>
      </c>
      <c r="FB38" s="56">
        <f t="shared" si="75"/>
        <v>3</v>
      </c>
      <c r="FC38" s="47"/>
      <c r="FD38" s="50"/>
      <c r="FE38" s="41">
        <v>3</v>
      </c>
      <c r="FF38" s="56">
        <f t="shared" si="76"/>
        <v>3</v>
      </c>
      <c r="FG38" s="47"/>
      <c r="FH38" s="50"/>
      <c r="FI38" s="41">
        <v>3</v>
      </c>
      <c r="FJ38" s="241">
        <f t="shared" si="77"/>
        <v>3</v>
      </c>
      <c r="FK38" s="52"/>
      <c r="FL38" s="50"/>
      <c r="FM38" s="41">
        <v>3</v>
      </c>
      <c r="FN38" s="241">
        <f t="shared" si="78"/>
        <v>3</v>
      </c>
      <c r="FO38" s="53"/>
      <c r="FP38" s="50"/>
      <c r="FQ38" s="54">
        <f t="shared" ref="FQ38:FQ68" si="93">DU38+DY38+EC38+EG38+EK38+EO38+ES38+EW38+FA38+FE38+FI38+FM38</f>
        <v>36</v>
      </c>
      <c r="FR38" s="54">
        <f t="shared" ref="FR38:FR68" si="94">FQ38*$I38</f>
        <v>8300.3300877893053</v>
      </c>
      <c r="FS38" s="58" t="e">
        <v>#REF!</v>
      </c>
      <c r="FT38" s="56" t="e">
        <f t="shared" ref="FT38:FT68" si="95">ROUNDDOWN(FS38,0)</f>
        <v>#REF!</v>
      </c>
      <c r="FU38" s="43"/>
      <c r="FV38" s="42"/>
      <c r="FW38" s="58">
        <v>3.2625000000000002</v>
      </c>
      <c r="FX38" s="56">
        <f t="shared" ref="FX38:FX68" si="96">ROUNDDOWN(FW38,0)</f>
        <v>3</v>
      </c>
      <c r="FY38" s="43"/>
      <c r="FZ38" s="42"/>
      <c r="GA38" s="59">
        <v>4.125</v>
      </c>
      <c r="GB38" s="56">
        <f t="shared" ref="GB38:GB68" si="97">ROUNDDOWN(GA38,0)</f>
        <v>4</v>
      </c>
      <c r="GC38" s="43"/>
      <c r="GD38" s="42"/>
      <c r="GE38" s="59">
        <v>4.125</v>
      </c>
      <c r="GF38" s="56">
        <f t="shared" ref="GF38:GF68" si="98">ROUNDDOWN(GE38,0)</f>
        <v>4</v>
      </c>
      <c r="GG38" s="43"/>
      <c r="GH38" s="42"/>
      <c r="GI38" s="59">
        <v>4.125</v>
      </c>
      <c r="GJ38" s="56">
        <f t="shared" ref="GJ38:GJ68" si="99">ROUNDDOWN(GI38,0)</f>
        <v>4</v>
      </c>
      <c r="GK38" s="44"/>
      <c r="GL38" s="42"/>
      <c r="GM38" s="59">
        <v>4.125</v>
      </c>
      <c r="GN38" s="56">
        <f t="shared" ref="GN38:GN68" si="100">ROUNDDOWN(GM38,0)</f>
        <v>4</v>
      </c>
      <c r="GO38" s="47"/>
      <c r="GP38" s="57"/>
      <c r="GQ38" s="59">
        <v>4.125</v>
      </c>
      <c r="GR38" s="56">
        <f t="shared" ref="GR38:GR68" si="101">ROUNDDOWN(GQ38,0)</f>
        <v>4</v>
      </c>
      <c r="GS38" s="47"/>
      <c r="GT38" s="50"/>
      <c r="GU38" s="59">
        <v>4.125</v>
      </c>
      <c r="GV38" s="56">
        <f t="shared" ref="GV38:GV68" si="102">ROUNDDOWN(GU38,0)</f>
        <v>4</v>
      </c>
      <c r="GW38" s="47"/>
      <c r="GX38" s="50"/>
      <c r="GY38" s="59">
        <v>4.125</v>
      </c>
      <c r="GZ38" s="56">
        <f t="shared" ref="GZ38:GZ68" si="103">ROUNDDOWN(GY38,0)</f>
        <v>4</v>
      </c>
      <c r="HA38" s="47"/>
      <c r="HB38" s="50"/>
      <c r="HC38" s="59">
        <v>4.125</v>
      </c>
      <c r="HD38" s="56">
        <f t="shared" ref="HD38:HD68" si="104">ROUNDDOWN(HC38,0)</f>
        <v>4</v>
      </c>
      <c r="HE38" s="47"/>
      <c r="HF38" s="50"/>
      <c r="HG38" s="59">
        <v>4.125</v>
      </c>
      <c r="HH38" s="56">
        <f t="shared" ref="HH38:HH68" si="105">ROUNDDOWN(HG38,0)</f>
        <v>4</v>
      </c>
      <c r="HI38" s="52"/>
      <c r="HJ38" s="50"/>
      <c r="HK38" s="59">
        <v>4.125</v>
      </c>
      <c r="HL38" s="56">
        <f t="shared" ref="HL38:HL68" si="106">ROUNDDOWN(HK38,0)</f>
        <v>4</v>
      </c>
      <c r="HM38" s="53"/>
      <c r="HN38" s="50"/>
      <c r="HO38" s="54" t="e">
        <f t="shared" ref="HO38:HO68" si="107">FS38+FW38+GA38+GE38+GI38+GM38+GQ38+GU38+GY38+HC38+HG38+HK38</f>
        <v>#REF!</v>
      </c>
      <c r="HP38" s="54" t="e">
        <f t="shared" ref="HP38:HP68" si="108">HO38*$I38</f>
        <v>#REF!</v>
      </c>
      <c r="HQ38" s="59">
        <v>4.125</v>
      </c>
      <c r="HR38" s="56">
        <f t="shared" ref="HR38:HR68" si="109">ROUNDDOWN(HQ38,0)</f>
        <v>4</v>
      </c>
      <c r="HS38" s="43"/>
      <c r="HT38" s="42"/>
      <c r="HU38" s="59">
        <v>4.125</v>
      </c>
      <c r="HV38" s="56">
        <f t="shared" ref="HV38:HV68" si="110">ROUNDDOWN(HU38,0)</f>
        <v>4</v>
      </c>
      <c r="HW38" s="43"/>
      <c r="HX38" s="42"/>
      <c r="HY38" s="59">
        <v>4.125</v>
      </c>
      <c r="HZ38" s="56">
        <f t="shared" ref="HZ38:HZ68" si="111">ROUNDDOWN(HY38,0)</f>
        <v>4</v>
      </c>
      <c r="IA38" s="43"/>
      <c r="IB38" s="42"/>
      <c r="IC38" s="59">
        <v>4.125</v>
      </c>
      <c r="ID38" s="56">
        <f t="shared" ref="ID38:ID68" si="112">ROUNDDOWN(IC38,0)</f>
        <v>4</v>
      </c>
      <c r="IE38" s="43"/>
      <c r="IF38" s="42"/>
      <c r="IG38" s="59">
        <v>4.125</v>
      </c>
      <c r="IH38" s="56">
        <f t="shared" ref="IH38:IH68" si="113">ROUNDDOWN(IG38,0)</f>
        <v>4</v>
      </c>
      <c r="II38" s="44"/>
      <c r="IJ38" s="42"/>
      <c r="IK38" s="59">
        <v>4.125</v>
      </c>
      <c r="IL38" s="56">
        <f t="shared" ref="IL38:IL68" si="114">ROUNDDOWN(IK38,0)</f>
        <v>4</v>
      </c>
      <c r="IM38" s="47"/>
      <c r="IN38" s="57"/>
      <c r="IO38" s="59">
        <v>4.125</v>
      </c>
      <c r="IP38" s="56">
        <f t="shared" ref="IP38:IP68" si="115">ROUNDDOWN(IO38,0)</f>
        <v>4</v>
      </c>
      <c r="IQ38" s="47"/>
      <c r="IR38" s="50"/>
      <c r="IS38" s="59">
        <v>4.125</v>
      </c>
      <c r="IT38" s="56">
        <f t="shared" ref="IT38:IT68" si="116">ROUNDDOWN(IS38,0)</f>
        <v>4</v>
      </c>
      <c r="IU38" s="47"/>
      <c r="IV38" s="50"/>
      <c r="IW38" s="59">
        <v>4.125</v>
      </c>
      <c r="IX38" s="56">
        <f t="shared" ref="IX38:IX68" si="117">ROUNDDOWN(IW38,0)</f>
        <v>4</v>
      </c>
      <c r="IY38" s="47"/>
      <c r="IZ38" s="50"/>
      <c r="JA38" s="59">
        <v>4.125</v>
      </c>
      <c r="JB38" s="56">
        <f t="shared" ref="JB38:JB68" si="118">ROUNDDOWN(JA38,0)</f>
        <v>4</v>
      </c>
      <c r="JC38" s="47"/>
      <c r="JD38" s="50"/>
      <c r="JE38" s="59">
        <v>4.125</v>
      </c>
      <c r="JF38" s="56">
        <f t="shared" ref="JF38:JF68" si="119">ROUNDDOWN(JE38,0)</f>
        <v>4</v>
      </c>
      <c r="JG38" s="52"/>
      <c r="JH38" s="50"/>
      <c r="JI38" s="59">
        <v>4.125</v>
      </c>
      <c r="JJ38" s="56">
        <f t="shared" ref="JJ38:JJ68" si="120">ROUNDDOWN(JI38,0)</f>
        <v>4</v>
      </c>
      <c r="JK38" s="53"/>
      <c r="JL38" s="50"/>
      <c r="JM38" s="54">
        <f t="shared" ref="JM38:JM68" si="121">HQ38+HU38+HY38+IC38+IG38+IK38+IO38+IS38+IW38+JA38+JE38+JI38</f>
        <v>49.5</v>
      </c>
      <c r="JN38" s="54">
        <f t="shared" ref="JN38:JN68" si="122">JM38*$I38</f>
        <v>11412.953870710295</v>
      </c>
    </row>
    <row r="39" spans="1:274">
      <c r="A39" s="249"/>
      <c r="B39" s="250"/>
      <c r="C39" s="250"/>
      <c r="D39" s="249"/>
      <c r="E39" s="36">
        <v>34</v>
      </c>
      <c r="F39" s="37"/>
      <c r="G39" s="38">
        <v>9253771100</v>
      </c>
      <c r="H39" s="39" t="s">
        <v>76</v>
      </c>
      <c r="I39" s="71">
        <v>234.47533918595374</v>
      </c>
      <c r="J39" s="36"/>
      <c r="K39" s="36"/>
      <c r="L39" s="36"/>
      <c r="M39" s="41"/>
      <c r="N39" s="42"/>
      <c r="O39" s="43"/>
      <c r="P39" s="42"/>
      <c r="Q39" s="41"/>
      <c r="R39" s="42"/>
      <c r="S39" s="43"/>
      <c r="T39" s="42"/>
      <c r="U39" s="41"/>
      <c r="V39" s="42"/>
      <c r="W39" s="43"/>
      <c r="X39" s="42"/>
      <c r="Y39" s="41"/>
      <c r="Z39" s="42"/>
      <c r="AA39" s="43"/>
      <c r="AB39" s="42"/>
      <c r="AC39" s="41"/>
      <c r="AD39" s="42"/>
      <c r="AE39" s="44"/>
      <c r="AF39" s="42"/>
      <c r="AG39" s="45"/>
      <c r="AH39" s="46"/>
      <c r="AI39" s="47"/>
      <c r="AJ39" s="253"/>
      <c r="AK39" s="45"/>
      <c r="AL39" s="49"/>
      <c r="AM39" s="47"/>
      <c r="AN39" s="50"/>
      <c r="AO39" s="45"/>
      <c r="AP39" s="42"/>
      <c r="AQ39" s="43"/>
      <c r="AR39" s="51"/>
      <c r="AS39" s="45"/>
      <c r="AT39" s="49"/>
      <c r="AU39" s="47"/>
      <c r="AV39" s="50"/>
      <c r="AW39" s="45"/>
      <c r="AX39" s="49"/>
      <c r="AY39" s="47"/>
      <c r="AZ39" s="50"/>
      <c r="BA39" s="45"/>
      <c r="BB39" s="49"/>
      <c r="BC39" s="52"/>
      <c r="BD39" s="50"/>
      <c r="BE39" s="45"/>
      <c r="BF39" s="49"/>
      <c r="BG39" s="53"/>
      <c r="BH39" s="50"/>
      <c r="BI39" s="54"/>
      <c r="BJ39" s="54"/>
      <c r="BK39" s="41">
        <v>6</v>
      </c>
      <c r="BL39" s="55">
        <f t="shared" si="79"/>
        <v>5</v>
      </c>
      <c r="BM39" s="56">
        <v>6</v>
      </c>
      <c r="BN39" s="43">
        <v>0</v>
      </c>
      <c r="BO39" s="42"/>
      <c r="BP39" s="41">
        <v>6</v>
      </c>
      <c r="BQ39" s="55">
        <f t="shared" si="80"/>
        <v>5</v>
      </c>
      <c r="BR39" s="56">
        <v>6</v>
      </c>
      <c r="BS39" s="43">
        <v>4</v>
      </c>
      <c r="BT39" s="42"/>
      <c r="BU39" s="41">
        <v>6</v>
      </c>
      <c r="BV39" s="55">
        <f t="shared" si="81"/>
        <v>5</v>
      </c>
      <c r="BW39" s="56">
        <v>6</v>
      </c>
      <c r="BX39" s="43">
        <v>0</v>
      </c>
      <c r="BY39" s="42"/>
      <c r="BZ39" s="41">
        <v>6</v>
      </c>
      <c r="CA39" s="55">
        <f t="shared" si="82"/>
        <v>5</v>
      </c>
      <c r="CB39" s="56">
        <v>6</v>
      </c>
      <c r="CC39" s="43">
        <v>8</v>
      </c>
      <c r="CD39" s="42"/>
      <c r="CE39" s="41">
        <v>6</v>
      </c>
      <c r="CF39" s="55">
        <f t="shared" si="83"/>
        <v>5</v>
      </c>
      <c r="CG39" s="56">
        <v>6</v>
      </c>
      <c r="CH39" s="44">
        <v>4</v>
      </c>
      <c r="CI39" s="42"/>
      <c r="CJ39" s="41">
        <v>6</v>
      </c>
      <c r="CK39" s="55">
        <f t="shared" si="84"/>
        <v>5</v>
      </c>
      <c r="CL39" s="56">
        <v>6</v>
      </c>
      <c r="CM39" s="47"/>
      <c r="CN39" s="57"/>
      <c r="CO39" s="41">
        <v>6</v>
      </c>
      <c r="CP39" s="55">
        <f t="shared" si="85"/>
        <v>5</v>
      </c>
      <c r="CQ39" s="56">
        <v>6</v>
      </c>
      <c r="CR39" s="47"/>
      <c r="CS39" s="50"/>
      <c r="CT39" s="41">
        <v>6</v>
      </c>
      <c r="CU39" s="55">
        <f t="shared" si="86"/>
        <v>5</v>
      </c>
      <c r="CV39" s="56">
        <v>6</v>
      </c>
      <c r="CW39" s="47">
        <v>10</v>
      </c>
      <c r="CX39" s="50"/>
      <c r="CY39" s="41">
        <v>6</v>
      </c>
      <c r="CZ39" s="55">
        <f t="shared" si="87"/>
        <v>5</v>
      </c>
      <c r="DA39" s="56">
        <v>6</v>
      </c>
      <c r="DB39" s="47"/>
      <c r="DC39" s="50"/>
      <c r="DD39" s="41">
        <v>6</v>
      </c>
      <c r="DE39" s="55">
        <f t="shared" si="88"/>
        <v>5</v>
      </c>
      <c r="DF39" s="56">
        <v>6</v>
      </c>
      <c r="DG39" s="47"/>
      <c r="DH39" s="50"/>
      <c r="DI39" s="41">
        <v>6</v>
      </c>
      <c r="DJ39" s="55">
        <f t="shared" si="89"/>
        <v>5</v>
      </c>
      <c r="DK39" s="56">
        <v>6</v>
      </c>
      <c r="DL39" s="52"/>
      <c r="DM39" s="50"/>
      <c r="DN39" s="41">
        <v>6</v>
      </c>
      <c r="DO39" s="55">
        <f t="shared" si="90"/>
        <v>5</v>
      </c>
      <c r="DP39" s="56">
        <v>6</v>
      </c>
      <c r="DQ39" s="53"/>
      <c r="DR39" s="50"/>
      <c r="DS39" s="54">
        <f t="shared" si="91"/>
        <v>72</v>
      </c>
      <c r="DT39" s="54">
        <f t="shared" si="92"/>
        <v>16882.22442138867</v>
      </c>
      <c r="DU39" s="41">
        <v>3</v>
      </c>
      <c r="DV39" s="56">
        <f t="shared" si="68"/>
        <v>3</v>
      </c>
      <c r="DW39" s="43"/>
      <c r="DX39" s="42"/>
      <c r="DY39" s="41">
        <v>3</v>
      </c>
      <c r="DZ39" s="56">
        <f t="shared" si="69"/>
        <v>3</v>
      </c>
      <c r="EA39" s="43">
        <v>4</v>
      </c>
      <c r="EB39" s="42"/>
      <c r="EC39" s="41">
        <v>3</v>
      </c>
      <c r="ED39" s="56">
        <f>ROUNDDOWN(EC39,0)</f>
        <v>3</v>
      </c>
      <c r="EE39" s="43">
        <v>10</v>
      </c>
      <c r="EF39" s="42"/>
      <c r="EG39" s="41">
        <v>3</v>
      </c>
      <c r="EH39" s="56">
        <f t="shared" si="70"/>
        <v>3</v>
      </c>
      <c r="EI39" s="43"/>
      <c r="EJ39" s="42"/>
      <c r="EK39" s="41">
        <v>3</v>
      </c>
      <c r="EL39" s="56">
        <f t="shared" si="71"/>
        <v>3</v>
      </c>
      <c r="EM39" s="44">
        <v>12</v>
      </c>
      <c r="EN39" s="42"/>
      <c r="EO39" s="41">
        <v>3</v>
      </c>
      <c r="EP39" s="56">
        <f t="shared" si="72"/>
        <v>3</v>
      </c>
      <c r="EQ39" s="47"/>
      <c r="ER39" s="57"/>
      <c r="ES39" s="41">
        <v>3</v>
      </c>
      <c r="ET39" s="56">
        <f t="shared" si="73"/>
        <v>3</v>
      </c>
      <c r="EU39" s="47"/>
      <c r="EV39" s="50"/>
      <c r="EW39" s="41">
        <v>3</v>
      </c>
      <c r="EX39" s="56">
        <f t="shared" si="74"/>
        <v>3</v>
      </c>
      <c r="EY39" s="47"/>
      <c r="EZ39" s="50"/>
      <c r="FA39" s="41">
        <v>3</v>
      </c>
      <c r="FB39" s="56">
        <f t="shared" si="75"/>
        <v>3</v>
      </c>
      <c r="FC39" s="47"/>
      <c r="FD39" s="50"/>
      <c r="FE39" s="41">
        <v>3</v>
      </c>
      <c r="FF39" s="56">
        <f t="shared" si="76"/>
        <v>3</v>
      </c>
      <c r="FG39" s="47"/>
      <c r="FH39" s="50"/>
      <c r="FI39" s="41">
        <v>3</v>
      </c>
      <c r="FJ39" s="241">
        <f t="shared" si="77"/>
        <v>3</v>
      </c>
      <c r="FK39" s="52"/>
      <c r="FL39" s="50"/>
      <c r="FM39" s="41">
        <v>3</v>
      </c>
      <c r="FN39" s="241">
        <f t="shared" si="78"/>
        <v>3</v>
      </c>
      <c r="FO39" s="53"/>
      <c r="FP39" s="50"/>
      <c r="FQ39" s="54">
        <f t="shared" si="93"/>
        <v>36</v>
      </c>
      <c r="FR39" s="54">
        <f t="shared" si="94"/>
        <v>8441.1122106943349</v>
      </c>
      <c r="FS39" s="58" t="e">
        <v>#REF!</v>
      </c>
      <c r="FT39" s="56" t="e">
        <f t="shared" si="95"/>
        <v>#REF!</v>
      </c>
      <c r="FU39" s="43"/>
      <c r="FV39" s="42"/>
      <c r="FW39" s="58">
        <v>6.5250000000000004</v>
      </c>
      <c r="FX39" s="56">
        <f t="shared" si="96"/>
        <v>6</v>
      </c>
      <c r="FY39" s="43"/>
      <c r="FZ39" s="42"/>
      <c r="GA39" s="59">
        <v>8.25</v>
      </c>
      <c r="GB39" s="56">
        <f t="shared" si="97"/>
        <v>8</v>
      </c>
      <c r="GC39" s="43"/>
      <c r="GD39" s="42"/>
      <c r="GE39" s="59">
        <v>8.25</v>
      </c>
      <c r="GF39" s="56">
        <f t="shared" si="98"/>
        <v>8</v>
      </c>
      <c r="GG39" s="43"/>
      <c r="GH39" s="42"/>
      <c r="GI39" s="59">
        <v>8.25</v>
      </c>
      <c r="GJ39" s="56">
        <f t="shared" si="99"/>
        <v>8</v>
      </c>
      <c r="GK39" s="44"/>
      <c r="GL39" s="42"/>
      <c r="GM39" s="59">
        <v>8.25</v>
      </c>
      <c r="GN39" s="56">
        <f t="shared" si="100"/>
        <v>8</v>
      </c>
      <c r="GO39" s="47"/>
      <c r="GP39" s="57"/>
      <c r="GQ39" s="59">
        <v>8.25</v>
      </c>
      <c r="GR39" s="56">
        <f t="shared" si="101"/>
        <v>8</v>
      </c>
      <c r="GS39" s="47"/>
      <c r="GT39" s="50"/>
      <c r="GU39" s="59">
        <v>8.25</v>
      </c>
      <c r="GV39" s="56">
        <f t="shared" si="102"/>
        <v>8</v>
      </c>
      <c r="GW39" s="47"/>
      <c r="GX39" s="50"/>
      <c r="GY39" s="59">
        <v>8.25</v>
      </c>
      <c r="GZ39" s="56">
        <f t="shared" si="103"/>
        <v>8</v>
      </c>
      <c r="HA39" s="47"/>
      <c r="HB39" s="50"/>
      <c r="HC39" s="59">
        <v>8.25</v>
      </c>
      <c r="HD39" s="56">
        <f t="shared" si="104"/>
        <v>8</v>
      </c>
      <c r="HE39" s="47"/>
      <c r="HF39" s="50"/>
      <c r="HG39" s="59">
        <v>8.25</v>
      </c>
      <c r="HH39" s="56">
        <f t="shared" si="105"/>
        <v>8</v>
      </c>
      <c r="HI39" s="52"/>
      <c r="HJ39" s="50"/>
      <c r="HK39" s="59">
        <v>8.25</v>
      </c>
      <c r="HL39" s="56">
        <f t="shared" si="106"/>
        <v>8</v>
      </c>
      <c r="HM39" s="53"/>
      <c r="HN39" s="50"/>
      <c r="HO39" s="54" t="e">
        <f t="shared" si="107"/>
        <v>#REF!</v>
      </c>
      <c r="HP39" s="54" t="e">
        <f t="shared" si="108"/>
        <v>#REF!</v>
      </c>
      <c r="HQ39" s="59">
        <v>8.25</v>
      </c>
      <c r="HR39" s="56">
        <f t="shared" si="109"/>
        <v>8</v>
      </c>
      <c r="HS39" s="43"/>
      <c r="HT39" s="42"/>
      <c r="HU39" s="59">
        <v>8.25</v>
      </c>
      <c r="HV39" s="56">
        <f t="shared" si="110"/>
        <v>8</v>
      </c>
      <c r="HW39" s="43"/>
      <c r="HX39" s="42"/>
      <c r="HY39" s="59">
        <v>8.25</v>
      </c>
      <c r="HZ39" s="56">
        <f t="shared" si="111"/>
        <v>8</v>
      </c>
      <c r="IA39" s="43"/>
      <c r="IB39" s="42"/>
      <c r="IC39" s="59">
        <v>8.25</v>
      </c>
      <c r="ID39" s="56">
        <f t="shared" si="112"/>
        <v>8</v>
      </c>
      <c r="IE39" s="43"/>
      <c r="IF39" s="42"/>
      <c r="IG39" s="59">
        <v>8.25</v>
      </c>
      <c r="IH39" s="56">
        <f t="shared" si="113"/>
        <v>8</v>
      </c>
      <c r="II39" s="44"/>
      <c r="IJ39" s="42"/>
      <c r="IK39" s="59">
        <v>8.25</v>
      </c>
      <c r="IL39" s="56">
        <f t="shared" si="114"/>
        <v>8</v>
      </c>
      <c r="IM39" s="47"/>
      <c r="IN39" s="57"/>
      <c r="IO39" s="59">
        <v>8.25</v>
      </c>
      <c r="IP39" s="56">
        <f t="shared" si="115"/>
        <v>8</v>
      </c>
      <c r="IQ39" s="47"/>
      <c r="IR39" s="50"/>
      <c r="IS39" s="59">
        <v>8.25</v>
      </c>
      <c r="IT39" s="56">
        <f t="shared" si="116"/>
        <v>8</v>
      </c>
      <c r="IU39" s="47"/>
      <c r="IV39" s="50"/>
      <c r="IW39" s="59">
        <v>8.25</v>
      </c>
      <c r="IX39" s="56">
        <f t="shared" si="117"/>
        <v>8</v>
      </c>
      <c r="IY39" s="47"/>
      <c r="IZ39" s="50"/>
      <c r="JA39" s="59">
        <v>8.25</v>
      </c>
      <c r="JB39" s="56">
        <f t="shared" si="118"/>
        <v>8</v>
      </c>
      <c r="JC39" s="47"/>
      <c r="JD39" s="50"/>
      <c r="JE39" s="59">
        <v>8.25</v>
      </c>
      <c r="JF39" s="56">
        <f t="shared" si="119"/>
        <v>8</v>
      </c>
      <c r="JG39" s="52"/>
      <c r="JH39" s="50"/>
      <c r="JI39" s="59">
        <v>8.25</v>
      </c>
      <c r="JJ39" s="56">
        <f t="shared" si="120"/>
        <v>8</v>
      </c>
      <c r="JK39" s="53"/>
      <c r="JL39" s="50"/>
      <c r="JM39" s="54">
        <f t="shared" si="121"/>
        <v>99</v>
      </c>
      <c r="JN39" s="54">
        <f t="shared" si="122"/>
        <v>23213.058579409422</v>
      </c>
    </row>
    <row r="40" spans="1:274">
      <c r="A40" s="249"/>
      <c r="B40" s="250"/>
      <c r="C40" s="250"/>
      <c r="D40" s="249"/>
      <c r="E40" s="36">
        <v>35</v>
      </c>
      <c r="F40" s="37"/>
      <c r="G40" s="38">
        <v>4497230500</v>
      </c>
      <c r="H40" s="39" t="s">
        <v>77</v>
      </c>
      <c r="I40" s="71">
        <v>113.07168</v>
      </c>
      <c r="J40" s="36"/>
      <c r="K40" s="36"/>
      <c r="L40" s="36"/>
      <c r="M40" s="41"/>
      <c r="N40" s="42"/>
      <c r="O40" s="43"/>
      <c r="P40" s="42"/>
      <c r="Q40" s="41"/>
      <c r="R40" s="42"/>
      <c r="S40" s="43"/>
      <c r="T40" s="42"/>
      <c r="U40" s="41"/>
      <c r="V40" s="42"/>
      <c r="W40" s="43"/>
      <c r="X40" s="42"/>
      <c r="Y40" s="41"/>
      <c r="Z40" s="42"/>
      <c r="AA40" s="43"/>
      <c r="AB40" s="42"/>
      <c r="AC40" s="41"/>
      <c r="AD40" s="42"/>
      <c r="AE40" s="44"/>
      <c r="AF40" s="42"/>
      <c r="AG40" s="41"/>
      <c r="AH40" s="46"/>
      <c r="AI40" s="44"/>
      <c r="AJ40" s="253"/>
      <c r="AK40" s="41"/>
      <c r="AL40" s="42"/>
      <c r="AM40" s="47"/>
      <c r="AN40" s="63"/>
      <c r="AO40" s="41"/>
      <c r="AP40" s="42"/>
      <c r="AQ40" s="43"/>
      <c r="AR40" s="64"/>
      <c r="AS40" s="41"/>
      <c r="AT40" s="42"/>
      <c r="AU40" s="44"/>
      <c r="AV40" s="63"/>
      <c r="AW40" s="41"/>
      <c r="AX40" s="42"/>
      <c r="AY40" s="44"/>
      <c r="AZ40" s="63"/>
      <c r="BA40" s="41"/>
      <c r="BB40" s="42"/>
      <c r="BC40" s="65"/>
      <c r="BD40" s="63"/>
      <c r="BE40" s="41"/>
      <c r="BF40" s="42"/>
      <c r="BG40" s="66"/>
      <c r="BH40" s="63"/>
      <c r="BI40" s="54">
        <f t="shared" ref="BI40:BI48" si="123">M40+Q40+U40+Y40+AC40+AG40+AK40+AO40+AS40+AW40+BA40+BE40</f>
        <v>0</v>
      </c>
      <c r="BJ40" s="54">
        <f t="shared" ref="BJ40:BJ48" si="124">BI40*$I40</f>
        <v>0</v>
      </c>
      <c r="BK40" s="41">
        <v>4</v>
      </c>
      <c r="BL40" s="55">
        <f t="shared" si="79"/>
        <v>4</v>
      </c>
      <c r="BM40" s="56">
        <v>4</v>
      </c>
      <c r="BN40" s="43">
        <v>0</v>
      </c>
      <c r="BO40" s="42"/>
      <c r="BP40" s="41">
        <v>4</v>
      </c>
      <c r="BQ40" s="55">
        <f t="shared" si="80"/>
        <v>4</v>
      </c>
      <c r="BR40" s="56">
        <v>4</v>
      </c>
      <c r="BS40" s="43">
        <v>6</v>
      </c>
      <c r="BT40" s="42"/>
      <c r="BU40" s="41">
        <v>4</v>
      </c>
      <c r="BV40" s="55">
        <f t="shared" si="81"/>
        <v>4</v>
      </c>
      <c r="BW40" s="56">
        <v>4</v>
      </c>
      <c r="BX40" s="43">
        <v>20</v>
      </c>
      <c r="BY40" s="42"/>
      <c r="BZ40" s="41">
        <v>4</v>
      </c>
      <c r="CA40" s="55">
        <f t="shared" si="82"/>
        <v>4</v>
      </c>
      <c r="CB40" s="56">
        <v>4</v>
      </c>
      <c r="CC40" s="43">
        <v>12</v>
      </c>
      <c r="CD40" s="42"/>
      <c r="CE40" s="41">
        <v>4</v>
      </c>
      <c r="CF40" s="55">
        <f t="shared" si="83"/>
        <v>4</v>
      </c>
      <c r="CG40" s="56">
        <v>4</v>
      </c>
      <c r="CH40" s="44">
        <v>20</v>
      </c>
      <c r="CI40" s="42"/>
      <c r="CJ40" s="41">
        <v>4</v>
      </c>
      <c r="CK40" s="55">
        <f t="shared" si="84"/>
        <v>4</v>
      </c>
      <c r="CL40" s="56">
        <v>4</v>
      </c>
      <c r="CM40" s="44">
        <v>2</v>
      </c>
      <c r="CN40" s="57"/>
      <c r="CO40" s="41">
        <v>4</v>
      </c>
      <c r="CP40" s="55">
        <f t="shared" si="85"/>
        <v>4</v>
      </c>
      <c r="CQ40" s="56">
        <v>4</v>
      </c>
      <c r="CR40" s="44"/>
      <c r="CS40" s="63"/>
      <c r="CT40" s="41">
        <v>4</v>
      </c>
      <c r="CU40" s="55">
        <f t="shared" si="86"/>
        <v>4</v>
      </c>
      <c r="CV40" s="56">
        <v>4</v>
      </c>
      <c r="CW40" s="44">
        <v>5</v>
      </c>
      <c r="CX40" s="63"/>
      <c r="CY40" s="41">
        <v>4</v>
      </c>
      <c r="CZ40" s="55">
        <f t="shared" si="87"/>
        <v>4</v>
      </c>
      <c r="DA40" s="56">
        <v>4</v>
      </c>
      <c r="DB40" s="44"/>
      <c r="DC40" s="63"/>
      <c r="DD40" s="41">
        <v>4</v>
      </c>
      <c r="DE40" s="55">
        <f t="shared" si="88"/>
        <v>4</v>
      </c>
      <c r="DF40" s="56">
        <v>4</v>
      </c>
      <c r="DG40" s="44"/>
      <c r="DH40" s="63"/>
      <c r="DI40" s="41">
        <v>4</v>
      </c>
      <c r="DJ40" s="55">
        <f t="shared" si="89"/>
        <v>4</v>
      </c>
      <c r="DK40" s="56">
        <v>4</v>
      </c>
      <c r="DL40" s="65"/>
      <c r="DM40" s="63"/>
      <c r="DN40" s="41">
        <v>4</v>
      </c>
      <c r="DO40" s="55">
        <f t="shared" si="90"/>
        <v>4</v>
      </c>
      <c r="DP40" s="56">
        <v>4</v>
      </c>
      <c r="DQ40" s="66">
        <v>15</v>
      </c>
      <c r="DR40" s="63"/>
      <c r="DS40" s="54">
        <f t="shared" si="91"/>
        <v>48</v>
      </c>
      <c r="DT40" s="54">
        <f t="shared" si="92"/>
        <v>5427.4406399999998</v>
      </c>
      <c r="DU40" s="41">
        <v>6</v>
      </c>
      <c r="DV40" s="56">
        <f t="shared" si="68"/>
        <v>6</v>
      </c>
      <c r="DW40" s="43">
        <v>2</v>
      </c>
      <c r="DX40" s="42"/>
      <c r="DY40" s="41">
        <v>6</v>
      </c>
      <c r="DZ40" s="56">
        <f t="shared" si="69"/>
        <v>6</v>
      </c>
      <c r="EA40" s="43">
        <v>7</v>
      </c>
      <c r="EB40" s="42"/>
      <c r="EC40" s="41">
        <v>6</v>
      </c>
      <c r="ED40" s="56">
        <f>ROUNDDOWN(EC40,0)</f>
        <v>6</v>
      </c>
      <c r="EE40" s="43">
        <v>5</v>
      </c>
      <c r="EF40" s="42"/>
      <c r="EG40" s="41">
        <v>6</v>
      </c>
      <c r="EH40" s="56">
        <f t="shared" si="70"/>
        <v>6</v>
      </c>
      <c r="EI40" s="43"/>
      <c r="EJ40" s="42"/>
      <c r="EK40" s="41">
        <v>6</v>
      </c>
      <c r="EL40" s="56">
        <f t="shared" si="71"/>
        <v>6</v>
      </c>
      <c r="EM40" s="44">
        <v>12</v>
      </c>
      <c r="EN40" s="42"/>
      <c r="EO40" s="41">
        <v>6</v>
      </c>
      <c r="EP40" s="56">
        <f t="shared" si="72"/>
        <v>6</v>
      </c>
      <c r="EQ40" s="44"/>
      <c r="ER40" s="57"/>
      <c r="ES40" s="41">
        <v>6</v>
      </c>
      <c r="ET40" s="56">
        <f t="shared" si="73"/>
        <v>6</v>
      </c>
      <c r="EU40" s="44"/>
      <c r="EV40" s="63"/>
      <c r="EW40" s="41">
        <v>6</v>
      </c>
      <c r="EX40" s="56">
        <f t="shared" si="74"/>
        <v>6</v>
      </c>
      <c r="EY40" s="44"/>
      <c r="EZ40" s="63"/>
      <c r="FA40" s="41">
        <v>6</v>
      </c>
      <c r="FB40" s="56">
        <f t="shared" si="75"/>
        <v>6</v>
      </c>
      <c r="FC40" s="44"/>
      <c r="FD40" s="63"/>
      <c r="FE40" s="41">
        <v>6</v>
      </c>
      <c r="FF40" s="56">
        <f t="shared" si="76"/>
        <v>6</v>
      </c>
      <c r="FG40" s="44"/>
      <c r="FH40" s="63"/>
      <c r="FI40" s="41">
        <v>6</v>
      </c>
      <c r="FJ40" s="241">
        <f t="shared" si="77"/>
        <v>6</v>
      </c>
      <c r="FK40" s="65"/>
      <c r="FL40" s="63"/>
      <c r="FM40" s="41">
        <v>6</v>
      </c>
      <c r="FN40" s="241">
        <f t="shared" si="78"/>
        <v>6</v>
      </c>
      <c r="FO40" s="66"/>
      <c r="FP40" s="63"/>
      <c r="FQ40" s="54">
        <f t="shared" si="93"/>
        <v>72</v>
      </c>
      <c r="FR40" s="54">
        <f t="shared" si="94"/>
        <v>8141.1609600000002</v>
      </c>
      <c r="FS40" s="58" t="e">
        <v>#REF!</v>
      </c>
      <c r="FT40" s="56" t="e">
        <f t="shared" si="95"/>
        <v>#REF!</v>
      </c>
      <c r="FU40" s="43"/>
      <c r="FV40" s="42"/>
      <c r="FW40" s="58">
        <v>4.3499999999999996</v>
      </c>
      <c r="FX40" s="56">
        <f t="shared" si="96"/>
        <v>4</v>
      </c>
      <c r="FY40" s="43"/>
      <c r="FZ40" s="42"/>
      <c r="GA40" s="59">
        <v>5.5</v>
      </c>
      <c r="GB40" s="56">
        <f t="shared" si="97"/>
        <v>5</v>
      </c>
      <c r="GC40" s="43"/>
      <c r="GD40" s="42"/>
      <c r="GE40" s="59">
        <v>5.5</v>
      </c>
      <c r="GF40" s="56">
        <f t="shared" si="98"/>
        <v>5</v>
      </c>
      <c r="GG40" s="43"/>
      <c r="GH40" s="42"/>
      <c r="GI40" s="59">
        <v>5.5</v>
      </c>
      <c r="GJ40" s="56">
        <f t="shared" si="99"/>
        <v>5</v>
      </c>
      <c r="GK40" s="44"/>
      <c r="GL40" s="42"/>
      <c r="GM40" s="59">
        <v>5.5</v>
      </c>
      <c r="GN40" s="56">
        <f t="shared" si="100"/>
        <v>5</v>
      </c>
      <c r="GO40" s="44"/>
      <c r="GP40" s="57"/>
      <c r="GQ40" s="59">
        <v>5.5</v>
      </c>
      <c r="GR40" s="56">
        <f t="shared" si="101"/>
        <v>5</v>
      </c>
      <c r="GS40" s="44"/>
      <c r="GT40" s="63"/>
      <c r="GU40" s="59">
        <v>5.5</v>
      </c>
      <c r="GV40" s="56">
        <f t="shared" si="102"/>
        <v>5</v>
      </c>
      <c r="GW40" s="44"/>
      <c r="GX40" s="63"/>
      <c r="GY40" s="59">
        <v>5.5</v>
      </c>
      <c r="GZ40" s="56">
        <f t="shared" si="103"/>
        <v>5</v>
      </c>
      <c r="HA40" s="44"/>
      <c r="HB40" s="63"/>
      <c r="HC40" s="59">
        <v>5.5</v>
      </c>
      <c r="HD40" s="56">
        <f t="shared" si="104"/>
        <v>5</v>
      </c>
      <c r="HE40" s="44"/>
      <c r="HF40" s="63"/>
      <c r="HG40" s="59">
        <v>5.5</v>
      </c>
      <c r="HH40" s="56">
        <f t="shared" si="105"/>
        <v>5</v>
      </c>
      <c r="HI40" s="65"/>
      <c r="HJ40" s="63"/>
      <c r="HK40" s="59">
        <v>5.5</v>
      </c>
      <c r="HL40" s="56">
        <f t="shared" si="106"/>
        <v>5</v>
      </c>
      <c r="HM40" s="66"/>
      <c r="HN40" s="63"/>
      <c r="HO40" s="54" t="e">
        <f t="shared" si="107"/>
        <v>#REF!</v>
      </c>
      <c r="HP40" s="54" t="e">
        <f t="shared" si="108"/>
        <v>#REF!</v>
      </c>
      <c r="HQ40" s="59">
        <v>5.5</v>
      </c>
      <c r="HR40" s="56">
        <f t="shared" si="109"/>
        <v>5</v>
      </c>
      <c r="HS40" s="43"/>
      <c r="HT40" s="42"/>
      <c r="HU40" s="59">
        <v>5.5</v>
      </c>
      <c r="HV40" s="56">
        <f t="shared" si="110"/>
        <v>5</v>
      </c>
      <c r="HW40" s="43"/>
      <c r="HX40" s="42"/>
      <c r="HY40" s="59">
        <v>5.5</v>
      </c>
      <c r="HZ40" s="56">
        <f t="shared" si="111"/>
        <v>5</v>
      </c>
      <c r="IA40" s="43"/>
      <c r="IB40" s="42"/>
      <c r="IC40" s="59">
        <v>5.5</v>
      </c>
      <c r="ID40" s="56">
        <f t="shared" si="112"/>
        <v>5</v>
      </c>
      <c r="IE40" s="43"/>
      <c r="IF40" s="42"/>
      <c r="IG40" s="59">
        <v>5.5</v>
      </c>
      <c r="IH40" s="56">
        <f t="shared" si="113"/>
        <v>5</v>
      </c>
      <c r="II40" s="44"/>
      <c r="IJ40" s="42"/>
      <c r="IK40" s="59">
        <v>5.5</v>
      </c>
      <c r="IL40" s="56">
        <f t="shared" si="114"/>
        <v>5</v>
      </c>
      <c r="IM40" s="44"/>
      <c r="IN40" s="57"/>
      <c r="IO40" s="59">
        <v>5.5</v>
      </c>
      <c r="IP40" s="56">
        <f t="shared" si="115"/>
        <v>5</v>
      </c>
      <c r="IQ40" s="44"/>
      <c r="IR40" s="63"/>
      <c r="IS40" s="59">
        <v>5.5</v>
      </c>
      <c r="IT40" s="56">
        <f t="shared" si="116"/>
        <v>5</v>
      </c>
      <c r="IU40" s="44"/>
      <c r="IV40" s="63"/>
      <c r="IW40" s="59">
        <v>5.5</v>
      </c>
      <c r="IX40" s="56">
        <f t="shared" si="117"/>
        <v>5</v>
      </c>
      <c r="IY40" s="44"/>
      <c r="IZ40" s="63"/>
      <c r="JA40" s="59">
        <v>5.5</v>
      </c>
      <c r="JB40" s="56">
        <f t="shared" si="118"/>
        <v>5</v>
      </c>
      <c r="JC40" s="44"/>
      <c r="JD40" s="63"/>
      <c r="JE40" s="59">
        <v>5.5</v>
      </c>
      <c r="JF40" s="56">
        <f t="shared" si="119"/>
        <v>5</v>
      </c>
      <c r="JG40" s="65"/>
      <c r="JH40" s="63"/>
      <c r="JI40" s="59">
        <v>5.5</v>
      </c>
      <c r="JJ40" s="56">
        <f t="shared" si="120"/>
        <v>5</v>
      </c>
      <c r="JK40" s="66"/>
      <c r="JL40" s="63"/>
      <c r="JM40" s="54">
        <f t="shared" si="121"/>
        <v>66</v>
      </c>
      <c r="JN40" s="54">
        <f t="shared" si="122"/>
        <v>7462.7308800000001</v>
      </c>
    </row>
    <row r="41" spans="1:274">
      <c r="A41" s="249"/>
      <c r="B41" s="250"/>
      <c r="C41" s="250"/>
      <c r="D41" s="249"/>
      <c r="E41" s="36">
        <v>36</v>
      </c>
      <c r="F41" s="37"/>
      <c r="G41" s="38">
        <v>4231079000</v>
      </c>
      <c r="H41" s="39" t="s">
        <v>78</v>
      </c>
      <c r="I41" s="69">
        <v>119.36983240223465</v>
      </c>
      <c r="J41" s="36"/>
      <c r="K41" s="36"/>
      <c r="L41" s="36"/>
      <c r="M41" s="41"/>
      <c r="N41" s="42"/>
      <c r="O41" s="43"/>
      <c r="P41" s="42"/>
      <c r="Q41" s="41"/>
      <c r="R41" s="42"/>
      <c r="S41" s="43"/>
      <c r="T41" s="42"/>
      <c r="U41" s="41"/>
      <c r="V41" s="42"/>
      <c r="W41" s="43"/>
      <c r="X41" s="42"/>
      <c r="Y41" s="41"/>
      <c r="Z41" s="42"/>
      <c r="AA41" s="43"/>
      <c r="AB41" s="42"/>
      <c r="AC41" s="41"/>
      <c r="AD41" s="42"/>
      <c r="AE41" s="44"/>
      <c r="AF41" s="42"/>
      <c r="AG41" s="41"/>
      <c r="AH41" s="46"/>
      <c r="AI41" s="44"/>
      <c r="AJ41" s="253"/>
      <c r="AK41" s="41"/>
      <c r="AL41" s="42"/>
      <c r="AM41" s="47"/>
      <c r="AN41" s="63"/>
      <c r="AO41" s="41"/>
      <c r="AP41" s="42"/>
      <c r="AQ41" s="43"/>
      <c r="AR41" s="64"/>
      <c r="AS41" s="41"/>
      <c r="AT41" s="42"/>
      <c r="AU41" s="44"/>
      <c r="AV41" s="63"/>
      <c r="AW41" s="41"/>
      <c r="AX41" s="42"/>
      <c r="AY41" s="44"/>
      <c r="AZ41" s="63"/>
      <c r="BA41" s="41"/>
      <c r="BB41" s="42"/>
      <c r="BC41" s="65"/>
      <c r="BD41" s="63"/>
      <c r="BE41" s="41"/>
      <c r="BF41" s="42"/>
      <c r="BG41" s="66"/>
      <c r="BH41" s="63"/>
      <c r="BI41" s="54">
        <f t="shared" si="123"/>
        <v>0</v>
      </c>
      <c r="BJ41" s="54">
        <f t="shared" si="124"/>
        <v>0</v>
      </c>
      <c r="BK41" s="41">
        <v>2</v>
      </c>
      <c r="BL41" s="55">
        <f t="shared" si="79"/>
        <v>2</v>
      </c>
      <c r="BM41" s="56">
        <v>2</v>
      </c>
      <c r="BN41" s="43">
        <v>0</v>
      </c>
      <c r="BO41" s="42"/>
      <c r="BP41" s="41">
        <v>2</v>
      </c>
      <c r="BQ41" s="55">
        <f t="shared" si="80"/>
        <v>2</v>
      </c>
      <c r="BR41" s="56">
        <v>2</v>
      </c>
      <c r="BS41" s="43">
        <v>0</v>
      </c>
      <c r="BT41" s="42"/>
      <c r="BU41" s="41">
        <v>2</v>
      </c>
      <c r="BV41" s="55">
        <f t="shared" si="81"/>
        <v>2</v>
      </c>
      <c r="BW41" s="56">
        <v>2</v>
      </c>
      <c r="BX41" s="43">
        <v>0</v>
      </c>
      <c r="BY41" s="42"/>
      <c r="BZ41" s="41">
        <v>2</v>
      </c>
      <c r="CA41" s="55">
        <f t="shared" si="82"/>
        <v>2</v>
      </c>
      <c r="CB41" s="56">
        <v>2</v>
      </c>
      <c r="CC41" s="43">
        <v>0</v>
      </c>
      <c r="CD41" s="42"/>
      <c r="CE41" s="41">
        <v>2</v>
      </c>
      <c r="CF41" s="55">
        <f t="shared" si="83"/>
        <v>2</v>
      </c>
      <c r="CG41" s="56">
        <v>2</v>
      </c>
      <c r="CH41" s="44">
        <v>0</v>
      </c>
      <c r="CI41" s="42"/>
      <c r="CJ41" s="41">
        <v>2</v>
      </c>
      <c r="CK41" s="55">
        <f t="shared" si="84"/>
        <v>2</v>
      </c>
      <c r="CL41" s="56">
        <v>2</v>
      </c>
      <c r="CM41" s="44">
        <v>7</v>
      </c>
      <c r="CN41" s="57"/>
      <c r="CO41" s="41">
        <v>2</v>
      </c>
      <c r="CP41" s="55">
        <f t="shared" si="85"/>
        <v>2</v>
      </c>
      <c r="CQ41" s="56">
        <v>2</v>
      </c>
      <c r="CR41" s="44"/>
      <c r="CS41" s="63"/>
      <c r="CT41" s="41">
        <v>2</v>
      </c>
      <c r="CU41" s="55">
        <f t="shared" si="86"/>
        <v>2</v>
      </c>
      <c r="CV41" s="56">
        <v>2</v>
      </c>
      <c r="CW41" s="44"/>
      <c r="CX41" s="63"/>
      <c r="CY41" s="41">
        <v>2</v>
      </c>
      <c r="CZ41" s="55">
        <f t="shared" si="87"/>
        <v>2</v>
      </c>
      <c r="DA41" s="56">
        <v>2</v>
      </c>
      <c r="DB41" s="44"/>
      <c r="DC41" s="63"/>
      <c r="DD41" s="41">
        <v>2</v>
      </c>
      <c r="DE41" s="55">
        <f t="shared" si="88"/>
        <v>2</v>
      </c>
      <c r="DF41" s="56">
        <v>2</v>
      </c>
      <c r="DG41" s="44">
        <v>4</v>
      </c>
      <c r="DH41" s="63"/>
      <c r="DI41" s="41">
        <v>2</v>
      </c>
      <c r="DJ41" s="55">
        <f t="shared" si="89"/>
        <v>2</v>
      </c>
      <c r="DK41" s="56">
        <v>2</v>
      </c>
      <c r="DL41" s="65"/>
      <c r="DM41" s="63"/>
      <c r="DN41" s="41">
        <v>2</v>
      </c>
      <c r="DO41" s="55">
        <f t="shared" si="90"/>
        <v>2</v>
      </c>
      <c r="DP41" s="56">
        <v>2</v>
      </c>
      <c r="DQ41" s="66"/>
      <c r="DR41" s="63"/>
      <c r="DS41" s="54">
        <f t="shared" si="91"/>
        <v>24</v>
      </c>
      <c r="DT41" s="54">
        <f t="shared" si="92"/>
        <v>2864.8759776536317</v>
      </c>
      <c r="DU41" s="41">
        <v>1</v>
      </c>
      <c r="DV41" s="56">
        <f t="shared" si="68"/>
        <v>1</v>
      </c>
      <c r="DW41" s="43"/>
      <c r="DX41" s="42"/>
      <c r="DY41" s="41">
        <v>1</v>
      </c>
      <c r="DZ41" s="56">
        <f t="shared" si="69"/>
        <v>1</v>
      </c>
      <c r="EA41" s="43">
        <v>10</v>
      </c>
      <c r="EB41" s="42"/>
      <c r="EC41" s="41">
        <v>1</v>
      </c>
      <c r="ED41" s="56">
        <f>ROUNDDOWN(EC41,0)</f>
        <v>1</v>
      </c>
      <c r="EE41" s="43"/>
      <c r="EF41" s="42"/>
      <c r="EG41" s="41">
        <v>1</v>
      </c>
      <c r="EH41" s="56">
        <f t="shared" si="70"/>
        <v>1</v>
      </c>
      <c r="EI41" s="43"/>
      <c r="EJ41" s="42"/>
      <c r="EK41" s="41">
        <v>1</v>
      </c>
      <c r="EL41" s="56">
        <f t="shared" si="71"/>
        <v>1</v>
      </c>
      <c r="EM41" s="44">
        <v>6</v>
      </c>
      <c r="EN41" s="42"/>
      <c r="EO41" s="41">
        <v>1</v>
      </c>
      <c r="EP41" s="56">
        <f t="shared" si="72"/>
        <v>1</v>
      </c>
      <c r="EQ41" s="44"/>
      <c r="ER41" s="57"/>
      <c r="ES41" s="41">
        <v>1</v>
      </c>
      <c r="ET41" s="56">
        <f t="shared" si="73"/>
        <v>1</v>
      </c>
      <c r="EU41" s="44"/>
      <c r="EV41" s="63"/>
      <c r="EW41" s="41">
        <v>1</v>
      </c>
      <c r="EX41" s="56">
        <f t="shared" si="74"/>
        <v>1</v>
      </c>
      <c r="EY41" s="44"/>
      <c r="EZ41" s="63"/>
      <c r="FA41" s="41">
        <v>1</v>
      </c>
      <c r="FB41" s="56">
        <f t="shared" si="75"/>
        <v>1</v>
      </c>
      <c r="FC41" s="44"/>
      <c r="FD41" s="63"/>
      <c r="FE41" s="41">
        <v>1</v>
      </c>
      <c r="FF41" s="56">
        <f t="shared" si="76"/>
        <v>1</v>
      </c>
      <c r="FG41" s="44"/>
      <c r="FH41" s="63"/>
      <c r="FI41" s="41">
        <v>1</v>
      </c>
      <c r="FJ41" s="241">
        <f t="shared" si="77"/>
        <v>1</v>
      </c>
      <c r="FK41" s="65"/>
      <c r="FL41" s="63"/>
      <c r="FM41" s="41">
        <v>1</v>
      </c>
      <c r="FN41" s="241">
        <f t="shared" si="78"/>
        <v>1</v>
      </c>
      <c r="FO41" s="66"/>
      <c r="FP41" s="63"/>
      <c r="FQ41" s="54">
        <f t="shared" si="93"/>
        <v>12</v>
      </c>
      <c r="FR41" s="54">
        <f t="shared" si="94"/>
        <v>1432.4379888268159</v>
      </c>
      <c r="FS41" s="58" t="e">
        <v>#REF!</v>
      </c>
      <c r="FT41" s="56" t="e">
        <f t="shared" si="95"/>
        <v>#REF!</v>
      </c>
      <c r="FU41" s="43"/>
      <c r="FV41" s="42"/>
      <c r="FW41" s="58">
        <v>2.1749999999999998</v>
      </c>
      <c r="FX41" s="56">
        <f t="shared" si="96"/>
        <v>2</v>
      </c>
      <c r="FY41" s="43"/>
      <c r="FZ41" s="42"/>
      <c r="GA41" s="59">
        <v>2.75</v>
      </c>
      <c r="GB41" s="56">
        <f t="shared" si="97"/>
        <v>2</v>
      </c>
      <c r="GC41" s="43"/>
      <c r="GD41" s="42"/>
      <c r="GE41" s="59">
        <v>2.75</v>
      </c>
      <c r="GF41" s="56">
        <f t="shared" si="98"/>
        <v>2</v>
      </c>
      <c r="GG41" s="43"/>
      <c r="GH41" s="42"/>
      <c r="GI41" s="59">
        <v>2.75</v>
      </c>
      <c r="GJ41" s="56">
        <f t="shared" si="99"/>
        <v>2</v>
      </c>
      <c r="GK41" s="44"/>
      <c r="GL41" s="42"/>
      <c r="GM41" s="59">
        <v>2.75</v>
      </c>
      <c r="GN41" s="56">
        <f t="shared" si="100"/>
        <v>2</v>
      </c>
      <c r="GO41" s="44"/>
      <c r="GP41" s="57"/>
      <c r="GQ41" s="59">
        <v>2.75</v>
      </c>
      <c r="GR41" s="56">
        <f t="shared" si="101"/>
        <v>2</v>
      </c>
      <c r="GS41" s="44"/>
      <c r="GT41" s="63"/>
      <c r="GU41" s="59">
        <v>2.75</v>
      </c>
      <c r="GV41" s="56">
        <f t="shared" si="102"/>
        <v>2</v>
      </c>
      <c r="GW41" s="44"/>
      <c r="GX41" s="63"/>
      <c r="GY41" s="59">
        <v>2.75</v>
      </c>
      <c r="GZ41" s="56">
        <f t="shared" si="103"/>
        <v>2</v>
      </c>
      <c r="HA41" s="44"/>
      <c r="HB41" s="63"/>
      <c r="HC41" s="59">
        <v>2.75</v>
      </c>
      <c r="HD41" s="56">
        <f t="shared" si="104"/>
        <v>2</v>
      </c>
      <c r="HE41" s="44"/>
      <c r="HF41" s="63"/>
      <c r="HG41" s="59">
        <v>2.75</v>
      </c>
      <c r="HH41" s="56">
        <f t="shared" si="105"/>
        <v>2</v>
      </c>
      <c r="HI41" s="65"/>
      <c r="HJ41" s="63"/>
      <c r="HK41" s="59">
        <v>2.75</v>
      </c>
      <c r="HL41" s="56">
        <f t="shared" si="106"/>
        <v>2</v>
      </c>
      <c r="HM41" s="66"/>
      <c r="HN41" s="63"/>
      <c r="HO41" s="54" t="e">
        <f t="shared" si="107"/>
        <v>#REF!</v>
      </c>
      <c r="HP41" s="54" t="e">
        <f t="shared" si="108"/>
        <v>#REF!</v>
      </c>
      <c r="HQ41" s="59">
        <v>2.75</v>
      </c>
      <c r="HR41" s="56">
        <f t="shared" si="109"/>
        <v>2</v>
      </c>
      <c r="HS41" s="43"/>
      <c r="HT41" s="42"/>
      <c r="HU41" s="59">
        <v>2.75</v>
      </c>
      <c r="HV41" s="56">
        <f t="shared" si="110"/>
        <v>2</v>
      </c>
      <c r="HW41" s="43"/>
      <c r="HX41" s="42"/>
      <c r="HY41" s="59">
        <v>2.75</v>
      </c>
      <c r="HZ41" s="56">
        <f t="shared" si="111"/>
        <v>2</v>
      </c>
      <c r="IA41" s="43"/>
      <c r="IB41" s="42"/>
      <c r="IC41" s="59">
        <v>2.75</v>
      </c>
      <c r="ID41" s="56">
        <f t="shared" si="112"/>
        <v>2</v>
      </c>
      <c r="IE41" s="43"/>
      <c r="IF41" s="42"/>
      <c r="IG41" s="59">
        <v>2.75</v>
      </c>
      <c r="IH41" s="56">
        <f t="shared" si="113"/>
        <v>2</v>
      </c>
      <c r="II41" s="44"/>
      <c r="IJ41" s="42"/>
      <c r="IK41" s="59">
        <v>2.75</v>
      </c>
      <c r="IL41" s="56">
        <f t="shared" si="114"/>
        <v>2</v>
      </c>
      <c r="IM41" s="44"/>
      <c r="IN41" s="57"/>
      <c r="IO41" s="59">
        <v>2.75</v>
      </c>
      <c r="IP41" s="56">
        <f t="shared" si="115"/>
        <v>2</v>
      </c>
      <c r="IQ41" s="44"/>
      <c r="IR41" s="63"/>
      <c r="IS41" s="59">
        <v>2.75</v>
      </c>
      <c r="IT41" s="56">
        <f t="shared" si="116"/>
        <v>2</v>
      </c>
      <c r="IU41" s="44"/>
      <c r="IV41" s="63"/>
      <c r="IW41" s="59">
        <v>2.75</v>
      </c>
      <c r="IX41" s="56">
        <f t="shared" si="117"/>
        <v>2</v>
      </c>
      <c r="IY41" s="44"/>
      <c r="IZ41" s="63"/>
      <c r="JA41" s="59">
        <v>2.75</v>
      </c>
      <c r="JB41" s="56">
        <f t="shared" si="118"/>
        <v>2</v>
      </c>
      <c r="JC41" s="44"/>
      <c r="JD41" s="63"/>
      <c r="JE41" s="59">
        <v>2.75</v>
      </c>
      <c r="JF41" s="56">
        <f t="shared" si="119"/>
        <v>2</v>
      </c>
      <c r="JG41" s="65"/>
      <c r="JH41" s="63"/>
      <c r="JI41" s="59">
        <v>2.75</v>
      </c>
      <c r="JJ41" s="56">
        <f t="shared" si="120"/>
        <v>2</v>
      </c>
      <c r="JK41" s="66"/>
      <c r="JL41" s="63"/>
      <c r="JM41" s="54">
        <f t="shared" si="121"/>
        <v>33</v>
      </c>
      <c r="JN41" s="54">
        <f t="shared" si="122"/>
        <v>3939.2044692737436</v>
      </c>
    </row>
    <row r="42" spans="1:274">
      <c r="A42" s="249"/>
      <c r="B42" s="250"/>
      <c r="C42" s="250"/>
      <c r="D42" s="249"/>
      <c r="E42" s="36">
        <v>37</v>
      </c>
      <c r="F42" s="37"/>
      <c r="G42" s="38">
        <v>4254600070</v>
      </c>
      <c r="H42" s="39" t="s">
        <v>79</v>
      </c>
      <c r="I42" s="69">
        <v>557.27760000000001</v>
      </c>
      <c r="J42" s="36"/>
      <c r="K42" s="36"/>
      <c r="L42" s="36"/>
      <c r="M42" s="41"/>
      <c r="N42" s="42"/>
      <c r="O42" s="43"/>
      <c r="P42" s="42"/>
      <c r="Q42" s="41"/>
      <c r="R42" s="42"/>
      <c r="S42" s="43"/>
      <c r="T42" s="42"/>
      <c r="U42" s="41"/>
      <c r="V42" s="42"/>
      <c r="W42" s="43"/>
      <c r="X42" s="42"/>
      <c r="Y42" s="41"/>
      <c r="Z42" s="42"/>
      <c r="AA42" s="43"/>
      <c r="AB42" s="42"/>
      <c r="AC42" s="41"/>
      <c r="AD42" s="42"/>
      <c r="AE42" s="44"/>
      <c r="AF42" s="42"/>
      <c r="AG42" s="41"/>
      <c r="AH42" s="46"/>
      <c r="AI42" s="44"/>
      <c r="AJ42" s="253"/>
      <c r="AK42" s="41"/>
      <c r="AL42" s="42"/>
      <c r="AM42" s="47"/>
      <c r="AN42" s="63"/>
      <c r="AO42" s="41"/>
      <c r="AP42" s="42"/>
      <c r="AQ42" s="43"/>
      <c r="AR42" s="64"/>
      <c r="AS42" s="41"/>
      <c r="AT42" s="42"/>
      <c r="AU42" s="44"/>
      <c r="AV42" s="63"/>
      <c r="AW42" s="41"/>
      <c r="AX42" s="42"/>
      <c r="AY42" s="44"/>
      <c r="AZ42" s="63"/>
      <c r="BA42" s="41"/>
      <c r="BB42" s="42"/>
      <c r="BC42" s="65"/>
      <c r="BD42" s="63"/>
      <c r="BE42" s="41"/>
      <c r="BF42" s="42"/>
      <c r="BG42" s="66"/>
      <c r="BH42" s="63"/>
      <c r="BI42" s="54">
        <f t="shared" si="123"/>
        <v>0</v>
      </c>
      <c r="BJ42" s="54">
        <f t="shared" si="124"/>
        <v>0</v>
      </c>
      <c r="BK42" s="41">
        <v>3</v>
      </c>
      <c r="BL42" s="55">
        <f t="shared" si="79"/>
        <v>3</v>
      </c>
      <c r="BM42" s="56">
        <v>3</v>
      </c>
      <c r="BN42" s="43">
        <v>0</v>
      </c>
      <c r="BO42" s="42"/>
      <c r="BP42" s="41">
        <v>3</v>
      </c>
      <c r="BQ42" s="55">
        <f t="shared" si="80"/>
        <v>3</v>
      </c>
      <c r="BR42" s="56">
        <v>3</v>
      </c>
      <c r="BS42" s="43">
        <v>0</v>
      </c>
      <c r="BT42" s="42"/>
      <c r="BU42" s="41">
        <v>3</v>
      </c>
      <c r="BV42" s="55">
        <f t="shared" si="81"/>
        <v>3</v>
      </c>
      <c r="BW42" s="56">
        <v>3</v>
      </c>
      <c r="BX42" s="43">
        <v>0</v>
      </c>
      <c r="BY42" s="42"/>
      <c r="BZ42" s="41">
        <v>3</v>
      </c>
      <c r="CA42" s="55">
        <f t="shared" si="82"/>
        <v>3</v>
      </c>
      <c r="CB42" s="56">
        <v>3</v>
      </c>
      <c r="CC42" s="43">
        <v>5</v>
      </c>
      <c r="CD42" s="42"/>
      <c r="CE42" s="41">
        <v>3</v>
      </c>
      <c r="CF42" s="55">
        <f t="shared" si="83"/>
        <v>3</v>
      </c>
      <c r="CG42" s="56">
        <v>3</v>
      </c>
      <c r="CH42" s="44">
        <v>3</v>
      </c>
      <c r="CI42" s="42"/>
      <c r="CJ42" s="41">
        <v>3</v>
      </c>
      <c r="CK42" s="55">
        <f t="shared" si="84"/>
        <v>3</v>
      </c>
      <c r="CL42" s="56">
        <v>3</v>
      </c>
      <c r="CM42" s="44"/>
      <c r="CN42" s="57"/>
      <c r="CO42" s="41">
        <v>3</v>
      </c>
      <c r="CP42" s="55">
        <f t="shared" si="85"/>
        <v>3</v>
      </c>
      <c r="CQ42" s="56">
        <v>3</v>
      </c>
      <c r="CR42" s="44"/>
      <c r="CS42" s="63"/>
      <c r="CT42" s="41">
        <v>3</v>
      </c>
      <c r="CU42" s="55">
        <f t="shared" si="86"/>
        <v>3</v>
      </c>
      <c r="CV42" s="56">
        <v>3</v>
      </c>
      <c r="CW42" s="44">
        <v>4</v>
      </c>
      <c r="CX42" s="63"/>
      <c r="CY42" s="41">
        <v>3</v>
      </c>
      <c r="CZ42" s="55">
        <f t="shared" si="87"/>
        <v>3</v>
      </c>
      <c r="DA42" s="56">
        <v>3</v>
      </c>
      <c r="DB42" s="44">
        <v>10</v>
      </c>
      <c r="DC42" s="63"/>
      <c r="DD42" s="41">
        <v>3</v>
      </c>
      <c r="DE42" s="55">
        <f t="shared" si="88"/>
        <v>3</v>
      </c>
      <c r="DF42" s="56">
        <v>3</v>
      </c>
      <c r="DG42" s="44">
        <v>5</v>
      </c>
      <c r="DH42" s="63"/>
      <c r="DI42" s="41">
        <v>3</v>
      </c>
      <c r="DJ42" s="55">
        <f t="shared" si="89"/>
        <v>3</v>
      </c>
      <c r="DK42" s="56">
        <v>3</v>
      </c>
      <c r="DL42" s="65">
        <v>1</v>
      </c>
      <c r="DM42" s="63"/>
      <c r="DN42" s="41">
        <v>3</v>
      </c>
      <c r="DO42" s="55">
        <f t="shared" si="90"/>
        <v>3</v>
      </c>
      <c r="DP42" s="56">
        <v>3</v>
      </c>
      <c r="DQ42" s="66"/>
      <c r="DR42" s="63"/>
      <c r="DS42" s="54">
        <f t="shared" si="91"/>
        <v>36</v>
      </c>
      <c r="DT42" s="54">
        <f t="shared" si="92"/>
        <v>20061.993600000002</v>
      </c>
      <c r="DU42" s="41">
        <v>3</v>
      </c>
      <c r="DV42" s="56">
        <f t="shared" si="68"/>
        <v>3</v>
      </c>
      <c r="DW42" s="43"/>
      <c r="DX42" s="42"/>
      <c r="DY42" s="41">
        <v>3</v>
      </c>
      <c r="DZ42" s="56">
        <v>20</v>
      </c>
      <c r="EA42" s="43">
        <v>20</v>
      </c>
      <c r="EB42" s="42"/>
      <c r="EC42" s="41">
        <v>3</v>
      </c>
      <c r="ED42" s="56">
        <v>20</v>
      </c>
      <c r="EE42" s="43">
        <v>20</v>
      </c>
      <c r="EF42" s="42"/>
      <c r="EG42" s="41">
        <v>3</v>
      </c>
      <c r="EH42" s="56">
        <v>10</v>
      </c>
      <c r="EI42" s="43"/>
      <c r="EJ42" s="42"/>
      <c r="EK42" s="41">
        <v>3</v>
      </c>
      <c r="EL42" s="56">
        <v>10</v>
      </c>
      <c r="EM42" s="44">
        <v>30</v>
      </c>
      <c r="EN42" s="42"/>
      <c r="EO42" s="41">
        <v>3</v>
      </c>
      <c r="EP42" s="56">
        <f t="shared" si="72"/>
        <v>3</v>
      </c>
      <c r="EQ42" s="44"/>
      <c r="ER42" s="57"/>
      <c r="ES42" s="41">
        <v>3</v>
      </c>
      <c r="ET42" s="56">
        <f t="shared" si="73"/>
        <v>3</v>
      </c>
      <c r="EU42" s="44"/>
      <c r="EV42" s="63"/>
      <c r="EW42" s="41">
        <v>3</v>
      </c>
      <c r="EX42" s="56">
        <f t="shared" si="74"/>
        <v>3</v>
      </c>
      <c r="EY42" s="44"/>
      <c r="EZ42" s="63"/>
      <c r="FA42" s="41">
        <v>3</v>
      </c>
      <c r="FB42" s="56">
        <f t="shared" si="75"/>
        <v>3</v>
      </c>
      <c r="FC42" s="44"/>
      <c r="FD42" s="63"/>
      <c r="FE42" s="41">
        <v>3</v>
      </c>
      <c r="FF42" s="56">
        <f t="shared" si="76"/>
        <v>3</v>
      </c>
      <c r="FG42" s="44"/>
      <c r="FH42" s="63"/>
      <c r="FI42" s="41">
        <v>3</v>
      </c>
      <c r="FJ42" s="241">
        <f t="shared" si="77"/>
        <v>3</v>
      </c>
      <c r="FK42" s="65"/>
      <c r="FL42" s="63"/>
      <c r="FM42" s="41">
        <v>3</v>
      </c>
      <c r="FN42" s="241">
        <f t="shared" si="78"/>
        <v>3</v>
      </c>
      <c r="FO42" s="66"/>
      <c r="FP42" s="63"/>
      <c r="FQ42" s="54">
        <f t="shared" si="93"/>
        <v>36</v>
      </c>
      <c r="FR42" s="54">
        <f t="shared" si="94"/>
        <v>20061.993600000002</v>
      </c>
      <c r="FS42" s="58" t="e">
        <v>#REF!</v>
      </c>
      <c r="FT42" s="56" t="e">
        <f t="shared" si="95"/>
        <v>#REF!</v>
      </c>
      <c r="FU42" s="43"/>
      <c r="FV42" s="42"/>
      <c r="FW42" s="58">
        <v>3.2625000000000002</v>
      </c>
      <c r="FX42" s="56">
        <f t="shared" si="96"/>
        <v>3</v>
      </c>
      <c r="FY42" s="43"/>
      <c r="FZ42" s="42"/>
      <c r="GA42" s="59">
        <v>4.125</v>
      </c>
      <c r="GB42" s="56">
        <f t="shared" si="97"/>
        <v>4</v>
      </c>
      <c r="GC42" s="43"/>
      <c r="GD42" s="42"/>
      <c r="GE42" s="59">
        <v>4.125</v>
      </c>
      <c r="GF42" s="56">
        <f t="shared" si="98"/>
        <v>4</v>
      </c>
      <c r="GG42" s="43"/>
      <c r="GH42" s="42"/>
      <c r="GI42" s="59">
        <v>4.125</v>
      </c>
      <c r="GJ42" s="56">
        <f t="shared" si="99"/>
        <v>4</v>
      </c>
      <c r="GK42" s="44"/>
      <c r="GL42" s="42"/>
      <c r="GM42" s="59">
        <v>4.125</v>
      </c>
      <c r="GN42" s="56">
        <f t="shared" si="100"/>
        <v>4</v>
      </c>
      <c r="GO42" s="44"/>
      <c r="GP42" s="57"/>
      <c r="GQ42" s="59">
        <v>4.125</v>
      </c>
      <c r="GR42" s="56">
        <f t="shared" si="101"/>
        <v>4</v>
      </c>
      <c r="GS42" s="44"/>
      <c r="GT42" s="63"/>
      <c r="GU42" s="59">
        <v>4.125</v>
      </c>
      <c r="GV42" s="56">
        <f t="shared" si="102"/>
        <v>4</v>
      </c>
      <c r="GW42" s="44"/>
      <c r="GX42" s="63"/>
      <c r="GY42" s="59">
        <v>4.125</v>
      </c>
      <c r="GZ42" s="56">
        <f t="shared" si="103"/>
        <v>4</v>
      </c>
      <c r="HA42" s="44"/>
      <c r="HB42" s="63"/>
      <c r="HC42" s="59">
        <v>4.125</v>
      </c>
      <c r="HD42" s="56">
        <f t="shared" si="104"/>
        <v>4</v>
      </c>
      <c r="HE42" s="44"/>
      <c r="HF42" s="63"/>
      <c r="HG42" s="59">
        <v>4.125</v>
      </c>
      <c r="HH42" s="56">
        <f t="shared" si="105"/>
        <v>4</v>
      </c>
      <c r="HI42" s="65"/>
      <c r="HJ42" s="63"/>
      <c r="HK42" s="59">
        <v>4.125</v>
      </c>
      <c r="HL42" s="56">
        <f t="shared" si="106"/>
        <v>4</v>
      </c>
      <c r="HM42" s="66"/>
      <c r="HN42" s="63"/>
      <c r="HO42" s="54" t="e">
        <f t="shared" si="107"/>
        <v>#REF!</v>
      </c>
      <c r="HP42" s="54" t="e">
        <f t="shared" si="108"/>
        <v>#REF!</v>
      </c>
      <c r="HQ42" s="59">
        <v>4.125</v>
      </c>
      <c r="HR42" s="56">
        <f t="shared" si="109"/>
        <v>4</v>
      </c>
      <c r="HS42" s="43"/>
      <c r="HT42" s="42"/>
      <c r="HU42" s="59">
        <v>4.125</v>
      </c>
      <c r="HV42" s="56">
        <f t="shared" si="110"/>
        <v>4</v>
      </c>
      <c r="HW42" s="43"/>
      <c r="HX42" s="42"/>
      <c r="HY42" s="59">
        <v>4.125</v>
      </c>
      <c r="HZ42" s="56">
        <f t="shared" si="111"/>
        <v>4</v>
      </c>
      <c r="IA42" s="43"/>
      <c r="IB42" s="42"/>
      <c r="IC42" s="59">
        <v>4.125</v>
      </c>
      <c r="ID42" s="56">
        <f t="shared" si="112"/>
        <v>4</v>
      </c>
      <c r="IE42" s="43"/>
      <c r="IF42" s="42"/>
      <c r="IG42" s="59">
        <v>4.125</v>
      </c>
      <c r="IH42" s="56">
        <f t="shared" si="113"/>
        <v>4</v>
      </c>
      <c r="II42" s="44"/>
      <c r="IJ42" s="42"/>
      <c r="IK42" s="59">
        <v>4.125</v>
      </c>
      <c r="IL42" s="56">
        <f t="shared" si="114"/>
        <v>4</v>
      </c>
      <c r="IM42" s="44"/>
      <c r="IN42" s="57"/>
      <c r="IO42" s="59">
        <v>4.125</v>
      </c>
      <c r="IP42" s="56">
        <f t="shared" si="115"/>
        <v>4</v>
      </c>
      <c r="IQ42" s="44"/>
      <c r="IR42" s="63"/>
      <c r="IS42" s="59">
        <v>4.125</v>
      </c>
      <c r="IT42" s="56">
        <f t="shared" si="116"/>
        <v>4</v>
      </c>
      <c r="IU42" s="44"/>
      <c r="IV42" s="63"/>
      <c r="IW42" s="59">
        <v>4.125</v>
      </c>
      <c r="IX42" s="56">
        <f t="shared" si="117"/>
        <v>4</v>
      </c>
      <c r="IY42" s="44"/>
      <c r="IZ42" s="63"/>
      <c r="JA42" s="59">
        <v>4.125</v>
      </c>
      <c r="JB42" s="56">
        <f t="shared" si="118"/>
        <v>4</v>
      </c>
      <c r="JC42" s="44"/>
      <c r="JD42" s="63"/>
      <c r="JE42" s="59">
        <v>4.125</v>
      </c>
      <c r="JF42" s="56">
        <f t="shared" si="119"/>
        <v>4</v>
      </c>
      <c r="JG42" s="65"/>
      <c r="JH42" s="63"/>
      <c r="JI42" s="59">
        <v>4.125</v>
      </c>
      <c r="JJ42" s="56">
        <f t="shared" si="120"/>
        <v>4</v>
      </c>
      <c r="JK42" s="66"/>
      <c r="JL42" s="63"/>
      <c r="JM42" s="54">
        <f t="shared" si="121"/>
        <v>49.5</v>
      </c>
      <c r="JN42" s="54">
        <f t="shared" si="122"/>
        <v>27585.2412</v>
      </c>
    </row>
    <row r="43" spans="1:274">
      <c r="A43" s="249"/>
      <c r="B43" s="250"/>
      <c r="C43" s="250"/>
      <c r="D43" s="249"/>
      <c r="E43" s="36">
        <v>38</v>
      </c>
      <c r="F43" s="37"/>
      <c r="G43" s="38">
        <v>4254600080</v>
      </c>
      <c r="H43" s="39" t="s">
        <v>79</v>
      </c>
      <c r="I43" s="69">
        <v>557.27760000000001</v>
      </c>
      <c r="J43" s="36"/>
      <c r="K43" s="36"/>
      <c r="L43" s="36"/>
      <c r="M43" s="41"/>
      <c r="N43" s="42"/>
      <c r="O43" s="43"/>
      <c r="P43" s="42"/>
      <c r="Q43" s="41"/>
      <c r="R43" s="42"/>
      <c r="S43" s="43"/>
      <c r="T43" s="42"/>
      <c r="U43" s="41"/>
      <c r="V43" s="42"/>
      <c r="W43" s="43"/>
      <c r="X43" s="42"/>
      <c r="Y43" s="41"/>
      <c r="Z43" s="42"/>
      <c r="AA43" s="43"/>
      <c r="AB43" s="42"/>
      <c r="AC43" s="41"/>
      <c r="AD43" s="42"/>
      <c r="AE43" s="44"/>
      <c r="AF43" s="42"/>
      <c r="AG43" s="41"/>
      <c r="AH43" s="46"/>
      <c r="AI43" s="44"/>
      <c r="AJ43" s="253"/>
      <c r="AK43" s="41"/>
      <c r="AL43" s="42"/>
      <c r="AM43" s="47"/>
      <c r="AN43" s="63"/>
      <c r="AO43" s="41"/>
      <c r="AP43" s="42"/>
      <c r="AQ43" s="43"/>
      <c r="AR43" s="64"/>
      <c r="AS43" s="41"/>
      <c r="AT43" s="42"/>
      <c r="AU43" s="44"/>
      <c r="AV43" s="63"/>
      <c r="AW43" s="41"/>
      <c r="AX43" s="42"/>
      <c r="AY43" s="44"/>
      <c r="AZ43" s="63"/>
      <c r="BA43" s="41"/>
      <c r="BB43" s="42"/>
      <c r="BC43" s="65"/>
      <c r="BD43" s="63"/>
      <c r="BE43" s="41"/>
      <c r="BF43" s="42"/>
      <c r="BG43" s="66"/>
      <c r="BH43" s="63"/>
      <c r="BI43" s="54">
        <f t="shared" si="123"/>
        <v>0</v>
      </c>
      <c r="BJ43" s="54">
        <f t="shared" si="124"/>
        <v>0</v>
      </c>
      <c r="BK43" s="41">
        <v>3</v>
      </c>
      <c r="BL43" s="55">
        <f t="shared" si="79"/>
        <v>3</v>
      </c>
      <c r="BM43" s="56">
        <v>3</v>
      </c>
      <c r="BN43" s="43">
        <v>1</v>
      </c>
      <c r="BO43" s="42"/>
      <c r="BP43" s="41">
        <v>3</v>
      </c>
      <c r="BQ43" s="55">
        <f t="shared" si="80"/>
        <v>3</v>
      </c>
      <c r="BR43" s="56">
        <v>3</v>
      </c>
      <c r="BS43" s="43">
        <v>2</v>
      </c>
      <c r="BT43" s="42"/>
      <c r="BU43" s="41">
        <v>3</v>
      </c>
      <c r="BV43" s="55">
        <f t="shared" si="81"/>
        <v>3</v>
      </c>
      <c r="BW43" s="56">
        <v>3</v>
      </c>
      <c r="BX43" s="43">
        <v>2</v>
      </c>
      <c r="BY43" s="42"/>
      <c r="BZ43" s="41">
        <v>3</v>
      </c>
      <c r="CA43" s="55">
        <f t="shared" si="82"/>
        <v>3</v>
      </c>
      <c r="CB43" s="56">
        <v>3</v>
      </c>
      <c r="CC43" s="43">
        <v>4</v>
      </c>
      <c r="CD43" s="42"/>
      <c r="CE43" s="41">
        <v>3</v>
      </c>
      <c r="CF43" s="55">
        <f t="shared" si="83"/>
        <v>3</v>
      </c>
      <c r="CG43" s="56">
        <v>3</v>
      </c>
      <c r="CH43" s="44">
        <v>0</v>
      </c>
      <c r="CI43" s="42"/>
      <c r="CJ43" s="41">
        <v>3</v>
      </c>
      <c r="CK43" s="55">
        <f t="shared" si="84"/>
        <v>3</v>
      </c>
      <c r="CL43" s="56">
        <v>3</v>
      </c>
      <c r="CM43" s="44">
        <v>2</v>
      </c>
      <c r="CN43" s="57"/>
      <c r="CO43" s="41">
        <v>3</v>
      </c>
      <c r="CP43" s="55">
        <f t="shared" si="85"/>
        <v>3</v>
      </c>
      <c r="CQ43" s="56">
        <v>3</v>
      </c>
      <c r="CR43" s="44">
        <v>2</v>
      </c>
      <c r="CS43" s="63"/>
      <c r="CT43" s="41">
        <v>3</v>
      </c>
      <c r="CU43" s="55">
        <f t="shared" si="86"/>
        <v>3</v>
      </c>
      <c r="CV43" s="56">
        <v>3</v>
      </c>
      <c r="CW43" s="44"/>
      <c r="CX43" s="63"/>
      <c r="CY43" s="41">
        <v>3</v>
      </c>
      <c r="CZ43" s="55">
        <f t="shared" si="87"/>
        <v>3</v>
      </c>
      <c r="DA43" s="56">
        <v>3</v>
      </c>
      <c r="DB43" s="44">
        <v>10</v>
      </c>
      <c r="DC43" s="63"/>
      <c r="DD43" s="41">
        <v>3</v>
      </c>
      <c r="DE43" s="55">
        <f t="shared" si="88"/>
        <v>3</v>
      </c>
      <c r="DF43" s="56">
        <v>3</v>
      </c>
      <c r="DG43" s="44">
        <v>2</v>
      </c>
      <c r="DH43" s="63"/>
      <c r="DI43" s="41">
        <v>3</v>
      </c>
      <c r="DJ43" s="55">
        <f t="shared" si="89"/>
        <v>3</v>
      </c>
      <c r="DK43" s="56">
        <v>3</v>
      </c>
      <c r="DL43" s="65">
        <v>4</v>
      </c>
      <c r="DM43" s="63"/>
      <c r="DN43" s="41">
        <v>3</v>
      </c>
      <c r="DO43" s="55">
        <f t="shared" si="90"/>
        <v>3</v>
      </c>
      <c r="DP43" s="56">
        <v>3</v>
      </c>
      <c r="DQ43" s="66"/>
      <c r="DR43" s="63"/>
      <c r="DS43" s="54">
        <f t="shared" si="91"/>
        <v>36</v>
      </c>
      <c r="DT43" s="54">
        <f t="shared" si="92"/>
        <v>20061.993600000002</v>
      </c>
      <c r="DU43" s="41">
        <v>3</v>
      </c>
      <c r="DV43" s="56">
        <f t="shared" si="68"/>
        <v>3</v>
      </c>
      <c r="DW43" s="43">
        <v>2</v>
      </c>
      <c r="DX43" s="42"/>
      <c r="DY43" s="41">
        <v>3</v>
      </c>
      <c r="DZ43" s="56">
        <v>20</v>
      </c>
      <c r="EA43" s="43">
        <v>20</v>
      </c>
      <c r="EB43" s="42"/>
      <c r="EC43" s="41">
        <v>3</v>
      </c>
      <c r="ED43" s="56">
        <v>20</v>
      </c>
      <c r="EE43" s="43">
        <v>20</v>
      </c>
      <c r="EF43" s="42"/>
      <c r="EG43" s="41">
        <v>3</v>
      </c>
      <c r="EH43" s="56">
        <v>10</v>
      </c>
      <c r="EI43" s="43"/>
      <c r="EJ43" s="42"/>
      <c r="EK43" s="41">
        <v>3</v>
      </c>
      <c r="EL43" s="56">
        <v>10</v>
      </c>
      <c r="EM43" s="44"/>
      <c r="EN43" s="42"/>
      <c r="EO43" s="41">
        <v>3</v>
      </c>
      <c r="EP43" s="56">
        <f t="shared" si="72"/>
        <v>3</v>
      </c>
      <c r="EQ43" s="44"/>
      <c r="ER43" s="57"/>
      <c r="ES43" s="41">
        <v>3</v>
      </c>
      <c r="ET43" s="56">
        <f t="shared" si="73"/>
        <v>3</v>
      </c>
      <c r="EU43" s="44"/>
      <c r="EV43" s="63"/>
      <c r="EW43" s="41">
        <v>3</v>
      </c>
      <c r="EX43" s="56">
        <f t="shared" si="74"/>
        <v>3</v>
      </c>
      <c r="EY43" s="44"/>
      <c r="EZ43" s="63"/>
      <c r="FA43" s="41">
        <v>3</v>
      </c>
      <c r="FB43" s="56">
        <f t="shared" si="75"/>
        <v>3</v>
      </c>
      <c r="FC43" s="44"/>
      <c r="FD43" s="63"/>
      <c r="FE43" s="41">
        <v>3</v>
      </c>
      <c r="FF43" s="56">
        <f t="shared" si="76"/>
        <v>3</v>
      </c>
      <c r="FG43" s="44"/>
      <c r="FH43" s="63"/>
      <c r="FI43" s="41">
        <v>3</v>
      </c>
      <c r="FJ43" s="241">
        <f t="shared" si="77"/>
        <v>3</v>
      </c>
      <c r="FK43" s="65"/>
      <c r="FL43" s="63"/>
      <c r="FM43" s="41">
        <v>3</v>
      </c>
      <c r="FN43" s="241">
        <f t="shared" si="78"/>
        <v>3</v>
      </c>
      <c r="FO43" s="66"/>
      <c r="FP43" s="63"/>
      <c r="FQ43" s="54">
        <f t="shared" si="93"/>
        <v>36</v>
      </c>
      <c r="FR43" s="54">
        <f t="shared" si="94"/>
        <v>20061.993600000002</v>
      </c>
      <c r="FS43" s="58" t="e">
        <v>#REF!</v>
      </c>
      <c r="FT43" s="56" t="e">
        <f t="shared" si="95"/>
        <v>#REF!</v>
      </c>
      <c r="FU43" s="43"/>
      <c r="FV43" s="42"/>
      <c r="FW43" s="58">
        <v>3.2625000000000002</v>
      </c>
      <c r="FX43" s="56">
        <f t="shared" si="96"/>
        <v>3</v>
      </c>
      <c r="FY43" s="43"/>
      <c r="FZ43" s="42"/>
      <c r="GA43" s="59">
        <v>4.125</v>
      </c>
      <c r="GB43" s="56">
        <f t="shared" si="97"/>
        <v>4</v>
      </c>
      <c r="GC43" s="43"/>
      <c r="GD43" s="42"/>
      <c r="GE43" s="59">
        <v>4.125</v>
      </c>
      <c r="GF43" s="56">
        <f t="shared" si="98"/>
        <v>4</v>
      </c>
      <c r="GG43" s="43"/>
      <c r="GH43" s="42"/>
      <c r="GI43" s="59">
        <v>4.125</v>
      </c>
      <c r="GJ43" s="56">
        <f t="shared" si="99"/>
        <v>4</v>
      </c>
      <c r="GK43" s="44"/>
      <c r="GL43" s="42"/>
      <c r="GM43" s="59">
        <v>4.125</v>
      </c>
      <c r="GN43" s="56">
        <f t="shared" si="100"/>
        <v>4</v>
      </c>
      <c r="GO43" s="44"/>
      <c r="GP43" s="57"/>
      <c r="GQ43" s="59">
        <v>4.125</v>
      </c>
      <c r="GR43" s="56">
        <f t="shared" si="101"/>
        <v>4</v>
      </c>
      <c r="GS43" s="44"/>
      <c r="GT43" s="63"/>
      <c r="GU43" s="59">
        <v>4.125</v>
      </c>
      <c r="GV43" s="56">
        <f t="shared" si="102"/>
        <v>4</v>
      </c>
      <c r="GW43" s="44"/>
      <c r="GX43" s="63"/>
      <c r="GY43" s="59">
        <v>4.125</v>
      </c>
      <c r="GZ43" s="56">
        <f t="shared" si="103"/>
        <v>4</v>
      </c>
      <c r="HA43" s="44"/>
      <c r="HB43" s="63"/>
      <c r="HC43" s="59">
        <v>4.125</v>
      </c>
      <c r="HD43" s="56">
        <f t="shared" si="104"/>
        <v>4</v>
      </c>
      <c r="HE43" s="44"/>
      <c r="HF43" s="63"/>
      <c r="HG43" s="59">
        <v>4.125</v>
      </c>
      <c r="HH43" s="56">
        <f t="shared" si="105"/>
        <v>4</v>
      </c>
      <c r="HI43" s="65"/>
      <c r="HJ43" s="63"/>
      <c r="HK43" s="59">
        <v>4.125</v>
      </c>
      <c r="HL43" s="56">
        <f t="shared" si="106"/>
        <v>4</v>
      </c>
      <c r="HM43" s="66"/>
      <c r="HN43" s="63"/>
      <c r="HO43" s="54" t="e">
        <f t="shared" si="107"/>
        <v>#REF!</v>
      </c>
      <c r="HP43" s="54" t="e">
        <f t="shared" si="108"/>
        <v>#REF!</v>
      </c>
      <c r="HQ43" s="59">
        <v>4.125</v>
      </c>
      <c r="HR43" s="56">
        <f t="shared" si="109"/>
        <v>4</v>
      </c>
      <c r="HS43" s="43"/>
      <c r="HT43" s="42"/>
      <c r="HU43" s="59">
        <v>4.125</v>
      </c>
      <c r="HV43" s="56">
        <f t="shared" si="110"/>
        <v>4</v>
      </c>
      <c r="HW43" s="43"/>
      <c r="HX43" s="42"/>
      <c r="HY43" s="59">
        <v>4.125</v>
      </c>
      <c r="HZ43" s="56">
        <f t="shared" si="111"/>
        <v>4</v>
      </c>
      <c r="IA43" s="43"/>
      <c r="IB43" s="42"/>
      <c r="IC43" s="59">
        <v>4.125</v>
      </c>
      <c r="ID43" s="56">
        <f t="shared" si="112"/>
        <v>4</v>
      </c>
      <c r="IE43" s="43"/>
      <c r="IF43" s="42"/>
      <c r="IG43" s="59">
        <v>4.125</v>
      </c>
      <c r="IH43" s="56">
        <f t="shared" si="113"/>
        <v>4</v>
      </c>
      <c r="II43" s="44"/>
      <c r="IJ43" s="42"/>
      <c r="IK43" s="59">
        <v>4.125</v>
      </c>
      <c r="IL43" s="56">
        <f t="shared" si="114"/>
        <v>4</v>
      </c>
      <c r="IM43" s="44"/>
      <c r="IN43" s="57"/>
      <c r="IO43" s="59">
        <v>4.125</v>
      </c>
      <c r="IP43" s="56">
        <f t="shared" si="115"/>
        <v>4</v>
      </c>
      <c r="IQ43" s="44"/>
      <c r="IR43" s="63"/>
      <c r="IS43" s="59">
        <v>4.125</v>
      </c>
      <c r="IT43" s="56">
        <f t="shared" si="116"/>
        <v>4</v>
      </c>
      <c r="IU43" s="44"/>
      <c r="IV43" s="63"/>
      <c r="IW43" s="59">
        <v>4.125</v>
      </c>
      <c r="IX43" s="56">
        <f t="shared" si="117"/>
        <v>4</v>
      </c>
      <c r="IY43" s="44"/>
      <c r="IZ43" s="63"/>
      <c r="JA43" s="59">
        <v>4.125</v>
      </c>
      <c r="JB43" s="56">
        <f t="shared" si="118"/>
        <v>4</v>
      </c>
      <c r="JC43" s="44"/>
      <c r="JD43" s="63"/>
      <c r="JE43" s="59">
        <v>4.125</v>
      </c>
      <c r="JF43" s="56">
        <f t="shared" si="119"/>
        <v>4</v>
      </c>
      <c r="JG43" s="65"/>
      <c r="JH43" s="63"/>
      <c r="JI43" s="59">
        <v>4.125</v>
      </c>
      <c r="JJ43" s="56">
        <f t="shared" si="120"/>
        <v>4</v>
      </c>
      <c r="JK43" s="66"/>
      <c r="JL43" s="63"/>
      <c r="JM43" s="54">
        <f t="shared" si="121"/>
        <v>49.5</v>
      </c>
      <c r="JN43" s="54">
        <f t="shared" si="122"/>
        <v>27585.2412</v>
      </c>
    </row>
    <row r="44" spans="1:274">
      <c r="A44" s="249"/>
      <c r="B44" s="250"/>
      <c r="C44" s="250"/>
      <c r="D44" s="249"/>
      <c r="E44" s="36">
        <v>39</v>
      </c>
      <c r="F44" s="37">
        <v>2</v>
      </c>
      <c r="G44" s="38">
        <v>4460046440</v>
      </c>
      <c r="H44" s="39" t="s">
        <v>80</v>
      </c>
      <c r="I44" s="69">
        <v>718.76160000000004</v>
      </c>
      <c r="J44" s="36"/>
      <c r="K44" s="36"/>
      <c r="L44" s="36"/>
      <c r="M44" s="41"/>
      <c r="N44" s="42"/>
      <c r="O44" s="43"/>
      <c r="P44" s="42"/>
      <c r="Q44" s="41"/>
      <c r="R44" s="42"/>
      <c r="S44" s="43"/>
      <c r="T44" s="42"/>
      <c r="U44" s="41"/>
      <c r="V44" s="42"/>
      <c r="W44" s="43"/>
      <c r="X44" s="42"/>
      <c r="Y44" s="41"/>
      <c r="Z44" s="42"/>
      <c r="AA44" s="43"/>
      <c r="AB44" s="42"/>
      <c r="AC44" s="41"/>
      <c r="AD44" s="42"/>
      <c r="AE44" s="44"/>
      <c r="AF44" s="42"/>
      <c r="AG44" s="41"/>
      <c r="AH44" s="46"/>
      <c r="AI44" s="44"/>
      <c r="AJ44" s="253"/>
      <c r="AK44" s="41"/>
      <c r="AL44" s="42"/>
      <c r="AM44" s="47"/>
      <c r="AN44" s="63"/>
      <c r="AO44" s="41"/>
      <c r="AP44" s="42"/>
      <c r="AQ44" s="43"/>
      <c r="AR44" s="64"/>
      <c r="AS44" s="41"/>
      <c r="AT44" s="42"/>
      <c r="AU44" s="44"/>
      <c r="AV44" s="63"/>
      <c r="AW44" s="41"/>
      <c r="AX44" s="42"/>
      <c r="AY44" s="44"/>
      <c r="AZ44" s="63"/>
      <c r="BA44" s="41"/>
      <c r="BB44" s="42"/>
      <c r="BC44" s="65"/>
      <c r="BD44" s="63"/>
      <c r="BE44" s="41"/>
      <c r="BF44" s="42"/>
      <c r="BG44" s="66"/>
      <c r="BH44" s="63"/>
      <c r="BI44" s="54">
        <f t="shared" si="123"/>
        <v>0</v>
      </c>
      <c r="BJ44" s="54">
        <f t="shared" si="124"/>
        <v>0</v>
      </c>
      <c r="BK44" s="41">
        <v>5</v>
      </c>
      <c r="BL44" s="55">
        <f t="shared" si="79"/>
        <v>5</v>
      </c>
      <c r="BM44" s="56">
        <v>5</v>
      </c>
      <c r="BN44" s="43">
        <v>5</v>
      </c>
      <c r="BO44" s="42"/>
      <c r="BP44" s="41">
        <v>5</v>
      </c>
      <c r="BQ44" s="55">
        <f t="shared" si="80"/>
        <v>5</v>
      </c>
      <c r="BR44" s="56">
        <v>5</v>
      </c>
      <c r="BS44" s="43">
        <v>16</v>
      </c>
      <c r="BT44" s="42"/>
      <c r="BU44" s="41">
        <v>5</v>
      </c>
      <c r="BV44" s="55">
        <f t="shared" si="81"/>
        <v>5</v>
      </c>
      <c r="BW44" s="56">
        <v>5</v>
      </c>
      <c r="BX44" s="43">
        <v>13</v>
      </c>
      <c r="BY44" s="42"/>
      <c r="BZ44" s="41">
        <v>5</v>
      </c>
      <c r="CA44" s="55">
        <f t="shared" si="82"/>
        <v>5</v>
      </c>
      <c r="CB44" s="56">
        <v>5</v>
      </c>
      <c r="CC44" s="43">
        <v>25</v>
      </c>
      <c r="CD44" s="42"/>
      <c r="CE44" s="41">
        <v>5</v>
      </c>
      <c r="CF44" s="55">
        <f t="shared" si="83"/>
        <v>5</v>
      </c>
      <c r="CG44" s="56">
        <v>5</v>
      </c>
      <c r="CH44" s="44">
        <v>2</v>
      </c>
      <c r="CI44" s="42"/>
      <c r="CJ44" s="41">
        <v>5</v>
      </c>
      <c r="CK44" s="55">
        <f t="shared" si="84"/>
        <v>5</v>
      </c>
      <c r="CL44" s="56">
        <v>5</v>
      </c>
      <c r="CM44" s="44">
        <v>8</v>
      </c>
      <c r="CN44" s="57"/>
      <c r="CO44" s="41">
        <v>5</v>
      </c>
      <c r="CP44" s="55">
        <f t="shared" si="85"/>
        <v>5</v>
      </c>
      <c r="CQ44" s="56">
        <v>5</v>
      </c>
      <c r="CR44" s="44">
        <v>13</v>
      </c>
      <c r="CS44" s="63"/>
      <c r="CT44" s="41">
        <v>5</v>
      </c>
      <c r="CU44" s="55">
        <f t="shared" si="86"/>
        <v>5</v>
      </c>
      <c r="CV44" s="56">
        <v>5</v>
      </c>
      <c r="CW44" s="44">
        <v>35</v>
      </c>
      <c r="CX44" s="63"/>
      <c r="CY44" s="41">
        <v>5</v>
      </c>
      <c r="CZ44" s="55">
        <f t="shared" si="87"/>
        <v>5</v>
      </c>
      <c r="DA44" s="56">
        <v>5</v>
      </c>
      <c r="DB44" s="44">
        <v>46</v>
      </c>
      <c r="DC44" s="63"/>
      <c r="DD44" s="41">
        <v>5</v>
      </c>
      <c r="DE44" s="55">
        <f t="shared" si="88"/>
        <v>5</v>
      </c>
      <c r="DF44" s="56">
        <v>5</v>
      </c>
      <c r="DG44" s="44">
        <v>15</v>
      </c>
      <c r="DH44" s="63"/>
      <c r="DI44" s="41">
        <v>5</v>
      </c>
      <c r="DJ44" s="55">
        <f t="shared" si="89"/>
        <v>5</v>
      </c>
      <c r="DK44" s="56">
        <v>5</v>
      </c>
      <c r="DL44" s="65"/>
      <c r="DM44" s="63"/>
      <c r="DN44" s="41">
        <v>5</v>
      </c>
      <c r="DO44" s="55">
        <f t="shared" si="90"/>
        <v>5</v>
      </c>
      <c r="DP44" s="56">
        <v>5</v>
      </c>
      <c r="DQ44" s="66"/>
      <c r="DR44" s="63"/>
      <c r="DS44" s="54">
        <f t="shared" si="91"/>
        <v>60</v>
      </c>
      <c r="DT44" s="54">
        <f t="shared" si="92"/>
        <v>43125.696000000004</v>
      </c>
      <c r="DU44" s="41">
        <v>14</v>
      </c>
      <c r="DV44" s="56">
        <f t="shared" si="68"/>
        <v>14</v>
      </c>
      <c r="DW44" s="43">
        <v>32</v>
      </c>
      <c r="DX44" s="42"/>
      <c r="DY44" s="41">
        <v>14</v>
      </c>
      <c r="DZ44" s="56">
        <v>0</v>
      </c>
      <c r="EA44" s="43">
        <v>10</v>
      </c>
      <c r="EB44" s="42"/>
      <c r="EC44" s="41">
        <v>14</v>
      </c>
      <c r="ED44" s="56">
        <v>0</v>
      </c>
      <c r="EE44" s="43"/>
      <c r="EF44" s="42"/>
      <c r="EG44" s="41">
        <v>14</v>
      </c>
      <c r="EH44" s="56">
        <v>0</v>
      </c>
      <c r="EI44" s="43"/>
      <c r="EJ44" s="42"/>
      <c r="EK44" s="41">
        <v>14</v>
      </c>
      <c r="EL44" s="56">
        <f>ROUNDDOWN(EK44,0)</f>
        <v>14</v>
      </c>
      <c r="EM44" s="44"/>
      <c r="EN44" s="42"/>
      <c r="EO44" s="41">
        <v>14</v>
      </c>
      <c r="EP44" s="56">
        <v>0</v>
      </c>
      <c r="EQ44" s="44"/>
      <c r="ER44" s="57"/>
      <c r="ES44" s="41">
        <v>14</v>
      </c>
      <c r="ET44" s="56">
        <v>0</v>
      </c>
      <c r="EU44" s="44"/>
      <c r="EV44" s="63"/>
      <c r="EW44" s="41">
        <v>14</v>
      </c>
      <c r="EX44" s="56">
        <f t="shared" si="74"/>
        <v>14</v>
      </c>
      <c r="EY44" s="44"/>
      <c r="EZ44" s="63"/>
      <c r="FA44" s="41">
        <v>14</v>
      </c>
      <c r="FB44" s="56">
        <f t="shared" si="75"/>
        <v>14</v>
      </c>
      <c r="FC44" s="44"/>
      <c r="FD44" s="63"/>
      <c r="FE44" s="41">
        <v>14</v>
      </c>
      <c r="FF44" s="56">
        <f t="shared" si="76"/>
        <v>14</v>
      </c>
      <c r="FG44" s="44"/>
      <c r="FH44" s="63"/>
      <c r="FI44" s="41">
        <v>14</v>
      </c>
      <c r="FJ44" s="241">
        <f t="shared" si="77"/>
        <v>14</v>
      </c>
      <c r="FK44" s="65"/>
      <c r="FL44" s="63"/>
      <c r="FM44" s="41">
        <v>14</v>
      </c>
      <c r="FN44" s="241">
        <f t="shared" si="78"/>
        <v>14</v>
      </c>
      <c r="FO44" s="66"/>
      <c r="FP44" s="63"/>
      <c r="FQ44" s="54">
        <f t="shared" si="93"/>
        <v>168</v>
      </c>
      <c r="FR44" s="54">
        <f t="shared" si="94"/>
        <v>120751.94880000001</v>
      </c>
      <c r="FS44" s="58" t="e">
        <v>#REF!</v>
      </c>
      <c r="FT44" s="56" t="e">
        <f t="shared" si="95"/>
        <v>#REF!</v>
      </c>
      <c r="FU44" s="43"/>
      <c r="FV44" s="42"/>
      <c r="FW44" s="58">
        <v>5.4375</v>
      </c>
      <c r="FX44" s="56">
        <f t="shared" si="96"/>
        <v>5</v>
      </c>
      <c r="FY44" s="43"/>
      <c r="FZ44" s="42"/>
      <c r="GA44" s="59">
        <v>6.8750000000000009</v>
      </c>
      <c r="GB44" s="56">
        <f t="shared" si="97"/>
        <v>6</v>
      </c>
      <c r="GC44" s="43"/>
      <c r="GD44" s="42"/>
      <c r="GE44" s="59">
        <v>6.8750000000000009</v>
      </c>
      <c r="GF44" s="56">
        <f t="shared" si="98"/>
        <v>6</v>
      </c>
      <c r="GG44" s="43"/>
      <c r="GH44" s="42"/>
      <c r="GI44" s="59">
        <v>6.8750000000000009</v>
      </c>
      <c r="GJ44" s="56">
        <f t="shared" si="99"/>
        <v>6</v>
      </c>
      <c r="GK44" s="44"/>
      <c r="GL44" s="42"/>
      <c r="GM44" s="59">
        <v>6.8750000000000009</v>
      </c>
      <c r="GN44" s="56">
        <f t="shared" si="100"/>
        <v>6</v>
      </c>
      <c r="GO44" s="44"/>
      <c r="GP44" s="57"/>
      <c r="GQ44" s="59">
        <v>6.8750000000000009</v>
      </c>
      <c r="GR44" s="56">
        <f t="shared" si="101"/>
        <v>6</v>
      </c>
      <c r="GS44" s="44"/>
      <c r="GT44" s="63"/>
      <c r="GU44" s="59">
        <v>6.8750000000000009</v>
      </c>
      <c r="GV44" s="56">
        <f t="shared" si="102"/>
        <v>6</v>
      </c>
      <c r="GW44" s="44"/>
      <c r="GX44" s="63"/>
      <c r="GY44" s="59">
        <v>6.8750000000000009</v>
      </c>
      <c r="GZ44" s="56">
        <f t="shared" si="103"/>
        <v>6</v>
      </c>
      <c r="HA44" s="44"/>
      <c r="HB44" s="63"/>
      <c r="HC44" s="59">
        <v>6.8750000000000009</v>
      </c>
      <c r="HD44" s="56">
        <f t="shared" si="104"/>
        <v>6</v>
      </c>
      <c r="HE44" s="44"/>
      <c r="HF44" s="63"/>
      <c r="HG44" s="59">
        <v>6.8750000000000009</v>
      </c>
      <c r="HH44" s="56">
        <f t="shared" si="105"/>
        <v>6</v>
      </c>
      <c r="HI44" s="65"/>
      <c r="HJ44" s="63"/>
      <c r="HK44" s="59">
        <v>6.8750000000000009</v>
      </c>
      <c r="HL44" s="56">
        <f t="shared" si="106"/>
        <v>6</v>
      </c>
      <c r="HM44" s="66"/>
      <c r="HN44" s="63"/>
      <c r="HO44" s="54" t="e">
        <f t="shared" si="107"/>
        <v>#REF!</v>
      </c>
      <c r="HP44" s="54" t="e">
        <f t="shared" si="108"/>
        <v>#REF!</v>
      </c>
      <c r="HQ44" s="59">
        <v>6.8750000000000009</v>
      </c>
      <c r="HR44" s="56">
        <f t="shared" si="109"/>
        <v>6</v>
      </c>
      <c r="HS44" s="43"/>
      <c r="HT44" s="42"/>
      <c r="HU44" s="59">
        <v>6.8750000000000009</v>
      </c>
      <c r="HV44" s="56">
        <f t="shared" si="110"/>
        <v>6</v>
      </c>
      <c r="HW44" s="43"/>
      <c r="HX44" s="42"/>
      <c r="HY44" s="59">
        <v>6.8750000000000009</v>
      </c>
      <c r="HZ44" s="56">
        <f t="shared" si="111"/>
        <v>6</v>
      </c>
      <c r="IA44" s="43"/>
      <c r="IB44" s="42"/>
      <c r="IC44" s="59">
        <v>6.8750000000000009</v>
      </c>
      <c r="ID44" s="56">
        <f t="shared" si="112"/>
        <v>6</v>
      </c>
      <c r="IE44" s="43"/>
      <c r="IF44" s="42"/>
      <c r="IG44" s="59">
        <v>6.8750000000000009</v>
      </c>
      <c r="IH44" s="56">
        <f t="shared" si="113"/>
        <v>6</v>
      </c>
      <c r="II44" s="44"/>
      <c r="IJ44" s="42"/>
      <c r="IK44" s="59">
        <v>6.8750000000000009</v>
      </c>
      <c r="IL44" s="56">
        <f t="shared" si="114"/>
        <v>6</v>
      </c>
      <c r="IM44" s="44"/>
      <c r="IN44" s="57"/>
      <c r="IO44" s="59">
        <v>6.8750000000000009</v>
      </c>
      <c r="IP44" s="56">
        <f t="shared" si="115"/>
        <v>6</v>
      </c>
      <c r="IQ44" s="44"/>
      <c r="IR44" s="63"/>
      <c r="IS44" s="59">
        <v>6.8750000000000009</v>
      </c>
      <c r="IT44" s="56">
        <f t="shared" si="116"/>
        <v>6</v>
      </c>
      <c r="IU44" s="44"/>
      <c r="IV44" s="63"/>
      <c r="IW44" s="59">
        <v>6.8750000000000009</v>
      </c>
      <c r="IX44" s="56">
        <f t="shared" si="117"/>
        <v>6</v>
      </c>
      <c r="IY44" s="44"/>
      <c r="IZ44" s="63"/>
      <c r="JA44" s="59">
        <v>6.8750000000000009</v>
      </c>
      <c r="JB44" s="56">
        <f t="shared" si="118"/>
        <v>6</v>
      </c>
      <c r="JC44" s="44"/>
      <c r="JD44" s="63"/>
      <c r="JE44" s="59">
        <v>6.8750000000000009</v>
      </c>
      <c r="JF44" s="56">
        <f t="shared" si="119"/>
        <v>6</v>
      </c>
      <c r="JG44" s="65"/>
      <c r="JH44" s="63"/>
      <c r="JI44" s="59">
        <v>6.8750000000000009</v>
      </c>
      <c r="JJ44" s="56">
        <f t="shared" si="120"/>
        <v>6</v>
      </c>
      <c r="JK44" s="66"/>
      <c r="JL44" s="63"/>
      <c r="JM44" s="54">
        <f t="shared" si="121"/>
        <v>82.500000000000014</v>
      </c>
      <c r="JN44" s="54">
        <f t="shared" si="122"/>
        <v>59297.832000000017</v>
      </c>
    </row>
    <row r="45" spans="1:274">
      <c r="A45" s="249"/>
      <c r="B45" s="250"/>
      <c r="C45" s="250"/>
      <c r="D45" s="249"/>
      <c r="E45" s="36">
        <v>40</v>
      </c>
      <c r="F45" s="37"/>
      <c r="G45" s="38">
        <v>6401950830</v>
      </c>
      <c r="H45" s="39" t="s">
        <v>81</v>
      </c>
      <c r="I45" s="69">
        <v>2058.1444980000001</v>
      </c>
      <c r="J45" s="36"/>
      <c r="K45" s="36"/>
      <c r="L45" s="36"/>
      <c r="M45" s="41"/>
      <c r="N45" s="42"/>
      <c r="O45" s="43"/>
      <c r="P45" s="42"/>
      <c r="Q45" s="41"/>
      <c r="R45" s="42"/>
      <c r="S45" s="43"/>
      <c r="T45" s="42"/>
      <c r="U45" s="41"/>
      <c r="V45" s="42"/>
      <c r="W45" s="43"/>
      <c r="X45" s="42"/>
      <c r="Y45" s="41"/>
      <c r="Z45" s="42"/>
      <c r="AA45" s="43"/>
      <c r="AB45" s="42"/>
      <c r="AC45" s="41"/>
      <c r="AD45" s="42"/>
      <c r="AE45" s="44"/>
      <c r="AF45" s="42"/>
      <c r="AG45" s="41"/>
      <c r="AH45" s="46"/>
      <c r="AI45" s="44"/>
      <c r="AJ45" s="253"/>
      <c r="AK45" s="41"/>
      <c r="AL45" s="42"/>
      <c r="AM45" s="47"/>
      <c r="AN45" s="63"/>
      <c r="AO45" s="41"/>
      <c r="AP45" s="42"/>
      <c r="AQ45" s="43"/>
      <c r="AR45" s="64"/>
      <c r="AS45" s="41"/>
      <c r="AT45" s="42"/>
      <c r="AU45" s="44"/>
      <c r="AV45" s="63"/>
      <c r="AW45" s="41"/>
      <c r="AX45" s="42"/>
      <c r="AY45" s="44"/>
      <c r="AZ45" s="63"/>
      <c r="BA45" s="41"/>
      <c r="BB45" s="42"/>
      <c r="BC45" s="65"/>
      <c r="BD45" s="63"/>
      <c r="BE45" s="41"/>
      <c r="BF45" s="42"/>
      <c r="BG45" s="66"/>
      <c r="BH45" s="63"/>
      <c r="BI45" s="54">
        <f t="shared" si="123"/>
        <v>0</v>
      </c>
      <c r="BJ45" s="54">
        <f t="shared" si="124"/>
        <v>0</v>
      </c>
      <c r="BK45" s="41">
        <v>9</v>
      </c>
      <c r="BL45" s="55">
        <f t="shared" si="79"/>
        <v>8</v>
      </c>
      <c r="BM45" s="56">
        <v>9</v>
      </c>
      <c r="BN45" s="43">
        <v>0</v>
      </c>
      <c r="BO45" s="42"/>
      <c r="BP45" s="41">
        <v>9</v>
      </c>
      <c r="BQ45" s="55">
        <f t="shared" si="80"/>
        <v>8</v>
      </c>
      <c r="BR45" s="56">
        <v>9</v>
      </c>
      <c r="BS45" s="43">
        <v>0</v>
      </c>
      <c r="BT45" s="42"/>
      <c r="BU45" s="41">
        <v>9</v>
      </c>
      <c r="BV45" s="55">
        <f t="shared" si="81"/>
        <v>8</v>
      </c>
      <c r="BW45" s="56">
        <v>9</v>
      </c>
      <c r="BX45" s="43">
        <v>1</v>
      </c>
      <c r="BY45" s="42"/>
      <c r="BZ45" s="41">
        <v>9</v>
      </c>
      <c r="CA45" s="55">
        <f t="shared" si="82"/>
        <v>8</v>
      </c>
      <c r="CB45" s="56">
        <v>9</v>
      </c>
      <c r="CC45" s="43">
        <v>0</v>
      </c>
      <c r="CD45" s="42"/>
      <c r="CE45" s="41">
        <v>9</v>
      </c>
      <c r="CF45" s="55">
        <f t="shared" si="83"/>
        <v>8</v>
      </c>
      <c r="CG45" s="56">
        <v>9</v>
      </c>
      <c r="CH45" s="44">
        <v>9</v>
      </c>
      <c r="CI45" s="42"/>
      <c r="CJ45" s="41">
        <v>9</v>
      </c>
      <c r="CK45" s="55">
        <f t="shared" si="84"/>
        <v>8</v>
      </c>
      <c r="CL45" s="56">
        <v>9</v>
      </c>
      <c r="CM45" s="44">
        <v>4</v>
      </c>
      <c r="CN45" s="57"/>
      <c r="CO45" s="41">
        <v>9</v>
      </c>
      <c r="CP45" s="55">
        <f t="shared" si="85"/>
        <v>8</v>
      </c>
      <c r="CQ45" s="56">
        <v>9</v>
      </c>
      <c r="CR45" s="44">
        <v>10</v>
      </c>
      <c r="CS45" s="63"/>
      <c r="CT45" s="41">
        <v>9</v>
      </c>
      <c r="CU45" s="55">
        <f t="shared" si="86"/>
        <v>8</v>
      </c>
      <c r="CV45" s="56">
        <v>9</v>
      </c>
      <c r="CW45" s="44"/>
      <c r="CX45" s="63"/>
      <c r="CY45" s="41">
        <v>9</v>
      </c>
      <c r="CZ45" s="55">
        <f t="shared" si="87"/>
        <v>8</v>
      </c>
      <c r="DA45" s="56">
        <v>9</v>
      </c>
      <c r="DB45" s="44">
        <v>8</v>
      </c>
      <c r="DC45" s="63"/>
      <c r="DD45" s="41">
        <v>9</v>
      </c>
      <c r="DE45" s="55">
        <f t="shared" si="88"/>
        <v>8</v>
      </c>
      <c r="DF45" s="56">
        <v>9</v>
      </c>
      <c r="DG45" s="44">
        <v>8</v>
      </c>
      <c r="DH45" s="63"/>
      <c r="DI45" s="41">
        <v>9</v>
      </c>
      <c r="DJ45" s="55">
        <f t="shared" si="89"/>
        <v>8</v>
      </c>
      <c r="DK45" s="56">
        <v>9</v>
      </c>
      <c r="DL45" s="65"/>
      <c r="DM45" s="63"/>
      <c r="DN45" s="41">
        <v>9</v>
      </c>
      <c r="DO45" s="55">
        <f t="shared" si="90"/>
        <v>8</v>
      </c>
      <c r="DP45" s="56">
        <v>9</v>
      </c>
      <c r="DQ45" s="66">
        <v>4</v>
      </c>
      <c r="DR45" s="63"/>
      <c r="DS45" s="54">
        <f t="shared" si="91"/>
        <v>108</v>
      </c>
      <c r="DT45" s="54">
        <f t="shared" si="92"/>
        <v>222279.60578400001</v>
      </c>
      <c r="DU45" s="41">
        <v>4</v>
      </c>
      <c r="DV45" s="56">
        <f t="shared" si="68"/>
        <v>4</v>
      </c>
      <c r="DW45" s="43">
        <v>11</v>
      </c>
      <c r="DX45" s="42"/>
      <c r="DY45" s="41">
        <v>4</v>
      </c>
      <c r="DZ45" s="56">
        <v>6</v>
      </c>
      <c r="EA45" s="43"/>
      <c r="EB45" s="42"/>
      <c r="EC45" s="41">
        <v>4</v>
      </c>
      <c r="ED45" s="56">
        <v>6</v>
      </c>
      <c r="EE45" s="43">
        <v>4</v>
      </c>
      <c r="EF45" s="42"/>
      <c r="EG45" s="41">
        <v>4</v>
      </c>
      <c r="EH45" s="56">
        <v>6</v>
      </c>
      <c r="EI45" s="43">
        <v>4</v>
      </c>
      <c r="EJ45" s="42"/>
      <c r="EK45" s="41">
        <v>4</v>
      </c>
      <c r="EL45" s="56">
        <v>6</v>
      </c>
      <c r="EM45" s="44">
        <v>14</v>
      </c>
      <c r="EN45" s="42"/>
      <c r="EO45" s="41">
        <v>4</v>
      </c>
      <c r="EP45" s="56">
        <v>6</v>
      </c>
      <c r="EQ45" s="44"/>
      <c r="ER45" s="57"/>
      <c r="ES45" s="41">
        <v>4</v>
      </c>
      <c r="ET45" s="56">
        <v>6</v>
      </c>
      <c r="EU45" s="44"/>
      <c r="EV45" s="63"/>
      <c r="EW45" s="41">
        <v>4</v>
      </c>
      <c r="EX45" s="56">
        <v>6</v>
      </c>
      <c r="EY45" s="44"/>
      <c r="EZ45" s="63"/>
      <c r="FA45" s="41">
        <v>4</v>
      </c>
      <c r="FB45" s="56">
        <v>6</v>
      </c>
      <c r="FC45" s="44"/>
      <c r="FD45" s="63"/>
      <c r="FE45" s="41">
        <v>4</v>
      </c>
      <c r="FF45" s="56">
        <v>6</v>
      </c>
      <c r="FG45" s="44"/>
      <c r="FH45" s="63"/>
      <c r="FI45" s="41">
        <v>4</v>
      </c>
      <c r="FJ45" s="241">
        <v>6</v>
      </c>
      <c r="FK45" s="65"/>
      <c r="FL45" s="63"/>
      <c r="FM45" s="41">
        <v>4</v>
      </c>
      <c r="FN45" s="241">
        <v>6</v>
      </c>
      <c r="FO45" s="66"/>
      <c r="FP45" s="63"/>
      <c r="FQ45" s="54">
        <f t="shared" si="93"/>
        <v>48</v>
      </c>
      <c r="FR45" s="54">
        <f t="shared" si="94"/>
        <v>98790.935904000013</v>
      </c>
      <c r="FS45" s="58" t="e">
        <v>#REF!</v>
      </c>
      <c r="FT45" s="56" t="e">
        <f t="shared" si="95"/>
        <v>#REF!</v>
      </c>
      <c r="FU45" s="43"/>
      <c r="FV45" s="42"/>
      <c r="FW45" s="58">
        <v>9.7874999999999996</v>
      </c>
      <c r="FX45" s="56">
        <f t="shared" si="96"/>
        <v>9</v>
      </c>
      <c r="FY45" s="43"/>
      <c r="FZ45" s="42"/>
      <c r="GA45" s="59">
        <v>12.375000000000002</v>
      </c>
      <c r="GB45" s="56">
        <f t="shared" si="97"/>
        <v>12</v>
      </c>
      <c r="GC45" s="43"/>
      <c r="GD45" s="42"/>
      <c r="GE45" s="59">
        <v>12.375000000000002</v>
      </c>
      <c r="GF45" s="56">
        <f t="shared" si="98"/>
        <v>12</v>
      </c>
      <c r="GG45" s="43"/>
      <c r="GH45" s="42"/>
      <c r="GI45" s="59">
        <v>12.375000000000002</v>
      </c>
      <c r="GJ45" s="56">
        <f t="shared" si="99"/>
        <v>12</v>
      </c>
      <c r="GK45" s="44"/>
      <c r="GL45" s="42"/>
      <c r="GM45" s="59">
        <v>12.375000000000002</v>
      </c>
      <c r="GN45" s="56">
        <f t="shared" si="100"/>
        <v>12</v>
      </c>
      <c r="GO45" s="44"/>
      <c r="GP45" s="57"/>
      <c r="GQ45" s="59">
        <v>12.375000000000002</v>
      </c>
      <c r="GR45" s="56">
        <f t="shared" si="101"/>
        <v>12</v>
      </c>
      <c r="GS45" s="44"/>
      <c r="GT45" s="63"/>
      <c r="GU45" s="59">
        <v>12.375000000000002</v>
      </c>
      <c r="GV45" s="56">
        <f t="shared" si="102"/>
        <v>12</v>
      </c>
      <c r="GW45" s="44"/>
      <c r="GX45" s="63"/>
      <c r="GY45" s="59">
        <v>12.375000000000002</v>
      </c>
      <c r="GZ45" s="56">
        <f t="shared" si="103"/>
        <v>12</v>
      </c>
      <c r="HA45" s="44"/>
      <c r="HB45" s="63"/>
      <c r="HC45" s="59">
        <v>12.375000000000002</v>
      </c>
      <c r="HD45" s="56">
        <f t="shared" si="104"/>
        <v>12</v>
      </c>
      <c r="HE45" s="44"/>
      <c r="HF45" s="63"/>
      <c r="HG45" s="59">
        <v>12.375000000000002</v>
      </c>
      <c r="HH45" s="56">
        <f t="shared" si="105"/>
        <v>12</v>
      </c>
      <c r="HI45" s="65"/>
      <c r="HJ45" s="63"/>
      <c r="HK45" s="59">
        <v>12.375000000000002</v>
      </c>
      <c r="HL45" s="56">
        <f t="shared" si="106"/>
        <v>12</v>
      </c>
      <c r="HM45" s="66"/>
      <c r="HN45" s="63"/>
      <c r="HO45" s="54" t="e">
        <f t="shared" si="107"/>
        <v>#REF!</v>
      </c>
      <c r="HP45" s="54" t="e">
        <f t="shared" si="108"/>
        <v>#REF!</v>
      </c>
      <c r="HQ45" s="59">
        <v>12.375000000000002</v>
      </c>
      <c r="HR45" s="56">
        <f t="shared" si="109"/>
        <v>12</v>
      </c>
      <c r="HS45" s="43"/>
      <c r="HT45" s="42"/>
      <c r="HU45" s="59">
        <v>12.375000000000002</v>
      </c>
      <c r="HV45" s="56">
        <f t="shared" si="110"/>
        <v>12</v>
      </c>
      <c r="HW45" s="43"/>
      <c r="HX45" s="42"/>
      <c r="HY45" s="59">
        <v>12.375000000000002</v>
      </c>
      <c r="HZ45" s="56">
        <f t="shared" si="111"/>
        <v>12</v>
      </c>
      <c r="IA45" s="43"/>
      <c r="IB45" s="42"/>
      <c r="IC45" s="59">
        <v>12.375000000000002</v>
      </c>
      <c r="ID45" s="56">
        <f t="shared" si="112"/>
        <v>12</v>
      </c>
      <c r="IE45" s="43"/>
      <c r="IF45" s="42"/>
      <c r="IG45" s="59">
        <v>12.375000000000002</v>
      </c>
      <c r="IH45" s="56">
        <f t="shared" si="113"/>
        <v>12</v>
      </c>
      <c r="II45" s="44"/>
      <c r="IJ45" s="42"/>
      <c r="IK45" s="59">
        <v>12.375000000000002</v>
      </c>
      <c r="IL45" s="56">
        <f t="shared" si="114"/>
        <v>12</v>
      </c>
      <c r="IM45" s="44"/>
      <c r="IN45" s="57"/>
      <c r="IO45" s="59">
        <v>12.375000000000002</v>
      </c>
      <c r="IP45" s="56">
        <f t="shared" si="115"/>
        <v>12</v>
      </c>
      <c r="IQ45" s="44"/>
      <c r="IR45" s="63"/>
      <c r="IS45" s="59">
        <v>12.375000000000002</v>
      </c>
      <c r="IT45" s="56">
        <f t="shared" si="116"/>
        <v>12</v>
      </c>
      <c r="IU45" s="44"/>
      <c r="IV45" s="63"/>
      <c r="IW45" s="59">
        <v>12.375000000000002</v>
      </c>
      <c r="IX45" s="56">
        <f t="shared" si="117"/>
        <v>12</v>
      </c>
      <c r="IY45" s="44"/>
      <c r="IZ45" s="63"/>
      <c r="JA45" s="59">
        <v>12.375000000000002</v>
      </c>
      <c r="JB45" s="56">
        <f t="shared" si="118"/>
        <v>12</v>
      </c>
      <c r="JC45" s="44"/>
      <c r="JD45" s="63"/>
      <c r="JE45" s="59">
        <v>12.375000000000002</v>
      </c>
      <c r="JF45" s="56">
        <f t="shared" si="119"/>
        <v>12</v>
      </c>
      <c r="JG45" s="65"/>
      <c r="JH45" s="63"/>
      <c r="JI45" s="59">
        <v>12.375000000000002</v>
      </c>
      <c r="JJ45" s="56">
        <f t="shared" si="120"/>
        <v>12</v>
      </c>
      <c r="JK45" s="66"/>
      <c r="JL45" s="63"/>
      <c r="JM45" s="54">
        <f t="shared" si="121"/>
        <v>148.50000000000003</v>
      </c>
      <c r="JN45" s="54">
        <f t="shared" si="122"/>
        <v>305634.45795300009</v>
      </c>
    </row>
    <row r="46" spans="1:274">
      <c r="A46" s="249"/>
      <c r="B46" s="250"/>
      <c r="C46" s="250"/>
      <c r="D46" s="249"/>
      <c r="E46" s="36">
        <v>41</v>
      </c>
      <c r="F46" s="37"/>
      <c r="G46" s="38">
        <v>6401950840</v>
      </c>
      <c r="H46" s="39" t="s">
        <v>82</v>
      </c>
      <c r="I46" s="69">
        <v>2058.1444980000001</v>
      </c>
      <c r="J46" s="36"/>
      <c r="K46" s="36"/>
      <c r="L46" s="36"/>
      <c r="M46" s="41"/>
      <c r="N46" s="42"/>
      <c r="O46" s="43"/>
      <c r="P46" s="42"/>
      <c r="Q46" s="41"/>
      <c r="R46" s="42"/>
      <c r="S46" s="43"/>
      <c r="T46" s="42"/>
      <c r="U46" s="41"/>
      <c r="V46" s="42"/>
      <c r="W46" s="43"/>
      <c r="X46" s="42"/>
      <c r="Y46" s="41"/>
      <c r="Z46" s="42"/>
      <c r="AA46" s="43"/>
      <c r="AB46" s="42"/>
      <c r="AC46" s="41"/>
      <c r="AD46" s="42"/>
      <c r="AE46" s="44"/>
      <c r="AF46" s="42"/>
      <c r="AG46" s="41"/>
      <c r="AH46" s="46"/>
      <c r="AI46" s="44"/>
      <c r="AJ46" s="253"/>
      <c r="AK46" s="41"/>
      <c r="AL46" s="42"/>
      <c r="AM46" s="47"/>
      <c r="AN46" s="63"/>
      <c r="AO46" s="41"/>
      <c r="AP46" s="42"/>
      <c r="AQ46" s="43"/>
      <c r="AR46" s="64"/>
      <c r="AS46" s="41"/>
      <c r="AT46" s="42"/>
      <c r="AU46" s="44"/>
      <c r="AV46" s="63"/>
      <c r="AW46" s="41"/>
      <c r="AX46" s="42"/>
      <c r="AY46" s="44"/>
      <c r="AZ46" s="63"/>
      <c r="BA46" s="41"/>
      <c r="BB46" s="42"/>
      <c r="BC46" s="65"/>
      <c r="BD46" s="63"/>
      <c r="BE46" s="41"/>
      <c r="BF46" s="42"/>
      <c r="BG46" s="66"/>
      <c r="BH46" s="63"/>
      <c r="BI46" s="54">
        <f t="shared" si="123"/>
        <v>0</v>
      </c>
      <c r="BJ46" s="54">
        <f t="shared" si="124"/>
        <v>0</v>
      </c>
      <c r="BK46" s="41">
        <v>9</v>
      </c>
      <c r="BL46" s="55">
        <f t="shared" si="79"/>
        <v>8</v>
      </c>
      <c r="BM46" s="56">
        <v>9</v>
      </c>
      <c r="BN46" s="43">
        <v>0</v>
      </c>
      <c r="BO46" s="42"/>
      <c r="BP46" s="41">
        <v>9</v>
      </c>
      <c r="BQ46" s="55">
        <f t="shared" si="80"/>
        <v>8</v>
      </c>
      <c r="BR46" s="56">
        <v>9</v>
      </c>
      <c r="BS46" s="43">
        <v>0</v>
      </c>
      <c r="BT46" s="42"/>
      <c r="BU46" s="41">
        <v>9</v>
      </c>
      <c r="BV46" s="55">
        <f t="shared" si="81"/>
        <v>8</v>
      </c>
      <c r="BW46" s="56">
        <v>9</v>
      </c>
      <c r="BX46" s="43">
        <v>1</v>
      </c>
      <c r="BY46" s="42"/>
      <c r="BZ46" s="41">
        <v>9</v>
      </c>
      <c r="CA46" s="55">
        <f t="shared" si="82"/>
        <v>8</v>
      </c>
      <c r="CB46" s="56">
        <v>9</v>
      </c>
      <c r="CC46" s="43">
        <v>2</v>
      </c>
      <c r="CD46" s="42"/>
      <c r="CE46" s="41">
        <v>9</v>
      </c>
      <c r="CF46" s="55">
        <f t="shared" si="83"/>
        <v>8</v>
      </c>
      <c r="CG46" s="56">
        <v>9</v>
      </c>
      <c r="CH46" s="44">
        <v>9</v>
      </c>
      <c r="CI46" s="42"/>
      <c r="CJ46" s="41">
        <v>9</v>
      </c>
      <c r="CK46" s="55">
        <f t="shared" si="84"/>
        <v>8</v>
      </c>
      <c r="CL46" s="56">
        <v>9</v>
      </c>
      <c r="CM46" s="44">
        <v>2</v>
      </c>
      <c r="CN46" s="57"/>
      <c r="CO46" s="41">
        <v>9</v>
      </c>
      <c r="CP46" s="55">
        <f t="shared" si="85"/>
        <v>8</v>
      </c>
      <c r="CQ46" s="56">
        <v>9</v>
      </c>
      <c r="CR46" s="44">
        <v>10</v>
      </c>
      <c r="CS46" s="63"/>
      <c r="CT46" s="41">
        <v>9</v>
      </c>
      <c r="CU46" s="55">
        <f t="shared" si="86"/>
        <v>8</v>
      </c>
      <c r="CV46" s="56">
        <v>9</v>
      </c>
      <c r="CW46" s="44">
        <v>8</v>
      </c>
      <c r="CX46" s="63"/>
      <c r="CY46" s="41">
        <v>9</v>
      </c>
      <c r="CZ46" s="55">
        <f t="shared" si="87"/>
        <v>8</v>
      </c>
      <c r="DA46" s="56">
        <v>9</v>
      </c>
      <c r="DB46" s="44">
        <v>36</v>
      </c>
      <c r="DC46" s="63"/>
      <c r="DD46" s="41">
        <v>9</v>
      </c>
      <c r="DE46" s="55">
        <f t="shared" si="88"/>
        <v>8</v>
      </c>
      <c r="DF46" s="56">
        <v>9</v>
      </c>
      <c r="DG46" s="44">
        <v>4</v>
      </c>
      <c r="DH46" s="63"/>
      <c r="DI46" s="41">
        <v>9</v>
      </c>
      <c r="DJ46" s="55">
        <f t="shared" si="89"/>
        <v>8</v>
      </c>
      <c r="DK46" s="56">
        <v>9</v>
      </c>
      <c r="DL46" s="65"/>
      <c r="DM46" s="63"/>
      <c r="DN46" s="41">
        <v>9</v>
      </c>
      <c r="DO46" s="55">
        <f t="shared" si="90"/>
        <v>8</v>
      </c>
      <c r="DP46" s="56">
        <v>9</v>
      </c>
      <c r="DQ46" s="66"/>
      <c r="DR46" s="63"/>
      <c r="DS46" s="54">
        <f t="shared" si="91"/>
        <v>108</v>
      </c>
      <c r="DT46" s="54">
        <f t="shared" si="92"/>
        <v>222279.60578400001</v>
      </c>
      <c r="DU46" s="41">
        <v>6</v>
      </c>
      <c r="DV46" s="56">
        <f t="shared" si="68"/>
        <v>6</v>
      </c>
      <c r="DW46" s="43">
        <v>15</v>
      </c>
      <c r="DX46" s="42"/>
      <c r="DY46" s="41">
        <v>6</v>
      </c>
      <c r="DZ46" s="56">
        <f>ROUNDDOWN(DY46,0)</f>
        <v>6</v>
      </c>
      <c r="EA46" s="43"/>
      <c r="EB46" s="42"/>
      <c r="EC46" s="41">
        <v>6</v>
      </c>
      <c r="ED46" s="56">
        <f>ROUNDDOWN(EC46,0)</f>
        <v>6</v>
      </c>
      <c r="EE46" s="43">
        <v>2</v>
      </c>
      <c r="EF46" s="42"/>
      <c r="EG46" s="41">
        <v>6</v>
      </c>
      <c r="EH46" s="56">
        <f>ROUNDDOWN(EG46,0)</f>
        <v>6</v>
      </c>
      <c r="EI46" s="43">
        <v>2</v>
      </c>
      <c r="EJ46" s="42"/>
      <c r="EK46" s="41">
        <v>6</v>
      </c>
      <c r="EL46" s="56">
        <f>ROUNDDOWN(EK46,0)</f>
        <v>6</v>
      </c>
      <c r="EM46" s="44">
        <v>10</v>
      </c>
      <c r="EN46" s="42"/>
      <c r="EO46" s="41">
        <v>6</v>
      </c>
      <c r="EP46" s="56">
        <f t="shared" ref="EP46:EP51" si="125">ROUNDDOWN(EO46,0)</f>
        <v>6</v>
      </c>
      <c r="EQ46" s="44"/>
      <c r="ER46" s="57"/>
      <c r="ES46" s="41">
        <v>6</v>
      </c>
      <c r="ET46" s="56">
        <f t="shared" ref="ET46:ET51" si="126">ROUNDDOWN(ES46,0)</f>
        <v>6</v>
      </c>
      <c r="EU46" s="44"/>
      <c r="EV46" s="63"/>
      <c r="EW46" s="41">
        <v>6</v>
      </c>
      <c r="EX46" s="56">
        <f t="shared" ref="EX46:EX51" si="127">ROUNDDOWN(EW46,0)</f>
        <v>6</v>
      </c>
      <c r="EY46" s="44"/>
      <c r="EZ46" s="63"/>
      <c r="FA46" s="41">
        <v>6</v>
      </c>
      <c r="FB46" s="56">
        <f t="shared" ref="FB46:FB51" si="128">ROUNDDOWN(FA46,0)</f>
        <v>6</v>
      </c>
      <c r="FC46" s="44"/>
      <c r="FD46" s="63"/>
      <c r="FE46" s="41">
        <v>6</v>
      </c>
      <c r="FF46" s="56">
        <f t="shared" ref="FF46:FF51" si="129">ROUNDDOWN(FE46,0)</f>
        <v>6</v>
      </c>
      <c r="FG46" s="44"/>
      <c r="FH46" s="63"/>
      <c r="FI46" s="41">
        <v>6</v>
      </c>
      <c r="FJ46" s="241">
        <f t="shared" ref="FJ46:FJ51" si="130">ROUNDDOWN(FI46,0)</f>
        <v>6</v>
      </c>
      <c r="FK46" s="65"/>
      <c r="FL46" s="63"/>
      <c r="FM46" s="41">
        <v>6</v>
      </c>
      <c r="FN46" s="241">
        <f t="shared" ref="FN46:FN51" si="131">ROUNDDOWN(FM46,0)</f>
        <v>6</v>
      </c>
      <c r="FO46" s="66"/>
      <c r="FP46" s="63"/>
      <c r="FQ46" s="54">
        <f t="shared" si="93"/>
        <v>72</v>
      </c>
      <c r="FR46" s="54">
        <f t="shared" si="94"/>
        <v>148186.40385600002</v>
      </c>
      <c r="FS46" s="58" t="e">
        <v>#REF!</v>
      </c>
      <c r="FT46" s="56" t="e">
        <f t="shared" si="95"/>
        <v>#REF!</v>
      </c>
      <c r="FU46" s="43"/>
      <c r="FV46" s="42"/>
      <c r="FW46" s="58">
        <v>9.7874999999999996</v>
      </c>
      <c r="FX46" s="56">
        <f t="shared" si="96"/>
        <v>9</v>
      </c>
      <c r="FY46" s="43"/>
      <c r="FZ46" s="42"/>
      <c r="GA46" s="59">
        <v>12.375000000000002</v>
      </c>
      <c r="GB46" s="56">
        <f t="shared" si="97"/>
        <v>12</v>
      </c>
      <c r="GC46" s="43"/>
      <c r="GD46" s="42"/>
      <c r="GE46" s="59">
        <v>12.375000000000002</v>
      </c>
      <c r="GF46" s="56">
        <f t="shared" si="98"/>
        <v>12</v>
      </c>
      <c r="GG46" s="43"/>
      <c r="GH46" s="42"/>
      <c r="GI46" s="59">
        <v>12.375000000000002</v>
      </c>
      <c r="GJ46" s="56">
        <f t="shared" si="99"/>
        <v>12</v>
      </c>
      <c r="GK46" s="44"/>
      <c r="GL46" s="42"/>
      <c r="GM46" s="59">
        <v>12.375000000000002</v>
      </c>
      <c r="GN46" s="56">
        <f t="shared" si="100"/>
        <v>12</v>
      </c>
      <c r="GO46" s="44"/>
      <c r="GP46" s="57"/>
      <c r="GQ46" s="59">
        <v>12.375000000000002</v>
      </c>
      <c r="GR46" s="56">
        <f t="shared" si="101"/>
        <v>12</v>
      </c>
      <c r="GS46" s="44"/>
      <c r="GT46" s="63"/>
      <c r="GU46" s="59">
        <v>12.375000000000002</v>
      </c>
      <c r="GV46" s="56">
        <f t="shared" si="102"/>
        <v>12</v>
      </c>
      <c r="GW46" s="44"/>
      <c r="GX46" s="63"/>
      <c r="GY46" s="59">
        <v>12.375000000000002</v>
      </c>
      <c r="GZ46" s="56">
        <f t="shared" si="103"/>
        <v>12</v>
      </c>
      <c r="HA46" s="44"/>
      <c r="HB46" s="63"/>
      <c r="HC46" s="59">
        <v>12.375000000000002</v>
      </c>
      <c r="HD46" s="56">
        <f t="shared" si="104"/>
        <v>12</v>
      </c>
      <c r="HE46" s="44"/>
      <c r="HF46" s="63"/>
      <c r="HG46" s="59">
        <v>12.375000000000002</v>
      </c>
      <c r="HH46" s="56">
        <f t="shared" si="105"/>
        <v>12</v>
      </c>
      <c r="HI46" s="65"/>
      <c r="HJ46" s="63"/>
      <c r="HK46" s="59">
        <v>12.375000000000002</v>
      </c>
      <c r="HL46" s="56">
        <f t="shared" si="106"/>
        <v>12</v>
      </c>
      <c r="HM46" s="66"/>
      <c r="HN46" s="63"/>
      <c r="HO46" s="54" t="e">
        <f t="shared" si="107"/>
        <v>#REF!</v>
      </c>
      <c r="HP46" s="54" t="e">
        <f t="shared" si="108"/>
        <v>#REF!</v>
      </c>
      <c r="HQ46" s="59">
        <v>12.375000000000002</v>
      </c>
      <c r="HR46" s="56">
        <f t="shared" si="109"/>
        <v>12</v>
      </c>
      <c r="HS46" s="43"/>
      <c r="HT46" s="42"/>
      <c r="HU46" s="59">
        <v>12.375000000000002</v>
      </c>
      <c r="HV46" s="56">
        <f t="shared" si="110"/>
        <v>12</v>
      </c>
      <c r="HW46" s="43"/>
      <c r="HX46" s="42"/>
      <c r="HY46" s="59">
        <v>12.375000000000002</v>
      </c>
      <c r="HZ46" s="56">
        <f t="shared" si="111"/>
        <v>12</v>
      </c>
      <c r="IA46" s="43"/>
      <c r="IB46" s="42"/>
      <c r="IC46" s="59">
        <v>12.375000000000002</v>
      </c>
      <c r="ID46" s="56">
        <f t="shared" si="112"/>
        <v>12</v>
      </c>
      <c r="IE46" s="43"/>
      <c r="IF46" s="42"/>
      <c r="IG46" s="59">
        <v>12.375000000000002</v>
      </c>
      <c r="IH46" s="56">
        <f t="shared" si="113"/>
        <v>12</v>
      </c>
      <c r="II46" s="44"/>
      <c r="IJ46" s="42"/>
      <c r="IK46" s="59">
        <v>12.375000000000002</v>
      </c>
      <c r="IL46" s="56">
        <f t="shared" si="114"/>
        <v>12</v>
      </c>
      <c r="IM46" s="44"/>
      <c r="IN46" s="57"/>
      <c r="IO46" s="59">
        <v>12.375000000000002</v>
      </c>
      <c r="IP46" s="56">
        <f t="shared" si="115"/>
        <v>12</v>
      </c>
      <c r="IQ46" s="44"/>
      <c r="IR46" s="63"/>
      <c r="IS46" s="59">
        <v>12.375000000000002</v>
      </c>
      <c r="IT46" s="56">
        <f t="shared" si="116"/>
        <v>12</v>
      </c>
      <c r="IU46" s="44"/>
      <c r="IV46" s="63"/>
      <c r="IW46" s="59">
        <v>12.375000000000002</v>
      </c>
      <c r="IX46" s="56">
        <f t="shared" si="117"/>
        <v>12</v>
      </c>
      <c r="IY46" s="44"/>
      <c r="IZ46" s="63"/>
      <c r="JA46" s="59">
        <v>12.375000000000002</v>
      </c>
      <c r="JB46" s="56">
        <f t="shared" si="118"/>
        <v>12</v>
      </c>
      <c r="JC46" s="44"/>
      <c r="JD46" s="63"/>
      <c r="JE46" s="59">
        <v>12.375000000000002</v>
      </c>
      <c r="JF46" s="56">
        <f t="shared" si="119"/>
        <v>12</v>
      </c>
      <c r="JG46" s="65"/>
      <c r="JH46" s="63"/>
      <c r="JI46" s="59">
        <v>12.375000000000002</v>
      </c>
      <c r="JJ46" s="56">
        <f t="shared" si="120"/>
        <v>12</v>
      </c>
      <c r="JK46" s="66"/>
      <c r="JL46" s="63"/>
      <c r="JM46" s="54">
        <f t="shared" si="121"/>
        <v>148.50000000000003</v>
      </c>
      <c r="JN46" s="54">
        <f t="shared" si="122"/>
        <v>305634.45795300009</v>
      </c>
    </row>
    <row r="47" spans="1:274">
      <c r="A47" s="249"/>
      <c r="B47" s="250"/>
      <c r="C47" s="250"/>
      <c r="D47" s="249"/>
      <c r="E47" s="36">
        <v>42</v>
      </c>
      <c r="F47" s="37"/>
      <c r="G47" s="38">
        <v>6621956114</v>
      </c>
      <c r="H47" s="39" t="s">
        <v>83</v>
      </c>
      <c r="I47" s="69">
        <v>1052</v>
      </c>
      <c r="J47" s="36"/>
      <c r="K47" s="36"/>
      <c r="L47" s="36"/>
      <c r="M47" s="41"/>
      <c r="N47" s="42"/>
      <c r="O47" s="43"/>
      <c r="P47" s="42"/>
      <c r="Q47" s="41"/>
      <c r="R47" s="42"/>
      <c r="S47" s="43"/>
      <c r="T47" s="42"/>
      <c r="U47" s="41"/>
      <c r="V47" s="42"/>
      <c r="W47" s="43"/>
      <c r="X47" s="42"/>
      <c r="Y47" s="41"/>
      <c r="Z47" s="42"/>
      <c r="AA47" s="43"/>
      <c r="AB47" s="42"/>
      <c r="AC47" s="41"/>
      <c r="AD47" s="42"/>
      <c r="AE47" s="44"/>
      <c r="AF47" s="42"/>
      <c r="AG47" s="41"/>
      <c r="AH47" s="46"/>
      <c r="AI47" s="72"/>
      <c r="AJ47" s="254"/>
      <c r="AK47" s="41"/>
      <c r="AL47" s="42"/>
      <c r="AM47" s="47"/>
      <c r="AN47" s="63"/>
      <c r="AO47" s="41"/>
      <c r="AP47" s="42"/>
      <c r="AQ47" s="43"/>
      <c r="AR47" s="64"/>
      <c r="AS47" s="41"/>
      <c r="AT47" s="42"/>
      <c r="AU47" s="44"/>
      <c r="AV47" s="63"/>
      <c r="AW47" s="41"/>
      <c r="AX47" s="42"/>
      <c r="AY47" s="44"/>
      <c r="AZ47" s="63"/>
      <c r="BA47" s="41"/>
      <c r="BB47" s="42"/>
      <c r="BC47" s="65"/>
      <c r="BD47" s="63"/>
      <c r="BE47" s="41"/>
      <c r="BF47" s="42"/>
      <c r="BG47" s="66"/>
      <c r="BH47" s="63"/>
      <c r="BI47" s="54">
        <f t="shared" si="123"/>
        <v>0</v>
      </c>
      <c r="BJ47" s="54">
        <f t="shared" si="124"/>
        <v>0</v>
      </c>
      <c r="BK47" s="41">
        <v>10</v>
      </c>
      <c r="BL47" s="55">
        <f t="shared" si="79"/>
        <v>9</v>
      </c>
      <c r="BM47" s="56">
        <v>10</v>
      </c>
      <c r="BN47" s="43">
        <v>10</v>
      </c>
      <c r="BO47" s="42"/>
      <c r="BP47" s="41">
        <v>10</v>
      </c>
      <c r="BQ47" s="55">
        <f t="shared" si="80"/>
        <v>9</v>
      </c>
      <c r="BR47" s="56">
        <v>10</v>
      </c>
      <c r="BS47" s="43">
        <v>0</v>
      </c>
      <c r="BT47" s="42"/>
      <c r="BU47" s="41">
        <v>10</v>
      </c>
      <c r="BV47" s="55">
        <f t="shared" si="81"/>
        <v>9</v>
      </c>
      <c r="BW47" s="56">
        <v>10</v>
      </c>
      <c r="BX47" s="43">
        <v>0</v>
      </c>
      <c r="BY47" s="42"/>
      <c r="BZ47" s="41">
        <v>10</v>
      </c>
      <c r="CA47" s="55">
        <f t="shared" si="82"/>
        <v>9</v>
      </c>
      <c r="CB47" s="56">
        <v>10</v>
      </c>
      <c r="CC47" s="43">
        <v>0</v>
      </c>
      <c r="CD47" s="42"/>
      <c r="CE47" s="41">
        <v>10</v>
      </c>
      <c r="CF47" s="55">
        <f t="shared" si="83"/>
        <v>9</v>
      </c>
      <c r="CG47" s="56">
        <v>10</v>
      </c>
      <c r="CH47" s="44">
        <v>4</v>
      </c>
      <c r="CI47" s="42"/>
      <c r="CJ47" s="41">
        <v>10</v>
      </c>
      <c r="CK47" s="55">
        <f t="shared" si="84"/>
        <v>9</v>
      </c>
      <c r="CL47" s="56">
        <v>10</v>
      </c>
      <c r="CM47" s="44">
        <v>10</v>
      </c>
      <c r="CN47" s="57"/>
      <c r="CO47" s="41">
        <v>10</v>
      </c>
      <c r="CP47" s="55">
        <f t="shared" si="85"/>
        <v>9</v>
      </c>
      <c r="CQ47" s="56">
        <v>10</v>
      </c>
      <c r="CR47" s="44">
        <v>8</v>
      </c>
      <c r="CS47" s="63"/>
      <c r="CT47" s="41">
        <v>10</v>
      </c>
      <c r="CU47" s="55">
        <f t="shared" si="86"/>
        <v>9</v>
      </c>
      <c r="CV47" s="56">
        <v>10</v>
      </c>
      <c r="CW47" s="44">
        <v>12</v>
      </c>
      <c r="CX47" s="63"/>
      <c r="CY47" s="41">
        <v>10</v>
      </c>
      <c r="CZ47" s="55">
        <f t="shared" si="87"/>
        <v>9</v>
      </c>
      <c r="DA47" s="56">
        <v>10</v>
      </c>
      <c r="DB47" s="44">
        <v>10</v>
      </c>
      <c r="DC47" s="63"/>
      <c r="DD47" s="41">
        <v>10</v>
      </c>
      <c r="DE47" s="55">
        <f t="shared" si="88"/>
        <v>9</v>
      </c>
      <c r="DF47" s="56">
        <v>10</v>
      </c>
      <c r="DG47" s="44">
        <v>11</v>
      </c>
      <c r="DH47" s="63"/>
      <c r="DI47" s="41">
        <v>10</v>
      </c>
      <c r="DJ47" s="55">
        <f t="shared" si="89"/>
        <v>9</v>
      </c>
      <c r="DK47" s="56">
        <v>10</v>
      </c>
      <c r="DL47" s="65"/>
      <c r="DM47" s="63"/>
      <c r="DN47" s="41">
        <v>10</v>
      </c>
      <c r="DO47" s="55">
        <f t="shared" si="90"/>
        <v>9</v>
      </c>
      <c r="DP47" s="56">
        <v>10</v>
      </c>
      <c r="DQ47" s="66">
        <v>4</v>
      </c>
      <c r="DR47" s="63"/>
      <c r="DS47" s="54">
        <f t="shared" si="91"/>
        <v>120</v>
      </c>
      <c r="DT47" s="54">
        <f t="shared" si="92"/>
        <v>126240</v>
      </c>
      <c r="DU47" s="41">
        <v>6</v>
      </c>
      <c r="DV47" s="56">
        <f t="shared" si="68"/>
        <v>6</v>
      </c>
      <c r="DW47" s="43">
        <v>12</v>
      </c>
      <c r="DX47" s="42"/>
      <c r="DY47" s="41">
        <v>6</v>
      </c>
      <c r="DZ47" s="56">
        <f>ROUNDDOWN(DY47,0)</f>
        <v>6</v>
      </c>
      <c r="EA47" s="43">
        <v>11</v>
      </c>
      <c r="EB47" s="42"/>
      <c r="EC47" s="41">
        <v>6</v>
      </c>
      <c r="ED47" s="56">
        <f>ROUNDDOWN(EC47,0)</f>
        <v>6</v>
      </c>
      <c r="EE47" s="43">
        <v>12</v>
      </c>
      <c r="EF47" s="42"/>
      <c r="EG47" s="41">
        <v>6</v>
      </c>
      <c r="EH47" s="56">
        <f>ROUNDDOWN(EG47,0)</f>
        <v>6</v>
      </c>
      <c r="EI47" s="43"/>
      <c r="EJ47" s="42"/>
      <c r="EK47" s="41">
        <v>6</v>
      </c>
      <c r="EL47" s="56">
        <f>ROUNDDOWN(EK47,0)</f>
        <v>6</v>
      </c>
      <c r="EM47" s="44">
        <v>16</v>
      </c>
      <c r="EN47" s="42"/>
      <c r="EO47" s="41">
        <v>6</v>
      </c>
      <c r="EP47" s="56">
        <f t="shared" si="125"/>
        <v>6</v>
      </c>
      <c r="EQ47" s="44"/>
      <c r="ER47" s="57"/>
      <c r="ES47" s="41">
        <v>6</v>
      </c>
      <c r="ET47" s="56">
        <f t="shared" si="126"/>
        <v>6</v>
      </c>
      <c r="EU47" s="44"/>
      <c r="EV47" s="63"/>
      <c r="EW47" s="41">
        <v>6</v>
      </c>
      <c r="EX47" s="56">
        <f t="shared" si="127"/>
        <v>6</v>
      </c>
      <c r="EY47" s="44"/>
      <c r="EZ47" s="63"/>
      <c r="FA47" s="41">
        <v>6</v>
      </c>
      <c r="FB47" s="56">
        <f t="shared" si="128"/>
        <v>6</v>
      </c>
      <c r="FC47" s="44"/>
      <c r="FD47" s="63"/>
      <c r="FE47" s="41">
        <v>6</v>
      </c>
      <c r="FF47" s="56">
        <f t="shared" si="129"/>
        <v>6</v>
      </c>
      <c r="FG47" s="44"/>
      <c r="FH47" s="63"/>
      <c r="FI47" s="41">
        <v>6</v>
      </c>
      <c r="FJ47" s="241">
        <f t="shared" si="130"/>
        <v>6</v>
      </c>
      <c r="FK47" s="65"/>
      <c r="FL47" s="63"/>
      <c r="FM47" s="41">
        <v>6</v>
      </c>
      <c r="FN47" s="241">
        <f t="shared" si="131"/>
        <v>6</v>
      </c>
      <c r="FO47" s="66"/>
      <c r="FP47" s="63"/>
      <c r="FQ47" s="54">
        <f t="shared" si="93"/>
        <v>72</v>
      </c>
      <c r="FR47" s="54">
        <f t="shared" si="94"/>
        <v>75744</v>
      </c>
      <c r="FS47" s="58" t="e">
        <v>#REF!</v>
      </c>
      <c r="FT47" s="56" t="e">
        <f t="shared" si="95"/>
        <v>#REF!</v>
      </c>
      <c r="FU47" s="43"/>
      <c r="FV47" s="42"/>
      <c r="FW47" s="58">
        <v>10.875</v>
      </c>
      <c r="FX47" s="56">
        <f t="shared" si="96"/>
        <v>10</v>
      </c>
      <c r="FY47" s="43"/>
      <c r="FZ47" s="42"/>
      <c r="GA47" s="59">
        <v>13.750000000000002</v>
      </c>
      <c r="GB47" s="56">
        <f t="shared" si="97"/>
        <v>13</v>
      </c>
      <c r="GC47" s="43"/>
      <c r="GD47" s="42"/>
      <c r="GE47" s="59">
        <v>13.750000000000002</v>
      </c>
      <c r="GF47" s="56">
        <f t="shared" si="98"/>
        <v>13</v>
      </c>
      <c r="GG47" s="43"/>
      <c r="GH47" s="42"/>
      <c r="GI47" s="59">
        <v>13.750000000000002</v>
      </c>
      <c r="GJ47" s="56">
        <f t="shared" si="99"/>
        <v>13</v>
      </c>
      <c r="GK47" s="44"/>
      <c r="GL47" s="42"/>
      <c r="GM47" s="59">
        <v>13.750000000000002</v>
      </c>
      <c r="GN47" s="56">
        <f t="shared" si="100"/>
        <v>13</v>
      </c>
      <c r="GO47" s="44"/>
      <c r="GP47" s="57"/>
      <c r="GQ47" s="59">
        <v>13.750000000000002</v>
      </c>
      <c r="GR47" s="56">
        <f t="shared" si="101"/>
        <v>13</v>
      </c>
      <c r="GS47" s="44"/>
      <c r="GT47" s="63"/>
      <c r="GU47" s="59">
        <v>13.750000000000002</v>
      </c>
      <c r="GV47" s="56">
        <f t="shared" si="102"/>
        <v>13</v>
      </c>
      <c r="GW47" s="44"/>
      <c r="GX47" s="63"/>
      <c r="GY47" s="59">
        <v>13.750000000000002</v>
      </c>
      <c r="GZ47" s="56">
        <f t="shared" si="103"/>
        <v>13</v>
      </c>
      <c r="HA47" s="44"/>
      <c r="HB47" s="63"/>
      <c r="HC47" s="59">
        <v>13.750000000000002</v>
      </c>
      <c r="HD47" s="56">
        <f t="shared" si="104"/>
        <v>13</v>
      </c>
      <c r="HE47" s="44"/>
      <c r="HF47" s="63"/>
      <c r="HG47" s="59">
        <v>13.750000000000002</v>
      </c>
      <c r="HH47" s="56">
        <f t="shared" si="105"/>
        <v>13</v>
      </c>
      <c r="HI47" s="65"/>
      <c r="HJ47" s="63"/>
      <c r="HK47" s="59">
        <v>13.750000000000002</v>
      </c>
      <c r="HL47" s="56">
        <f t="shared" si="106"/>
        <v>13</v>
      </c>
      <c r="HM47" s="66"/>
      <c r="HN47" s="63"/>
      <c r="HO47" s="54" t="e">
        <f t="shared" si="107"/>
        <v>#REF!</v>
      </c>
      <c r="HP47" s="54" t="e">
        <f t="shared" si="108"/>
        <v>#REF!</v>
      </c>
      <c r="HQ47" s="59">
        <v>13.750000000000002</v>
      </c>
      <c r="HR47" s="56">
        <f t="shared" si="109"/>
        <v>13</v>
      </c>
      <c r="HS47" s="43"/>
      <c r="HT47" s="42"/>
      <c r="HU47" s="59">
        <v>13.750000000000002</v>
      </c>
      <c r="HV47" s="56">
        <f t="shared" si="110"/>
        <v>13</v>
      </c>
      <c r="HW47" s="43"/>
      <c r="HX47" s="42"/>
      <c r="HY47" s="59">
        <v>13.750000000000002</v>
      </c>
      <c r="HZ47" s="56">
        <f t="shared" si="111"/>
        <v>13</v>
      </c>
      <c r="IA47" s="43"/>
      <c r="IB47" s="42"/>
      <c r="IC47" s="59">
        <v>13.750000000000002</v>
      </c>
      <c r="ID47" s="56">
        <f t="shared" si="112"/>
        <v>13</v>
      </c>
      <c r="IE47" s="43"/>
      <c r="IF47" s="42"/>
      <c r="IG47" s="59">
        <v>13.750000000000002</v>
      </c>
      <c r="IH47" s="56">
        <f t="shared" si="113"/>
        <v>13</v>
      </c>
      <c r="II47" s="44"/>
      <c r="IJ47" s="42"/>
      <c r="IK47" s="59">
        <v>13.750000000000002</v>
      </c>
      <c r="IL47" s="56">
        <f t="shared" si="114"/>
        <v>13</v>
      </c>
      <c r="IM47" s="44"/>
      <c r="IN47" s="57"/>
      <c r="IO47" s="59">
        <v>13.750000000000002</v>
      </c>
      <c r="IP47" s="56">
        <f t="shared" si="115"/>
        <v>13</v>
      </c>
      <c r="IQ47" s="44"/>
      <c r="IR47" s="63"/>
      <c r="IS47" s="59">
        <v>13.750000000000002</v>
      </c>
      <c r="IT47" s="56">
        <f t="shared" si="116"/>
        <v>13</v>
      </c>
      <c r="IU47" s="44"/>
      <c r="IV47" s="63"/>
      <c r="IW47" s="59">
        <v>13.750000000000002</v>
      </c>
      <c r="IX47" s="56">
        <f t="shared" si="117"/>
        <v>13</v>
      </c>
      <c r="IY47" s="44"/>
      <c r="IZ47" s="63"/>
      <c r="JA47" s="59">
        <v>13.750000000000002</v>
      </c>
      <c r="JB47" s="56">
        <f t="shared" si="118"/>
        <v>13</v>
      </c>
      <c r="JC47" s="44"/>
      <c r="JD47" s="63"/>
      <c r="JE47" s="59">
        <v>13.750000000000002</v>
      </c>
      <c r="JF47" s="56">
        <f t="shared" si="119"/>
        <v>13</v>
      </c>
      <c r="JG47" s="65"/>
      <c r="JH47" s="63"/>
      <c r="JI47" s="59">
        <v>13.750000000000002</v>
      </c>
      <c r="JJ47" s="56">
        <f t="shared" si="120"/>
        <v>13</v>
      </c>
      <c r="JK47" s="66"/>
      <c r="JL47" s="63"/>
      <c r="JM47" s="54">
        <f t="shared" si="121"/>
        <v>165.00000000000003</v>
      </c>
      <c r="JN47" s="54">
        <f t="shared" si="122"/>
        <v>173580.00000000003</v>
      </c>
    </row>
    <row r="48" spans="1:274">
      <c r="A48" s="249"/>
      <c r="B48" s="250"/>
      <c r="C48" s="250"/>
      <c r="D48" s="249"/>
      <c r="E48" s="36">
        <v>43</v>
      </c>
      <c r="F48" s="37"/>
      <c r="G48" s="38">
        <v>4230760060</v>
      </c>
      <c r="H48" s="39" t="s">
        <v>84</v>
      </c>
      <c r="I48" s="69">
        <v>324.96840000000003</v>
      </c>
      <c r="J48" s="36"/>
      <c r="K48" s="73"/>
      <c r="L48" s="73"/>
      <c r="M48" s="74"/>
      <c r="N48" s="75"/>
      <c r="O48" s="76"/>
      <c r="P48" s="75"/>
      <c r="Q48" s="74"/>
      <c r="R48" s="75"/>
      <c r="S48" s="76"/>
      <c r="T48" s="75"/>
      <c r="U48" s="74"/>
      <c r="V48" s="75"/>
      <c r="W48" s="76"/>
      <c r="X48" s="75"/>
      <c r="Y48" s="74"/>
      <c r="Z48" s="75"/>
      <c r="AA48" s="76"/>
      <c r="AB48" s="75"/>
      <c r="AC48" s="74"/>
      <c r="AD48" s="75"/>
      <c r="AE48" s="77"/>
      <c r="AF48" s="75"/>
      <c r="AG48" s="74"/>
      <c r="AH48" s="78"/>
      <c r="AI48" s="77"/>
      <c r="AJ48" s="62"/>
      <c r="AK48" s="74"/>
      <c r="AL48" s="75"/>
      <c r="AM48" s="77"/>
      <c r="AN48" s="48"/>
      <c r="AO48" s="74"/>
      <c r="AP48" s="42"/>
      <c r="AQ48" s="43"/>
      <c r="AR48" s="79"/>
      <c r="AS48" s="74"/>
      <c r="AT48" s="75"/>
      <c r="AU48" s="77"/>
      <c r="AV48" s="48"/>
      <c r="AW48" s="74"/>
      <c r="AX48" s="75"/>
      <c r="AY48" s="77"/>
      <c r="AZ48" s="48"/>
      <c r="BA48" s="74"/>
      <c r="BB48" s="75"/>
      <c r="BC48" s="80"/>
      <c r="BD48" s="48"/>
      <c r="BE48" s="74"/>
      <c r="BF48" s="75"/>
      <c r="BG48" s="81"/>
      <c r="BH48" s="48"/>
      <c r="BI48" s="54">
        <f t="shared" si="123"/>
        <v>0</v>
      </c>
      <c r="BJ48" s="54">
        <f t="shared" si="124"/>
        <v>0</v>
      </c>
      <c r="BK48" s="74">
        <v>3</v>
      </c>
      <c r="BL48" s="55">
        <f t="shared" si="79"/>
        <v>3</v>
      </c>
      <c r="BM48" s="56">
        <v>3</v>
      </c>
      <c r="BN48" s="76">
        <v>0</v>
      </c>
      <c r="BO48" s="75"/>
      <c r="BP48" s="74">
        <v>3</v>
      </c>
      <c r="BQ48" s="55">
        <f t="shared" si="80"/>
        <v>3</v>
      </c>
      <c r="BR48" s="56">
        <v>3</v>
      </c>
      <c r="BS48" s="43">
        <v>0</v>
      </c>
      <c r="BT48" s="75"/>
      <c r="BU48" s="74">
        <v>3</v>
      </c>
      <c r="BV48" s="55">
        <f t="shared" si="81"/>
        <v>3</v>
      </c>
      <c r="BW48" s="56">
        <v>3</v>
      </c>
      <c r="BX48" s="76">
        <v>0</v>
      </c>
      <c r="BY48" s="75"/>
      <c r="BZ48" s="74">
        <v>3</v>
      </c>
      <c r="CA48" s="55">
        <f t="shared" si="82"/>
        <v>3</v>
      </c>
      <c r="CB48" s="56">
        <v>3</v>
      </c>
      <c r="CC48" s="43">
        <v>0</v>
      </c>
      <c r="CD48" s="75"/>
      <c r="CE48" s="74">
        <v>3</v>
      </c>
      <c r="CF48" s="55">
        <f t="shared" si="83"/>
        <v>3</v>
      </c>
      <c r="CG48" s="56">
        <v>3</v>
      </c>
      <c r="CH48" s="77">
        <v>0</v>
      </c>
      <c r="CI48" s="75"/>
      <c r="CJ48" s="74">
        <v>3</v>
      </c>
      <c r="CK48" s="55">
        <f t="shared" si="84"/>
        <v>3</v>
      </c>
      <c r="CL48" s="56">
        <v>3</v>
      </c>
      <c r="CM48" s="77">
        <v>2</v>
      </c>
      <c r="CN48" s="62"/>
      <c r="CO48" s="74">
        <v>3</v>
      </c>
      <c r="CP48" s="55">
        <f t="shared" si="85"/>
        <v>3</v>
      </c>
      <c r="CQ48" s="56">
        <v>3</v>
      </c>
      <c r="CR48" s="77"/>
      <c r="CS48" s="48"/>
      <c r="CT48" s="74">
        <v>3</v>
      </c>
      <c r="CU48" s="55">
        <f t="shared" si="86"/>
        <v>3</v>
      </c>
      <c r="CV48" s="56">
        <v>3</v>
      </c>
      <c r="CW48" s="77"/>
      <c r="CX48" s="48"/>
      <c r="CY48" s="74">
        <v>3</v>
      </c>
      <c r="CZ48" s="55">
        <f t="shared" si="87"/>
        <v>3</v>
      </c>
      <c r="DA48" s="56">
        <v>3</v>
      </c>
      <c r="DB48" s="77">
        <v>12</v>
      </c>
      <c r="DC48" s="48"/>
      <c r="DD48" s="74">
        <v>3</v>
      </c>
      <c r="DE48" s="55">
        <f t="shared" si="88"/>
        <v>3</v>
      </c>
      <c r="DF48" s="56">
        <v>3</v>
      </c>
      <c r="DG48" s="77">
        <v>5</v>
      </c>
      <c r="DH48" s="48"/>
      <c r="DI48" s="74">
        <v>3</v>
      </c>
      <c r="DJ48" s="55">
        <f t="shared" si="89"/>
        <v>3</v>
      </c>
      <c r="DK48" s="56">
        <v>3</v>
      </c>
      <c r="DL48" s="80"/>
      <c r="DM48" s="48"/>
      <c r="DN48" s="74">
        <v>3</v>
      </c>
      <c r="DO48" s="55">
        <f t="shared" si="90"/>
        <v>3</v>
      </c>
      <c r="DP48" s="56">
        <v>3</v>
      </c>
      <c r="DQ48" s="81"/>
      <c r="DR48" s="48"/>
      <c r="DS48" s="54">
        <f t="shared" si="91"/>
        <v>36</v>
      </c>
      <c r="DT48" s="54">
        <f t="shared" si="92"/>
        <v>11698.862400000002</v>
      </c>
      <c r="DU48" s="41">
        <v>2</v>
      </c>
      <c r="DV48" s="56">
        <f t="shared" si="68"/>
        <v>2</v>
      </c>
      <c r="DW48" s="76">
        <v>4</v>
      </c>
      <c r="DX48" s="75"/>
      <c r="DY48" s="41">
        <v>2</v>
      </c>
      <c r="DZ48" s="56">
        <f>ROUNDDOWN(DY48,0)</f>
        <v>2</v>
      </c>
      <c r="EA48" s="43">
        <v>1</v>
      </c>
      <c r="EB48" s="75"/>
      <c r="EC48" s="41">
        <v>2</v>
      </c>
      <c r="ED48" s="56">
        <f>ROUNDDOWN(EC48,0)</f>
        <v>2</v>
      </c>
      <c r="EE48" s="76">
        <v>4</v>
      </c>
      <c r="EF48" s="75"/>
      <c r="EG48" s="41">
        <v>2</v>
      </c>
      <c r="EH48" s="56">
        <f>ROUNDDOWN(EG48,0)</f>
        <v>2</v>
      </c>
      <c r="EI48" s="43"/>
      <c r="EJ48" s="75"/>
      <c r="EK48" s="41">
        <v>2</v>
      </c>
      <c r="EL48" s="56">
        <f>ROUNDDOWN(EK48,0)</f>
        <v>2</v>
      </c>
      <c r="EM48" s="77">
        <v>16</v>
      </c>
      <c r="EN48" s="75"/>
      <c r="EO48" s="41">
        <v>2</v>
      </c>
      <c r="EP48" s="56">
        <f t="shared" si="125"/>
        <v>2</v>
      </c>
      <c r="EQ48" s="77"/>
      <c r="ER48" s="62"/>
      <c r="ES48" s="41">
        <v>2</v>
      </c>
      <c r="ET48" s="56">
        <f t="shared" si="126"/>
        <v>2</v>
      </c>
      <c r="EU48" s="77"/>
      <c r="EV48" s="48"/>
      <c r="EW48" s="41">
        <v>2</v>
      </c>
      <c r="EX48" s="56">
        <f t="shared" si="127"/>
        <v>2</v>
      </c>
      <c r="EY48" s="77"/>
      <c r="EZ48" s="48"/>
      <c r="FA48" s="41">
        <v>2</v>
      </c>
      <c r="FB48" s="56">
        <f t="shared" si="128"/>
        <v>2</v>
      </c>
      <c r="FC48" s="77"/>
      <c r="FD48" s="48"/>
      <c r="FE48" s="41">
        <v>2</v>
      </c>
      <c r="FF48" s="56">
        <f t="shared" si="129"/>
        <v>2</v>
      </c>
      <c r="FG48" s="77"/>
      <c r="FH48" s="48"/>
      <c r="FI48" s="41">
        <v>2</v>
      </c>
      <c r="FJ48" s="241">
        <f t="shared" si="130"/>
        <v>2</v>
      </c>
      <c r="FK48" s="80"/>
      <c r="FL48" s="48"/>
      <c r="FM48" s="41">
        <v>2</v>
      </c>
      <c r="FN48" s="241">
        <f t="shared" si="131"/>
        <v>2</v>
      </c>
      <c r="FO48" s="81"/>
      <c r="FP48" s="48"/>
      <c r="FQ48" s="54">
        <f t="shared" si="93"/>
        <v>24</v>
      </c>
      <c r="FR48" s="54">
        <f t="shared" si="94"/>
        <v>7799.2416000000012</v>
      </c>
      <c r="FS48" s="58" t="e">
        <v>#REF!</v>
      </c>
      <c r="FT48" s="56" t="e">
        <f t="shared" si="95"/>
        <v>#REF!</v>
      </c>
      <c r="FU48" s="76"/>
      <c r="FV48" s="75"/>
      <c r="FW48" s="58">
        <v>3.2625000000000002</v>
      </c>
      <c r="FX48" s="56">
        <f t="shared" si="96"/>
        <v>3</v>
      </c>
      <c r="FY48" s="43"/>
      <c r="FZ48" s="75"/>
      <c r="GA48" s="82">
        <v>4.125</v>
      </c>
      <c r="GB48" s="56">
        <f t="shared" si="97"/>
        <v>4</v>
      </c>
      <c r="GC48" s="76"/>
      <c r="GD48" s="75"/>
      <c r="GE48" s="82">
        <v>4.125</v>
      </c>
      <c r="GF48" s="56">
        <f t="shared" si="98"/>
        <v>4</v>
      </c>
      <c r="GG48" s="43"/>
      <c r="GH48" s="75"/>
      <c r="GI48" s="82">
        <v>4.125</v>
      </c>
      <c r="GJ48" s="56">
        <f t="shared" si="99"/>
        <v>4</v>
      </c>
      <c r="GK48" s="77"/>
      <c r="GL48" s="75"/>
      <c r="GM48" s="82">
        <v>4.125</v>
      </c>
      <c r="GN48" s="56">
        <f t="shared" si="100"/>
        <v>4</v>
      </c>
      <c r="GO48" s="77"/>
      <c r="GP48" s="62"/>
      <c r="GQ48" s="82">
        <v>4.125</v>
      </c>
      <c r="GR48" s="56">
        <f t="shared" si="101"/>
        <v>4</v>
      </c>
      <c r="GS48" s="77"/>
      <c r="GT48" s="48"/>
      <c r="GU48" s="82">
        <v>4.125</v>
      </c>
      <c r="GV48" s="56">
        <f t="shared" si="102"/>
        <v>4</v>
      </c>
      <c r="GW48" s="77"/>
      <c r="GX48" s="48"/>
      <c r="GY48" s="82">
        <v>4.125</v>
      </c>
      <c r="GZ48" s="56">
        <f t="shared" si="103"/>
        <v>4</v>
      </c>
      <c r="HA48" s="77"/>
      <c r="HB48" s="48"/>
      <c r="HC48" s="82">
        <v>4.125</v>
      </c>
      <c r="HD48" s="56">
        <f t="shared" si="104"/>
        <v>4</v>
      </c>
      <c r="HE48" s="77"/>
      <c r="HF48" s="48"/>
      <c r="HG48" s="82">
        <v>4.125</v>
      </c>
      <c r="HH48" s="56">
        <f t="shared" si="105"/>
        <v>4</v>
      </c>
      <c r="HI48" s="80"/>
      <c r="HJ48" s="48"/>
      <c r="HK48" s="82">
        <v>4.125</v>
      </c>
      <c r="HL48" s="56">
        <f t="shared" si="106"/>
        <v>4</v>
      </c>
      <c r="HM48" s="81"/>
      <c r="HN48" s="48"/>
      <c r="HO48" s="54" t="e">
        <f t="shared" si="107"/>
        <v>#REF!</v>
      </c>
      <c r="HP48" s="54" t="e">
        <f t="shared" si="108"/>
        <v>#REF!</v>
      </c>
      <c r="HQ48" s="82">
        <v>4.125</v>
      </c>
      <c r="HR48" s="56">
        <f t="shared" si="109"/>
        <v>4</v>
      </c>
      <c r="HS48" s="76"/>
      <c r="HT48" s="75"/>
      <c r="HU48" s="82">
        <v>4.125</v>
      </c>
      <c r="HV48" s="56">
        <f t="shared" si="110"/>
        <v>4</v>
      </c>
      <c r="HW48" s="43"/>
      <c r="HX48" s="75"/>
      <c r="HY48" s="82">
        <v>4.125</v>
      </c>
      <c r="HZ48" s="56">
        <f t="shared" si="111"/>
        <v>4</v>
      </c>
      <c r="IA48" s="76"/>
      <c r="IB48" s="75"/>
      <c r="IC48" s="82">
        <v>4.125</v>
      </c>
      <c r="ID48" s="56">
        <f t="shared" si="112"/>
        <v>4</v>
      </c>
      <c r="IE48" s="43"/>
      <c r="IF48" s="75"/>
      <c r="IG48" s="82">
        <v>4.125</v>
      </c>
      <c r="IH48" s="56">
        <f t="shared" si="113"/>
        <v>4</v>
      </c>
      <c r="II48" s="77"/>
      <c r="IJ48" s="75"/>
      <c r="IK48" s="82">
        <v>4.125</v>
      </c>
      <c r="IL48" s="56">
        <f t="shared" si="114"/>
        <v>4</v>
      </c>
      <c r="IM48" s="77"/>
      <c r="IN48" s="62"/>
      <c r="IO48" s="82">
        <v>4.125</v>
      </c>
      <c r="IP48" s="56">
        <f t="shared" si="115"/>
        <v>4</v>
      </c>
      <c r="IQ48" s="77"/>
      <c r="IR48" s="48"/>
      <c r="IS48" s="82">
        <v>4.125</v>
      </c>
      <c r="IT48" s="56">
        <f t="shared" si="116"/>
        <v>4</v>
      </c>
      <c r="IU48" s="77"/>
      <c r="IV48" s="48"/>
      <c r="IW48" s="82">
        <v>4.125</v>
      </c>
      <c r="IX48" s="56">
        <f t="shared" si="117"/>
        <v>4</v>
      </c>
      <c r="IY48" s="77"/>
      <c r="IZ48" s="48"/>
      <c r="JA48" s="82">
        <v>4.125</v>
      </c>
      <c r="JB48" s="56">
        <f t="shared" si="118"/>
        <v>4</v>
      </c>
      <c r="JC48" s="77"/>
      <c r="JD48" s="48"/>
      <c r="JE48" s="82">
        <v>4.125</v>
      </c>
      <c r="JF48" s="56">
        <f t="shared" si="119"/>
        <v>4</v>
      </c>
      <c r="JG48" s="80"/>
      <c r="JH48" s="48"/>
      <c r="JI48" s="82">
        <v>4.125</v>
      </c>
      <c r="JJ48" s="56">
        <f t="shared" si="120"/>
        <v>4</v>
      </c>
      <c r="JK48" s="81"/>
      <c r="JL48" s="48"/>
      <c r="JM48" s="54">
        <f t="shared" si="121"/>
        <v>49.5</v>
      </c>
      <c r="JN48" s="54">
        <f t="shared" si="122"/>
        <v>16085.935800000001</v>
      </c>
    </row>
    <row r="49" spans="1:274">
      <c r="A49" s="249"/>
      <c r="B49" s="250"/>
      <c r="C49" s="250"/>
      <c r="D49" s="249"/>
      <c r="E49" s="36">
        <v>44</v>
      </c>
      <c r="F49" s="83"/>
      <c r="G49" s="38">
        <v>4254600060</v>
      </c>
      <c r="H49" s="39" t="s">
        <v>79</v>
      </c>
      <c r="I49" s="69">
        <v>557.27760000000001</v>
      </c>
      <c r="J49" s="36"/>
      <c r="K49" s="73"/>
      <c r="L49" s="73"/>
      <c r="M49" s="74"/>
      <c r="N49" s="75"/>
      <c r="O49" s="76"/>
      <c r="P49" s="75"/>
      <c r="Q49" s="74"/>
      <c r="R49" s="75"/>
      <c r="S49" s="76"/>
      <c r="T49" s="75"/>
      <c r="U49" s="74"/>
      <c r="V49" s="75"/>
      <c r="W49" s="76"/>
      <c r="X49" s="75"/>
      <c r="Y49" s="74"/>
      <c r="Z49" s="75"/>
      <c r="AA49" s="76"/>
      <c r="AB49" s="75"/>
      <c r="AC49" s="74"/>
      <c r="AD49" s="75"/>
      <c r="AE49" s="77"/>
      <c r="AF49" s="75"/>
      <c r="AG49" s="74"/>
      <c r="AH49" s="78"/>
      <c r="AI49" s="77"/>
      <c r="AJ49" s="62"/>
      <c r="AK49" s="74"/>
      <c r="AL49" s="42"/>
      <c r="AM49" s="77"/>
      <c r="AN49" s="48"/>
      <c r="AO49" s="74"/>
      <c r="AP49" s="42"/>
      <c r="AQ49" s="43"/>
      <c r="AR49" s="79"/>
      <c r="AS49" s="74"/>
      <c r="AT49" s="75"/>
      <c r="AU49" s="77"/>
      <c r="AV49" s="48"/>
      <c r="AW49" s="74"/>
      <c r="AX49" s="75"/>
      <c r="AY49" s="77"/>
      <c r="AZ49" s="48"/>
      <c r="BA49" s="74"/>
      <c r="BB49" s="75"/>
      <c r="BC49" s="80"/>
      <c r="BD49" s="48"/>
      <c r="BE49" s="74"/>
      <c r="BF49" s="75"/>
      <c r="BG49" s="81"/>
      <c r="BH49" s="48"/>
      <c r="BI49" s="84"/>
      <c r="BJ49" s="54"/>
      <c r="BK49" s="74">
        <v>3</v>
      </c>
      <c r="BL49" s="55">
        <f t="shared" si="79"/>
        <v>3</v>
      </c>
      <c r="BM49" s="56">
        <v>3</v>
      </c>
      <c r="BN49" s="76">
        <v>0</v>
      </c>
      <c r="BO49" s="75"/>
      <c r="BP49" s="74">
        <v>3</v>
      </c>
      <c r="BQ49" s="55">
        <f t="shared" si="80"/>
        <v>3</v>
      </c>
      <c r="BR49" s="56">
        <v>3</v>
      </c>
      <c r="BS49" s="43">
        <v>0</v>
      </c>
      <c r="BT49" s="75"/>
      <c r="BU49" s="74">
        <v>3</v>
      </c>
      <c r="BV49" s="55">
        <f t="shared" si="81"/>
        <v>3</v>
      </c>
      <c r="BW49" s="56">
        <v>3</v>
      </c>
      <c r="BX49" s="76">
        <v>0</v>
      </c>
      <c r="BY49" s="75"/>
      <c r="BZ49" s="74">
        <v>3</v>
      </c>
      <c r="CA49" s="55">
        <f t="shared" si="82"/>
        <v>3</v>
      </c>
      <c r="CB49" s="56">
        <v>3</v>
      </c>
      <c r="CC49" s="43">
        <v>0</v>
      </c>
      <c r="CD49" s="75"/>
      <c r="CE49" s="74">
        <v>3</v>
      </c>
      <c r="CF49" s="55">
        <f t="shared" si="83"/>
        <v>3</v>
      </c>
      <c r="CG49" s="56">
        <v>3</v>
      </c>
      <c r="CH49" s="77">
        <v>0</v>
      </c>
      <c r="CI49" s="75"/>
      <c r="CJ49" s="74">
        <v>3</v>
      </c>
      <c r="CK49" s="55">
        <f t="shared" si="84"/>
        <v>3</v>
      </c>
      <c r="CL49" s="56">
        <v>3</v>
      </c>
      <c r="CM49" s="77"/>
      <c r="CN49" s="62"/>
      <c r="CO49" s="74">
        <v>3</v>
      </c>
      <c r="CP49" s="55">
        <f t="shared" si="85"/>
        <v>3</v>
      </c>
      <c r="CQ49" s="56">
        <v>3</v>
      </c>
      <c r="CR49" s="77"/>
      <c r="CS49" s="48"/>
      <c r="CT49" s="74">
        <v>3</v>
      </c>
      <c r="CU49" s="55">
        <f t="shared" si="86"/>
        <v>3</v>
      </c>
      <c r="CV49" s="56">
        <v>3</v>
      </c>
      <c r="CW49" s="77">
        <v>4</v>
      </c>
      <c r="CX49" s="48"/>
      <c r="CY49" s="74">
        <v>3</v>
      </c>
      <c r="CZ49" s="55">
        <f t="shared" si="87"/>
        <v>3</v>
      </c>
      <c r="DA49" s="56">
        <v>3</v>
      </c>
      <c r="DB49" s="77"/>
      <c r="DC49" s="48"/>
      <c r="DD49" s="74">
        <v>3</v>
      </c>
      <c r="DE49" s="55">
        <f t="shared" si="88"/>
        <v>3</v>
      </c>
      <c r="DF49" s="56">
        <v>3</v>
      </c>
      <c r="DG49" s="77">
        <v>6</v>
      </c>
      <c r="DH49" s="48"/>
      <c r="DI49" s="74">
        <v>3</v>
      </c>
      <c r="DJ49" s="55">
        <f t="shared" si="89"/>
        <v>3</v>
      </c>
      <c r="DK49" s="56">
        <v>3</v>
      </c>
      <c r="DL49" s="80"/>
      <c r="DM49" s="48"/>
      <c r="DN49" s="74">
        <v>3</v>
      </c>
      <c r="DO49" s="55">
        <f t="shared" si="90"/>
        <v>3</v>
      </c>
      <c r="DP49" s="56">
        <v>3</v>
      </c>
      <c r="DQ49" s="81">
        <v>6</v>
      </c>
      <c r="DR49" s="48"/>
      <c r="DS49" s="54">
        <f t="shared" si="91"/>
        <v>36</v>
      </c>
      <c r="DT49" s="54">
        <f t="shared" si="92"/>
        <v>20061.993600000002</v>
      </c>
      <c r="DU49" s="41">
        <v>1</v>
      </c>
      <c r="DV49" s="56">
        <f t="shared" si="68"/>
        <v>1</v>
      </c>
      <c r="DW49" s="76"/>
      <c r="DX49" s="75"/>
      <c r="DY49" s="41">
        <v>1</v>
      </c>
      <c r="DZ49" s="56">
        <f>ROUNDDOWN(DY49,0)</f>
        <v>1</v>
      </c>
      <c r="EA49" s="43"/>
      <c r="EB49" s="75"/>
      <c r="EC49" s="41">
        <v>1</v>
      </c>
      <c r="ED49" s="56">
        <f>ROUNDDOWN(EC49,0)</f>
        <v>1</v>
      </c>
      <c r="EE49" s="76"/>
      <c r="EF49" s="75"/>
      <c r="EG49" s="41">
        <v>1</v>
      </c>
      <c r="EH49" s="56">
        <f>ROUNDDOWN(EG49,0)</f>
        <v>1</v>
      </c>
      <c r="EI49" s="43">
        <v>8</v>
      </c>
      <c r="EJ49" s="75"/>
      <c r="EK49" s="41">
        <v>1</v>
      </c>
      <c r="EL49" s="56">
        <f>ROUNDDOWN(EK49,0)</f>
        <v>1</v>
      </c>
      <c r="EM49" s="77">
        <v>4</v>
      </c>
      <c r="EN49" s="75"/>
      <c r="EO49" s="41">
        <v>1</v>
      </c>
      <c r="EP49" s="56">
        <f t="shared" si="125"/>
        <v>1</v>
      </c>
      <c r="EQ49" s="77"/>
      <c r="ER49" s="62"/>
      <c r="ES49" s="41">
        <v>1</v>
      </c>
      <c r="ET49" s="56">
        <f t="shared" si="126"/>
        <v>1</v>
      </c>
      <c r="EU49" s="77"/>
      <c r="EV49" s="48"/>
      <c r="EW49" s="41">
        <v>1</v>
      </c>
      <c r="EX49" s="56">
        <f t="shared" si="127"/>
        <v>1</v>
      </c>
      <c r="EY49" s="77"/>
      <c r="EZ49" s="48"/>
      <c r="FA49" s="41">
        <v>1</v>
      </c>
      <c r="FB49" s="56">
        <f t="shared" si="128"/>
        <v>1</v>
      </c>
      <c r="FC49" s="77"/>
      <c r="FD49" s="48"/>
      <c r="FE49" s="41">
        <v>1</v>
      </c>
      <c r="FF49" s="56">
        <f t="shared" si="129"/>
        <v>1</v>
      </c>
      <c r="FG49" s="77"/>
      <c r="FH49" s="48"/>
      <c r="FI49" s="41">
        <v>1</v>
      </c>
      <c r="FJ49" s="241">
        <f t="shared" si="130"/>
        <v>1</v>
      </c>
      <c r="FK49" s="80"/>
      <c r="FL49" s="48"/>
      <c r="FM49" s="41">
        <v>1</v>
      </c>
      <c r="FN49" s="241">
        <f t="shared" si="131"/>
        <v>1</v>
      </c>
      <c r="FO49" s="81"/>
      <c r="FP49" s="48"/>
      <c r="FQ49" s="54">
        <f t="shared" si="93"/>
        <v>12</v>
      </c>
      <c r="FR49" s="54">
        <f t="shared" si="94"/>
        <v>6687.3312000000005</v>
      </c>
      <c r="FS49" s="58" t="e">
        <v>#REF!</v>
      </c>
      <c r="FT49" s="56" t="e">
        <f t="shared" si="95"/>
        <v>#REF!</v>
      </c>
      <c r="FU49" s="76"/>
      <c r="FV49" s="75"/>
      <c r="FW49" s="58">
        <v>3.2625000000000002</v>
      </c>
      <c r="FX49" s="56">
        <f t="shared" si="96"/>
        <v>3</v>
      </c>
      <c r="FY49" s="43"/>
      <c r="FZ49" s="75"/>
      <c r="GA49" s="82">
        <v>4.125</v>
      </c>
      <c r="GB49" s="56">
        <f t="shared" si="97"/>
        <v>4</v>
      </c>
      <c r="GC49" s="76"/>
      <c r="GD49" s="75"/>
      <c r="GE49" s="82">
        <v>4.125</v>
      </c>
      <c r="GF49" s="56">
        <f t="shared" si="98"/>
        <v>4</v>
      </c>
      <c r="GG49" s="43"/>
      <c r="GH49" s="75"/>
      <c r="GI49" s="82">
        <v>4.125</v>
      </c>
      <c r="GJ49" s="56">
        <f t="shared" si="99"/>
        <v>4</v>
      </c>
      <c r="GK49" s="77"/>
      <c r="GL49" s="75"/>
      <c r="GM49" s="82">
        <v>4.125</v>
      </c>
      <c r="GN49" s="56">
        <f t="shared" si="100"/>
        <v>4</v>
      </c>
      <c r="GO49" s="77"/>
      <c r="GP49" s="62"/>
      <c r="GQ49" s="82">
        <v>4.125</v>
      </c>
      <c r="GR49" s="56">
        <f t="shared" si="101"/>
        <v>4</v>
      </c>
      <c r="GS49" s="77"/>
      <c r="GT49" s="48"/>
      <c r="GU49" s="82">
        <v>4.125</v>
      </c>
      <c r="GV49" s="56">
        <f t="shared" si="102"/>
        <v>4</v>
      </c>
      <c r="GW49" s="77"/>
      <c r="GX49" s="48"/>
      <c r="GY49" s="82">
        <v>4.125</v>
      </c>
      <c r="GZ49" s="56">
        <f t="shared" si="103"/>
        <v>4</v>
      </c>
      <c r="HA49" s="77"/>
      <c r="HB49" s="48"/>
      <c r="HC49" s="82">
        <v>4.125</v>
      </c>
      <c r="HD49" s="56">
        <f t="shared" si="104"/>
        <v>4</v>
      </c>
      <c r="HE49" s="77"/>
      <c r="HF49" s="48"/>
      <c r="HG49" s="82">
        <v>4.125</v>
      </c>
      <c r="HH49" s="56">
        <f t="shared" si="105"/>
        <v>4</v>
      </c>
      <c r="HI49" s="80"/>
      <c r="HJ49" s="48"/>
      <c r="HK49" s="82">
        <v>4.125</v>
      </c>
      <c r="HL49" s="56">
        <f t="shared" si="106"/>
        <v>4</v>
      </c>
      <c r="HM49" s="81"/>
      <c r="HN49" s="48"/>
      <c r="HO49" s="54" t="e">
        <f t="shared" si="107"/>
        <v>#REF!</v>
      </c>
      <c r="HP49" s="54" t="e">
        <f t="shared" si="108"/>
        <v>#REF!</v>
      </c>
      <c r="HQ49" s="82">
        <v>4.125</v>
      </c>
      <c r="HR49" s="56">
        <f t="shared" si="109"/>
        <v>4</v>
      </c>
      <c r="HS49" s="76"/>
      <c r="HT49" s="75"/>
      <c r="HU49" s="82">
        <v>4.125</v>
      </c>
      <c r="HV49" s="56">
        <f t="shared" si="110"/>
        <v>4</v>
      </c>
      <c r="HW49" s="43"/>
      <c r="HX49" s="75"/>
      <c r="HY49" s="82">
        <v>4.125</v>
      </c>
      <c r="HZ49" s="56">
        <f t="shared" si="111"/>
        <v>4</v>
      </c>
      <c r="IA49" s="76"/>
      <c r="IB49" s="75"/>
      <c r="IC49" s="82">
        <v>4.125</v>
      </c>
      <c r="ID49" s="56">
        <f t="shared" si="112"/>
        <v>4</v>
      </c>
      <c r="IE49" s="43"/>
      <c r="IF49" s="75"/>
      <c r="IG49" s="82">
        <v>4.125</v>
      </c>
      <c r="IH49" s="56">
        <f t="shared" si="113"/>
        <v>4</v>
      </c>
      <c r="II49" s="77"/>
      <c r="IJ49" s="75"/>
      <c r="IK49" s="82">
        <v>4.125</v>
      </c>
      <c r="IL49" s="56">
        <f t="shared" si="114"/>
        <v>4</v>
      </c>
      <c r="IM49" s="77"/>
      <c r="IN49" s="62"/>
      <c r="IO49" s="82">
        <v>4.125</v>
      </c>
      <c r="IP49" s="56">
        <f t="shared" si="115"/>
        <v>4</v>
      </c>
      <c r="IQ49" s="77"/>
      <c r="IR49" s="48"/>
      <c r="IS49" s="82">
        <v>4.125</v>
      </c>
      <c r="IT49" s="56">
        <f t="shared" si="116"/>
        <v>4</v>
      </c>
      <c r="IU49" s="77"/>
      <c r="IV49" s="48"/>
      <c r="IW49" s="82">
        <v>4.125</v>
      </c>
      <c r="IX49" s="56">
        <f t="shared" si="117"/>
        <v>4</v>
      </c>
      <c r="IY49" s="77"/>
      <c r="IZ49" s="48"/>
      <c r="JA49" s="82">
        <v>4.125</v>
      </c>
      <c r="JB49" s="56">
        <f t="shared" si="118"/>
        <v>4</v>
      </c>
      <c r="JC49" s="77"/>
      <c r="JD49" s="48"/>
      <c r="JE49" s="82">
        <v>4.125</v>
      </c>
      <c r="JF49" s="56">
        <f t="shared" si="119"/>
        <v>4</v>
      </c>
      <c r="JG49" s="80"/>
      <c r="JH49" s="48"/>
      <c r="JI49" s="82">
        <v>4.125</v>
      </c>
      <c r="JJ49" s="56">
        <f t="shared" si="120"/>
        <v>4</v>
      </c>
      <c r="JK49" s="81"/>
      <c r="JL49" s="48"/>
      <c r="JM49" s="54">
        <f t="shared" si="121"/>
        <v>49.5</v>
      </c>
      <c r="JN49" s="54">
        <f t="shared" si="122"/>
        <v>27585.2412</v>
      </c>
    </row>
    <row r="50" spans="1:274">
      <c r="A50" s="249"/>
      <c r="B50" s="250"/>
      <c r="C50" s="250"/>
      <c r="D50" s="249"/>
      <c r="E50" s="36">
        <v>45</v>
      </c>
      <c r="F50" s="83"/>
      <c r="G50" s="38">
        <v>12739074</v>
      </c>
      <c r="H50" s="39" t="s">
        <v>85</v>
      </c>
      <c r="I50" s="69">
        <v>488.83161599999994</v>
      </c>
      <c r="J50" s="36"/>
      <c r="K50" s="73"/>
      <c r="L50" s="73"/>
      <c r="M50" s="74"/>
      <c r="N50" s="75"/>
      <c r="O50" s="76"/>
      <c r="P50" s="75"/>
      <c r="Q50" s="74"/>
      <c r="R50" s="75"/>
      <c r="S50" s="76"/>
      <c r="T50" s="75"/>
      <c r="U50" s="74"/>
      <c r="V50" s="75"/>
      <c r="W50" s="76"/>
      <c r="X50" s="75"/>
      <c r="Y50" s="74"/>
      <c r="Z50" s="75"/>
      <c r="AA50" s="76"/>
      <c r="AB50" s="75"/>
      <c r="AC50" s="74"/>
      <c r="AD50" s="75"/>
      <c r="AE50" s="77"/>
      <c r="AF50" s="75"/>
      <c r="AG50" s="74"/>
      <c r="AH50" s="78"/>
      <c r="AI50" s="77"/>
      <c r="AJ50" s="62"/>
      <c r="AK50" s="74"/>
      <c r="AL50" s="42"/>
      <c r="AM50" s="77"/>
      <c r="AN50" s="48"/>
      <c r="AO50" s="74"/>
      <c r="AP50" s="42"/>
      <c r="AQ50" s="43"/>
      <c r="AR50" s="79"/>
      <c r="AS50" s="74"/>
      <c r="AT50" s="75"/>
      <c r="AU50" s="77"/>
      <c r="AV50" s="48"/>
      <c r="AW50" s="74"/>
      <c r="AX50" s="75"/>
      <c r="AY50" s="77"/>
      <c r="AZ50" s="48"/>
      <c r="BA50" s="74"/>
      <c r="BB50" s="75"/>
      <c r="BC50" s="80"/>
      <c r="BD50" s="48"/>
      <c r="BE50" s="74"/>
      <c r="BF50" s="75"/>
      <c r="BG50" s="81"/>
      <c r="BH50" s="48"/>
      <c r="BI50" s="84"/>
      <c r="BJ50" s="54"/>
      <c r="BK50" s="74">
        <v>15</v>
      </c>
      <c r="BL50" s="55">
        <f t="shared" si="79"/>
        <v>14</v>
      </c>
      <c r="BM50" s="56">
        <v>15</v>
      </c>
      <c r="BN50" s="76">
        <v>60</v>
      </c>
      <c r="BO50" s="75"/>
      <c r="BP50" s="74">
        <v>15</v>
      </c>
      <c r="BQ50" s="55">
        <f t="shared" si="80"/>
        <v>14</v>
      </c>
      <c r="BR50" s="56">
        <v>15</v>
      </c>
      <c r="BS50" s="43">
        <v>0</v>
      </c>
      <c r="BT50" s="75"/>
      <c r="BU50" s="74">
        <v>15</v>
      </c>
      <c r="BV50" s="55">
        <f t="shared" si="81"/>
        <v>14</v>
      </c>
      <c r="BW50" s="56">
        <v>15</v>
      </c>
      <c r="BX50" s="76">
        <v>12</v>
      </c>
      <c r="BY50" s="75"/>
      <c r="BZ50" s="74">
        <v>15</v>
      </c>
      <c r="CA50" s="55">
        <f t="shared" si="82"/>
        <v>14</v>
      </c>
      <c r="CB50" s="56">
        <v>15</v>
      </c>
      <c r="CC50" s="76">
        <v>48</v>
      </c>
      <c r="CD50" s="75"/>
      <c r="CE50" s="74">
        <v>15</v>
      </c>
      <c r="CF50" s="55">
        <f t="shared" si="83"/>
        <v>14</v>
      </c>
      <c r="CG50" s="56">
        <v>15</v>
      </c>
      <c r="CH50" s="77">
        <v>20</v>
      </c>
      <c r="CI50" s="75"/>
      <c r="CJ50" s="74">
        <v>15</v>
      </c>
      <c r="CK50" s="55">
        <f t="shared" si="84"/>
        <v>14</v>
      </c>
      <c r="CL50" s="56">
        <v>15</v>
      </c>
      <c r="CM50" s="77">
        <v>30</v>
      </c>
      <c r="CN50" s="62"/>
      <c r="CO50" s="74">
        <v>15</v>
      </c>
      <c r="CP50" s="55">
        <f t="shared" si="85"/>
        <v>14</v>
      </c>
      <c r="CQ50" s="56">
        <v>15</v>
      </c>
      <c r="CR50" s="77"/>
      <c r="CS50" s="48"/>
      <c r="CT50" s="74">
        <v>15</v>
      </c>
      <c r="CU50" s="55">
        <f t="shared" si="86"/>
        <v>14</v>
      </c>
      <c r="CV50" s="56">
        <v>20</v>
      </c>
      <c r="CW50" s="77">
        <v>90</v>
      </c>
      <c r="CX50" s="48"/>
      <c r="CY50" s="74">
        <v>15</v>
      </c>
      <c r="CZ50" s="55">
        <f t="shared" si="87"/>
        <v>14</v>
      </c>
      <c r="DA50" s="56">
        <v>20</v>
      </c>
      <c r="DB50" s="77"/>
      <c r="DC50" s="48"/>
      <c r="DD50" s="74">
        <v>15</v>
      </c>
      <c r="DE50" s="55">
        <f t="shared" si="88"/>
        <v>14</v>
      </c>
      <c r="DF50" s="56">
        <v>20</v>
      </c>
      <c r="DG50" s="77">
        <v>50</v>
      </c>
      <c r="DH50" s="48"/>
      <c r="DI50" s="74">
        <v>15</v>
      </c>
      <c r="DJ50" s="55">
        <f t="shared" si="89"/>
        <v>14</v>
      </c>
      <c r="DK50" s="56">
        <v>20</v>
      </c>
      <c r="DL50" s="80">
        <v>50</v>
      </c>
      <c r="DM50" s="48"/>
      <c r="DN50" s="74">
        <v>15</v>
      </c>
      <c r="DO50" s="55">
        <f t="shared" si="90"/>
        <v>14</v>
      </c>
      <c r="DP50" s="56">
        <v>92</v>
      </c>
      <c r="DQ50" s="81">
        <v>100</v>
      </c>
      <c r="DR50" s="48"/>
      <c r="DS50" s="54">
        <f t="shared" si="91"/>
        <v>180</v>
      </c>
      <c r="DT50" s="54">
        <f t="shared" si="92"/>
        <v>87989.690879999995</v>
      </c>
      <c r="DU50" s="41">
        <v>30</v>
      </c>
      <c r="DV50" s="56">
        <f t="shared" si="68"/>
        <v>30</v>
      </c>
      <c r="DW50" s="76">
        <v>20</v>
      </c>
      <c r="DX50" s="75"/>
      <c r="DY50" s="41">
        <v>30</v>
      </c>
      <c r="DZ50" s="56">
        <v>50</v>
      </c>
      <c r="EA50" s="43">
        <v>60</v>
      </c>
      <c r="EB50" s="75"/>
      <c r="EC50" s="41">
        <v>30</v>
      </c>
      <c r="ED50" s="56">
        <v>50</v>
      </c>
      <c r="EE50" s="76">
        <v>40</v>
      </c>
      <c r="EF50" s="75"/>
      <c r="EG50" s="41">
        <v>30</v>
      </c>
      <c r="EH50" s="56">
        <v>50</v>
      </c>
      <c r="EI50" s="76">
        <v>30</v>
      </c>
      <c r="EJ50" s="75"/>
      <c r="EK50" s="41">
        <v>30</v>
      </c>
      <c r="EL50" s="56">
        <v>50</v>
      </c>
      <c r="EM50" s="77">
        <v>35</v>
      </c>
      <c r="EN50" s="75"/>
      <c r="EO50" s="41">
        <v>30</v>
      </c>
      <c r="EP50" s="56">
        <f t="shared" si="125"/>
        <v>30</v>
      </c>
      <c r="EQ50" s="77"/>
      <c r="ER50" s="62"/>
      <c r="ES50" s="41">
        <v>30</v>
      </c>
      <c r="ET50" s="56">
        <f t="shared" si="126"/>
        <v>30</v>
      </c>
      <c r="EU50" s="77"/>
      <c r="EV50" s="48"/>
      <c r="EW50" s="41">
        <v>30</v>
      </c>
      <c r="EX50" s="56">
        <v>50</v>
      </c>
      <c r="EY50" s="77"/>
      <c r="EZ50" s="48"/>
      <c r="FA50" s="41">
        <v>30</v>
      </c>
      <c r="FB50" s="56">
        <v>50</v>
      </c>
      <c r="FC50" s="77"/>
      <c r="FD50" s="48"/>
      <c r="FE50" s="41">
        <v>30</v>
      </c>
      <c r="FF50" s="56">
        <v>50</v>
      </c>
      <c r="FG50" s="77"/>
      <c r="FH50" s="48"/>
      <c r="FI50" s="41">
        <v>30</v>
      </c>
      <c r="FJ50" s="241">
        <v>50</v>
      </c>
      <c r="FK50" s="80"/>
      <c r="FL50" s="48"/>
      <c r="FM50" s="41">
        <v>30</v>
      </c>
      <c r="FN50" s="241">
        <v>50</v>
      </c>
      <c r="FO50" s="81"/>
      <c r="FP50" s="48"/>
      <c r="FQ50" s="54">
        <f t="shared" si="93"/>
        <v>360</v>
      </c>
      <c r="FR50" s="54">
        <f t="shared" si="94"/>
        <v>175979.38175999999</v>
      </c>
      <c r="FS50" s="58" t="e">
        <v>#REF!</v>
      </c>
      <c r="FT50" s="56" t="e">
        <f t="shared" si="95"/>
        <v>#REF!</v>
      </c>
      <c r="FU50" s="76"/>
      <c r="FV50" s="75"/>
      <c r="FW50" s="58">
        <v>16.3125</v>
      </c>
      <c r="FX50" s="56">
        <f t="shared" si="96"/>
        <v>16</v>
      </c>
      <c r="FY50" s="43"/>
      <c r="FZ50" s="75"/>
      <c r="GA50" s="82">
        <v>20.625</v>
      </c>
      <c r="GB50" s="56">
        <f t="shared" si="97"/>
        <v>20</v>
      </c>
      <c r="GC50" s="76"/>
      <c r="GD50" s="75"/>
      <c r="GE50" s="82">
        <v>20.625</v>
      </c>
      <c r="GF50" s="56">
        <f t="shared" si="98"/>
        <v>20</v>
      </c>
      <c r="GG50" s="76"/>
      <c r="GH50" s="75"/>
      <c r="GI50" s="82">
        <v>20.625</v>
      </c>
      <c r="GJ50" s="56">
        <f t="shared" si="99"/>
        <v>20</v>
      </c>
      <c r="GK50" s="77"/>
      <c r="GL50" s="75"/>
      <c r="GM50" s="82">
        <v>20.625</v>
      </c>
      <c r="GN50" s="56">
        <f t="shared" si="100"/>
        <v>20</v>
      </c>
      <c r="GO50" s="77"/>
      <c r="GP50" s="62"/>
      <c r="GQ50" s="82">
        <v>20.625</v>
      </c>
      <c r="GR50" s="56">
        <f t="shared" si="101"/>
        <v>20</v>
      </c>
      <c r="GS50" s="77"/>
      <c r="GT50" s="48"/>
      <c r="GU50" s="82">
        <v>20.625</v>
      </c>
      <c r="GV50" s="56">
        <f t="shared" si="102"/>
        <v>20</v>
      </c>
      <c r="GW50" s="77"/>
      <c r="GX50" s="48"/>
      <c r="GY50" s="82">
        <v>20.625</v>
      </c>
      <c r="GZ50" s="56">
        <f t="shared" si="103"/>
        <v>20</v>
      </c>
      <c r="HA50" s="77"/>
      <c r="HB50" s="48"/>
      <c r="HC50" s="82">
        <v>20.625</v>
      </c>
      <c r="HD50" s="56">
        <f t="shared" si="104"/>
        <v>20</v>
      </c>
      <c r="HE50" s="77"/>
      <c r="HF50" s="48"/>
      <c r="HG50" s="82">
        <v>20.625</v>
      </c>
      <c r="HH50" s="56">
        <f t="shared" si="105"/>
        <v>20</v>
      </c>
      <c r="HI50" s="80"/>
      <c r="HJ50" s="48"/>
      <c r="HK50" s="82">
        <v>20.625</v>
      </c>
      <c r="HL50" s="56">
        <f t="shared" si="106"/>
        <v>20</v>
      </c>
      <c r="HM50" s="81"/>
      <c r="HN50" s="48"/>
      <c r="HO50" s="54" t="e">
        <f t="shared" si="107"/>
        <v>#REF!</v>
      </c>
      <c r="HP50" s="54" t="e">
        <f t="shared" si="108"/>
        <v>#REF!</v>
      </c>
      <c r="HQ50" s="82">
        <v>20.625</v>
      </c>
      <c r="HR50" s="56">
        <f t="shared" si="109"/>
        <v>20</v>
      </c>
      <c r="HS50" s="76"/>
      <c r="HT50" s="75"/>
      <c r="HU50" s="82">
        <v>20.625</v>
      </c>
      <c r="HV50" s="56">
        <f t="shared" si="110"/>
        <v>20</v>
      </c>
      <c r="HW50" s="43"/>
      <c r="HX50" s="75"/>
      <c r="HY50" s="82">
        <v>20.625</v>
      </c>
      <c r="HZ50" s="56">
        <f t="shared" si="111"/>
        <v>20</v>
      </c>
      <c r="IA50" s="76"/>
      <c r="IB50" s="75"/>
      <c r="IC50" s="82">
        <v>20.625</v>
      </c>
      <c r="ID50" s="56">
        <f t="shared" si="112"/>
        <v>20</v>
      </c>
      <c r="IE50" s="76"/>
      <c r="IF50" s="75"/>
      <c r="IG50" s="82">
        <v>20.625</v>
      </c>
      <c r="IH50" s="56">
        <f t="shared" si="113"/>
        <v>20</v>
      </c>
      <c r="II50" s="77"/>
      <c r="IJ50" s="75"/>
      <c r="IK50" s="82">
        <v>20.625</v>
      </c>
      <c r="IL50" s="56">
        <f t="shared" si="114"/>
        <v>20</v>
      </c>
      <c r="IM50" s="77"/>
      <c r="IN50" s="62"/>
      <c r="IO50" s="82">
        <v>20.625</v>
      </c>
      <c r="IP50" s="56">
        <f t="shared" si="115"/>
        <v>20</v>
      </c>
      <c r="IQ50" s="77"/>
      <c r="IR50" s="48"/>
      <c r="IS50" s="82">
        <v>20.625</v>
      </c>
      <c r="IT50" s="56">
        <f t="shared" si="116"/>
        <v>20</v>
      </c>
      <c r="IU50" s="77"/>
      <c r="IV50" s="48"/>
      <c r="IW50" s="82">
        <v>20.625</v>
      </c>
      <c r="IX50" s="56">
        <f t="shared" si="117"/>
        <v>20</v>
      </c>
      <c r="IY50" s="77"/>
      <c r="IZ50" s="48"/>
      <c r="JA50" s="82">
        <v>20.625</v>
      </c>
      <c r="JB50" s="56">
        <f t="shared" si="118"/>
        <v>20</v>
      </c>
      <c r="JC50" s="77"/>
      <c r="JD50" s="48"/>
      <c r="JE50" s="82">
        <v>20.625</v>
      </c>
      <c r="JF50" s="56">
        <f t="shared" si="119"/>
        <v>20</v>
      </c>
      <c r="JG50" s="80"/>
      <c r="JH50" s="48"/>
      <c r="JI50" s="82">
        <v>20.625</v>
      </c>
      <c r="JJ50" s="56">
        <f t="shared" si="120"/>
        <v>20</v>
      </c>
      <c r="JK50" s="81"/>
      <c r="JL50" s="48"/>
      <c r="JM50" s="54">
        <f t="shared" si="121"/>
        <v>247.5</v>
      </c>
      <c r="JN50" s="54">
        <f t="shared" si="122"/>
        <v>120985.82495999998</v>
      </c>
    </row>
    <row r="51" spans="1:274">
      <c r="A51" s="249"/>
      <c r="B51" s="250"/>
      <c r="C51" s="250"/>
      <c r="D51" s="249"/>
      <c r="E51" s="36">
        <v>46</v>
      </c>
      <c r="F51" s="83"/>
      <c r="G51" s="38">
        <v>4721950660</v>
      </c>
      <c r="H51" s="39" t="s">
        <v>86</v>
      </c>
      <c r="I51" s="85">
        <v>277.52159999999992</v>
      </c>
      <c r="J51" s="36"/>
      <c r="K51" s="73"/>
      <c r="L51" s="73"/>
      <c r="M51" s="74"/>
      <c r="N51" s="75"/>
      <c r="O51" s="76"/>
      <c r="P51" s="75"/>
      <c r="Q51" s="74"/>
      <c r="R51" s="75"/>
      <c r="S51" s="76"/>
      <c r="T51" s="75"/>
      <c r="U51" s="74"/>
      <c r="V51" s="75"/>
      <c r="W51" s="76"/>
      <c r="X51" s="75"/>
      <c r="Y51" s="74"/>
      <c r="Z51" s="75"/>
      <c r="AA51" s="76"/>
      <c r="AB51" s="75"/>
      <c r="AC51" s="74"/>
      <c r="AD51" s="75"/>
      <c r="AE51" s="77"/>
      <c r="AF51" s="75"/>
      <c r="AG51" s="74"/>
      <c r="AH51" s="78"/>
      <c r="AI51" s="77"/>
      <c r="AJ51" s="62"/>
      <c r="AK51" s="74"/>
      <c r="AL51" s="75"/>
      <c r="AM51" s="77"/>
      <c r="AN51" s="48"/>
      <c r="AO51" s="74"/>
      <c r="AP51" s="42"/>
      <c r="AQ51" s="43"/>
      <c r="AR51" s="79"/>
      <c r="AS51" s="74"/>
      <c r="AT51" s="75"/>
      <c r="AU51" s="77"/>
      <c r="AV51" s="48"/>
      <c r="AW51" s="74"/>
      <c r="AX51" s="75"/>
      <c r="AY51" s="77"/>
      <c r="AZ51" s="48"/>
      <c r="BA51" s="74"/>
      <c r="BB51" s="75"/>
      <c r="BC51" s="80"/>
      <c r="BD51" s="48"/>
      <c r="BE51" s="74"/>
      <c r="BF51" s="75"/>
      <c r="BG51" s="81"/>
      <c r="BH51" s="48"/>
      <c r="BI51" s="84"/>
      <c r="BJ51" s="54"/>
      <c r="BK51" s="74">
        <v>10</v>
      </c>
      <c r="BL51" s="55">
        <f t="shared" si="79"/>
        <v>9</v>
      </c>
      <c r="BM51" s="56">
        <v>10</v>
      </c>
      <c r="BN51" s="76">
        <v>10</v>
      </c>
      <c r="BO51" s="75"/>
      <c r="BP51" s="74">
        <v>10</v>
      </c>
      <c r="BQ51" s="55">
        <f t="shared" si="80"/>
        <v>9</v>
      </c>
      <c r="BR51" s="56">
        <v>10</v>
      </c>
      <c r="BS51" s="76">
        <v>15</v>
      </c>
      <c r="BT51" s="75"/>
      <c r="BU51" s="74">
        <v>10</v>
      </c>
      <c r="BV51" s="55">
        <f t="shared" si="81"/>
        <v>9</v>
      </c>
      <c r="BW51" s="56">
        <v>10</v>
      </c>
      <c r="BX51" s="76">
        <v>5</v>
      </c>
      <c r="BY51" s="75"/>
      <c r="BZ51" s="74">
        <v>10</v>
      </c>
      <c r="CA51" s="55">
        <f t="shared" si="82"/>
        <v>9</v>
      </c>
      <c r="CB51" s="56">
        <v>10</v>
      </c>
      <c r="CC51" s="76">
        <v>10</v>
      </c>
      <c r="CD51" s="75"/>
      <c r="CE51" s="74">
        <v>10</v>
      </c>
      <c r="CF51" s="55">
        <f t="shared" si="83"/>
        <v>9</v>
      </c>
      <c r="CG51" s="56">
        <v>10</v>
      </c>
      <c r="CH51" s="77">
        <v>0</v>
      </c>
      <c r="CI51" s="75"/>
      <c r="CJ51" s="74">
        <v>10</v>
      </c>
      <c r="CK51" s="55">
        <f t="shared" si="84"/>
        <v>9</v>
      </c>
      <c r="CL51" s="56">
        <v>10</v>
      </c>
      <c r="CM51" s="77">
        <v>10</v>
      </c>
      <c r="CN51" s="62"/>
      <c r="CO51" s="74">
        <v>10</v>
      </c>
      <c r="CP51" s="55">
        <f t="shared" si="85"/>
        <v>9</v>
      </c>
      <c r="CQ51" s="56">
        <v>10</v>
      </c>
      <c r="CR51" s="77">
        <v>10</v>
      </c>
      <c r="CS51" s="48"/>
      <c r="CT51" s="74">
        <v>10</v>
      </c>
      <c r="CU51" s="55">
        <f t="shared" si="86"/>
        <v>9</v>
      </c>
      <c r="CV51" s="56">
        <v>10</v>
      </c>
      <c r="CW51" s="77">
        <v>15</v>
      </c>
      <c r="CX51" s="48"/>
      <c r="CY51" s="74">
        <v>10</v>
      </c>
      <c r="CZ51" s="55">
        <f t="shared" si="87"/>
        <v>9</v>
      </c>
      <c r="DA51" s="56">
        <v>10</v>
      </c>
      <c r="DB51" s="77"/>
      <c r="DC51" s="48"/>
      <c r="DD51" s="74">
        <v>10</v>
      </c>
      <c r="DE51" s="55">
        <f t="shared" si="88"/>
        <v>9</v>
      </c>
      <c r="DF51" s="56">
        <v>10</v>
      </c>
      <c r="DG51" s="77">
        <v>5</v>
      </c>
      <c r="DH51" s="48"/>
      <c r="DI51" s="74">
        <v>10</v>
      </c>
      <c r="DJ51" s="55">
        <f t="shared" si="89"/>
        <v>9</v>
      </c>
      <c r="DK51" s="56">
        <v>10</v>
      </c>
      <c r="DL51" s="80"/>
      <c r="DM51" s="48"/>
      <c r="DN51" s="74">
        <v>10</v>
      </c>
      <c r="DO51" s="55">
        <f t="shared" si="90"/>
        <v>9</v>
      </c>
      <c r="DP51" s="56">
        <v>10</v>
      </c>
      <c r="DQ51" s="81">
        <v>27</v>
      </c>
      <c r="DR51" s="48"/>
      <c r="DS51" s="54">
        <f t="shared" si="91"/>
        <v>120</v>
      </c>
      <c r="DT51" s="54">
        <f t="shared" si="92"/>
        <v>33302.59199999999</v>
      </c>
      <c r="DU51" s="41">
        <v>7</v>
      </c>
      <c r="DV51" s="56">
        <f t="shared" si="68"/>
        <v>7</v>
      </c>
      <c r="DW51" s="76">
        <v>19</v>
      </c>
      <c r="DX51" s="75"/>
      <c r="DY51" s="41">
        <v>7</v>
      </c>
      <c r="DZ51" s="56">
        <f>ROUNDDOWN(DY51,0)</f>
        <v>7</v>
      </c>
      <c r="EA51" s="76">
        <v>25</v>
      </c>
      <c r="EB51" s="75"/>
      <c r="EC51" s="41">
        <v>7</v>
      </c>
      <c r="ED51" s="56">
        <f>ROUNDDOWN(EC51,0)</f>
        <v>7</v>
      </c>
      <c r="EE51" s="76">
        <v>40</v>
      </c>
      <c r="EF51" s="75"/>
      <c r="EG51" s="41">
        <v>7</v>
      </c>
      <c r="EH51" s="56">
        <f>ROUNDDOWN(EG51,0)</f>
        <v>7</v>
      </c>
      <c r="EI51" s="76">
        <v>10</v>
      </c>
      <c r="EJ51" s="75"/>
      <c r="EK51" s="41">
        <v>7</v>
      </c>
      <c r="EL51" s="56">
        <f>ROUNDDOWN(EK51,0)</f>
        <v>7</v>
      </c>
      <c r="EM51" s="77"/>
      <c r="EN51" s="75"/>
      <c r="EO51" s="41">
        <v>7</v>
      </c>
      <c r="EP51" s="56">
        <f t="shared" si="125"/>
        <v>7</v>
      </c>
      <c r="EQ51" s="77"/>
      <c r="ER51" s="62"/>
      <c r="ES51" s="41">
        <v>7</v>
      </c>
      <c r="ET51" s="56">
        <f t="shared" si="126"/>
        <v>7</v>
      </c>
      <c r="EU51" s="77"/>
      <c r="EV51" s="48"/>
      <c r="EW51" s="41">
        <v>7</v>
      </c>
      <c r="EX51" s="56">
        <f t="shared" si="127"/>
        <v>7</v>
      </c>
      <c r="EY51" s="77"/>
      <c r="EZ51" s="48"/>
      <c r="FA51" s="41">
        <v>7</v>
      </c>
      <c r="FB51" s="56">
        <f t="shared" si="128"/>
        <v>7</v>
      </c>
      <c r="FC51" s="77"/>
      <c r="FD51" s="48"/>
      <c r="FE51" s="41">
        <v>7</v>
      </c>
      <c r="FF51" s="56">
        <f t="shared" si="129"/>
        <v>7</v>
      </c>
      <c r="FG51" s="77"/>
      <c r="FH51" s="48"/>
      <c r="FI51" s="41">
        <v>7</v>
      </c>
      <c r="FJ51" s="241">
        <f t="shared" si="130"/>
        <v>7</v>
      </c>
      <c r="FK51" s="80"/>
      <c r="FL51" s="48"/>
      <c r="FM51" s="41">
        <v>7</v>
      </c>
      <c r="FN51" s="241">
        <f t="shared" si="131"/>
        <v>7</v>
      </c>
      <c r="FO51" s="81"/>
      <c r="FP51" s="48"/>
      <c r="FQ51" s="54">
        <f t="shared" si="93"/>
        <v>84</v>
      </c>
      <c r="FR51" s="54">
        <f t="shared" si="94"/>
        <v>23311.814399999992</v>
      </c>
      <c r="FS51" s="58" t="e">
        <v>#REF!</v>
      </c>
      <c r="FT51" s="56" t="e">
        <f t="shared" si="95"/>
        <v>#REF!</v>
      </c>
      <c r="FU51" s="76"/>
      <c r="FV51" s="75"/>
      <c r="FW51" s="58">
        <v>10.875</v>
      </c>
      <c r="FX51" s="56">
        <f t="shared" si="96"/>
        <v>10</v>
      </c>
      <c r="FY51" s="76"/>
      <c r="FZ51" s="75"/>
      <c r="GA51" s="82">
        <v>13.750000000000002</v>
      </c>
      <c r="GB51" s="56">
        <f t="shared" si="97"/>
        <v>13</v>
      </c>
      <c r="GC51" s="76"/>
      <c r="GD51" s="75"/>
      <c r="GE51" s="82">
        <v>13.750000000000002</v>
      </c>
      <c r="GF51" s="56">
        <f t="shared" si="98"/>
        <v>13</v>
      </c>
      <c r="GG51" s="76"/>
      <c r="GH51" s="75"/>
      <c r="GI51" s="82">
        <v>13.750000000000002</v>
      </c>
      <c r="GJ51" s="56">
        <f t="shared" si="99"/>
        <v>13</v>
      </c>
      <c r="GK51" s="77"/>
      <c r="GL51" s="75"/>
      <c r="GM51" s="82">
        <v>13.750000000000002</v>
      </c>
      <c r="GN51" s="56">
        <f t="shared" si="100"/>
        <v>13</v>
      </c>
      <c r="GO51" s="77"/>
      <c r="GP51" s="62"/>
      <c r="GQ51" s="82">
        <v>13.750000000000002</v>
      </c>
      <c r="GR51" s="56">
        <f t="shared" si="101"/>
        <v>13</v>
      </c>
      <c r="GS51" s="77"/>
      <c r="GT51" s="48"/>
      <c r="GU51" s="82">
        <v>13.750000000000002</v>
      </c>
      <c r="GV51" s="56">
        <f t="shared" si="102"/>
        <v>13</v>
      </c>
      <c r="GW51" s="77"/>
      <c r="GX51" s="48"/>
      <c r="GY51" s="82">
        <v>13.750000000000002</v>
      </c>
      <c r="GZ51" s="56">
        <f t="shared" si="103"/>
        <v>13</v>
      </c>
      <c r="HA51" s="77"/>
      <c r="HB51" s="48"/>
      <c r="HC51" s="82">
        <v>13.750000000000002</v>
      </c>
      <c r="HD51" s="56">
        <f t="shared" si="104"/>
        <v>13</v>
      </c>
      <c r="HE51" s="77"/>
      <c r="HF51" s="48"/>
      <c r="HG51" s="82">
        <v>13.750000000000002</v>
      </c>
      <c r="HH51" s="56">
        <f t="shared" si="105"/>
        <v>13</v>
      </c>
      <c r="HI51" s="80"/>
      <c r="HJ51" s="48"/>
      <c r="HK51" s="82">
        <v>13.750000000000002</v>
      </c>
      <c r="HL51" s="56">
        <f t="shared" si="106"/>
        <v>13</v>
      </c>
      <c r="HM51" s="81"/>
      <c r="HN51" s="48"/>
      <c r="HO51" s="54" t="e">
        <f t="shared" si="107"/>
        <v>#REF!</v>
      </c>
      <c r="HP51" s="54" t="e">
        <f t="shared" si="108"/>
        <v>#REF!</v>
      </c>
      <c r="HQ51" s="82">
        <v>13.750000000000002</v>
      </c>
      <c r="HR51" s="56">
        <f t="shared" si="109"/>
        <v>13</v>
      </c>
      <c r="HS51" s="76"/>
      <c r="HT51" s="75"/>
      <c r="HU51" s="82">
        <v>13.750000000000002</v>
      </c>
      <c r="HV51" s="56">
        <f t="shared" si="110"/>
        <v>13</v>
      </c>
      <c r="HW51" s="76"/>
      <c r="HX51" s="75"/>
      <c r="HY51" s="82">
        <v>13.750000000000002</v>
      </c>
      <c r="HZ51" s="56">
        <f t="shared" si="111"/>
        <v>13</v>
      </c>
      <c r="IA51" s="76"/>
      <c r="IB51" s="75"/>
      <c r="IC51" s="82">
        <v>13.750000000000002</v>
      </c>
      <c r="ID51" s="56">
        <f t="shared" si="112"/>
        <v>13</v>
      </c>
      <c r="IE51" s="76"/>
      <c r="IF51" s="75"/>
      <c r="IG51" s="82">
        <v>13.750000000000002</v>
      </c>
      <c r="IH51" s="56">
        <f t="shared" si="113"/>
        <v>13</v>
      </c>
      <c r="II51" s="77"/>
      <c r="IJ51" s="75"/>
      <c r="IK51" s="82">
        <v>13.750000000000002</v>
      </c>
      <c r="IL51" s="56">
        <f t="shared" si="114"/>
        <v>13</v>
      </c>
      <c r="IM51" s="77"/>
      <c r="IN51" s="62"/>
      <c r="IO51" s="82">
        <v>13.750000000000002</v>
      </c>
      <c r="IP51" s="56">
        <f t="shared" si="115"/>
        <v>13</v>
      </c>
      <c r="IQ51" s="77"/>
      <c r="IR51" s="48"/>
      <c r="IS51" s="82">
        <v>13.750000000000002</v>
      </c>
      <c r="IT51" s="56">
        <f t="shared" si="116"/>
        <v>13</v>
      </c>
      <c r="IU51" s="77"/>
      <c r="IV51" s="48"/>
      <c r="IW51" s="82">
        <v>13.750000000000002</v>
      </c>
      <c r="IX51" s="56">
        <f t="shared" si="117"/>
        <v>13</v>
      </c>
      <c r="IY51" s="77"/>
      <c r="IZ51" s="48"/>
      <c r="JA51" s="82">
        <v>13.750000000000002</v>
      </c>
      <c r="JB51" s="56">
        <f t="shared" si="118"/>
        <v>13</v>
      </c>
      <c r="JC51" s="77"/>
      <c r="JD51" s="48"/>
      <c r="JE51" s="82">
        <v>13.750000000000002</v>
      </c>
      <c r="JF51" s="56">
        <f t="shared" si="119"/>
        <v>13</v>
      </c>
      <c r="JG51" s="80"/>
      <c r="JH51" s="48"/>
      <c r="JI51" s="82">
        <v>13.750000000000002</v>
      </c>
      <c r="JJ51" s="56">
        <f t="shared" si="120"/>
        <v>13</v>
      </c>
      <c r="JK51" s="81"/>
      <c r="JL51" s="48"/>
      <c r="JM51" s="54">
        <f t="shared" si="121"/>
        <v>165.00000000000003</v>
      </c>
      <c r="JN51" s="54">
        <f t="shared" si="122"/>
        <v>45791.063999999998</v>
      </c>
    </row>
    <row r="52" spans="1:274">
      <c r="A52" s="249"/>
      <c r="B52" s="250"/>
      <c r="C52" s="250"/>
      <c r="D52" s="249"/>
      <c r="E52" s="36">
        <v>47</v>
      </c>
      <c r="F52" s="83"/>
      <c r="G52" s="38">
        <v>6402250560</v>
      </c>
      <c r="H52" s="39" t="s">
        <v>144</v>
      </c>
      <c r="I52" s="69">
        <v>2161.6</v>
      </c>
      <c r="J52" s="36"/>
      <c r="K52" s="73"/>
      <c r="L52" s="73"/>
      <c r="M52" s="74"/>
      <c r="N52" s="75"/>
      <c r="O52" s="76"/>
      <c r="P52" s="75"/>
      <c r="Q52" s="74"/>
      <c r="R52" s="75"/>
      <c r="S52" s="76"/>
      <c r="T52" s="75"/>
      <c r="U52" s="74"/>
      <c r="V52" s="75"/>
      <c r="W52" s="76"/>
      <c r="X52" s="75"/>
      <c r="Y52" s="74"/>
      <c r="Z52" s="75"/>
      <c r="AA52" s="76"/>
      <c r="AB52" s="75"/>
      <c r="AC52" s="74"/>
      <c r="AD52" s="75"/>
      <c r="AE52" s="77"/>
      <c r="AF52" s="75"/>
      <c r="AG52" s="74"/>
      <c r="AH52" s="78"/>
      <c r="AI52" s="77"/>
      <c r="AJ52" s="62"/>
      <c r="AK52" s="74"/>
      <c r="AL52" s="42"/>
      <c r="AM52" s="77"/>
      <c r="AN52" s="48"/>
      <c r="AO52" s="74"/>
      <c r="AP52" s="42"/>
      <c r="AQ52" s="43"/>
      <c r="AR52" s="79"/>
      <c r="AS52" s="74"/>
      <c r="AT52" s="75"/>
      <c r="AU52" s="77"/>
      <c r="AV52" s="48"/>
      <c r="AW52" s="74"/>
      <c r="AX52" s="75"/>
      <c r="AY52" s="77"/>
      <c r="AZ52" s="48"/>
      <c r="BA52" s="74"/>
      <c r="BB52" s="75"/>
      <c r="BC52" s="80"/>
      <c r="BD52" s="48"/>
      <c r="BE52" s="74"/>
      <c r="BF52" s="75"/>
      <c r="BG52" s="81"/>
      <c r="BH52" s="48"/>
      <c r="BI52" s="84"/>
      <c r="BJ52" s="54"/>
      <c r="BK52" s="74">
        <v>3</v>
      </c>
      <c r="BL52" s="55">
        <f t="shared" si="79"/>
        <v>3</v>
      </c>
      <c r="BM52" s="56">
        <v>3</v>
      </c>
      <c r="BN52" s="76">
        <v>0</v>
      </c>
      <c r="BO52" s="75"/>
      <c r="BP52" s="74">
        <v>3</v>
      </c>
      <c r="BQ52" s="55">
        <f t="shared" si="80"/>
        <v>3</v>
      </c>
      <c r="BR52" s="56">
        <v>3</v>
      </c>
      <c r="BS52" s="76">
        <v>0</v>
      </c>
      <c r="BT52" s="75"/>
      <c r="BU52" s="74">
        <v>3</v>
      </c>
      <c r="BV52" s="55">
        <f t="shared" si="81"/>
        <v>3</v>
      </c>
      <c r="BW52" s="56">
        <v>3</v>
      </c>
      <c r="BX52" s="76">
        <v>0</v>
      </c>
      <c r="BY52" s="75"/>
      <c r="BZ52" s="74">
        <v>3</v>
      </c>
      <c r="CA52" s="55">
        <f t="shared" si="82"/>
        <v>3</v>
      </c>
      <c r="CB52" s="56">
        <v>3</v>
      </c>
      <c r="CC52" s="76">
        <v>3</v>
      </c>
      <c r="CD52" s="75"/>
      <c r="CE52" s="74">
        <v>3</v>
      </c>
      <c r="CF52" s="55">
        <f t="shared" si="83"/>
        <v>3</v>
      </c>
      <c r="CG52" s="56">
        <v>3</v>
      </c>
      <c r="CH52" s="77">
        <v>0</v>
      </c>
      <c r="CI52" s="75"/>
      <c r="CJ52" s="74">
        <v>3</v>
      </c>
      <c r="CK52" s="55">
        <f t="shared" si="84"/>
        <v>3</v>
      </c>
      <c r="CL52" s="56">
        <v>3</v>
      </c>
      <c r="CM52" s="77">
        <v>2</v>
      </c>
      <c r="CN52" s="62"/>
      <c r="CO52" s="74">
        <v>3</v>
      </c>
      <c r="CP52" s="55">
        <f t="shared" si="85"/>
        <v>3</v>
      </c>
      <c r="CQ52" s="56">
        <v>3</v>
      </c>
      <c r="CR52" s="77"/>
      <c r="CS52" s="48"/>
      <c r="CT52" s="74">
        <v>3</v>
      </c>
      <c r="CU52" s="55">
        <f t="shared" si="86"/>
        <v>3</v>
      </c>
      <c r="CV52" s="56">
        <v>4</v>
      </c>
      <c r="CW52" s="77">
        <v>1</v>
      </c>
      <c r="CX52" s="48"/>
      <c r="CY52" s="74">
        <v>3</v>
      </c>
      <c r="CZ52" s="55">
        <f t="shared" si="87"/>
        <v>3</v>
      </c>
      <c r="DA52" s="56">
        <v>4</v>
      </c>
      <c r="DB52" s="77">
        <v>25</v>
      </c>
      <c r="DC52" s="48"/>
      <c r="DD52" s="74">
        <v>3</v>
      </c>
      <c r="DE52" s="55">
        <f t="shared" si="88"/>
        <v>3</v>
      </c>
      <c r="DF52" s="56">
        <v>4</v>
      </c>
      <c r="DG52" s="77">
        <v>6</v>
      </c>
      <c r="DH52" s="48"/>
      <c r="DI52" s="74">
        <v>3</v>
      </c>
      <c r="DJ52" s="55">
        <f t="shared" si="89"/>
        <v>3</v>
      </c>
      <c r="DK52" s="56">
        <v>4</v>
      </c>
      <c r="DL52" s="80">
        <v>4</v>
      </c>
      <c r="DM52" s="48"/>
      <c r="DN52" s="74">
        <v>3</v>
      </c>
      <c r="DO52" s="55">
        <f t="shared" si="90"/>
        <v>3</v>
      </c>
      <c r="DP52" s="56">
        <v>4</v>
      </c>
      <c r="DQ52" s="81">
        <v>4</v>
      </c>
      <c r="DR52" s="48"/>
      <c r="DS52" s="54">
        <f t="shared" si="91"/>
        <v>36</v>
      </c>
      <c r="DT52" s="54">
        <f t="shared" si="92"/>
        <v>77817.599999999991</v>
      </c>
      <c r="DU52" s="41">
        <v>4</v>
      </c>
      <c r="DV52" s="56">
        <f t="shared" si="68"/>
        <v>4</v>
      </c>
      <c r="DW52" s="76">
        <v>2</v>
      </c>
      <c r="DX52" s="75"/>
      <c r="DY52" s="41">
        <v>4</v>
      </c>
      <c r="DZ52" s="56">
        <v>12</v>
      </c>
      <c r="EA52" s="76">
        <v>10</v>
      </c>
      <c r="EB52" s="75"/>
      <c r="EC52" s="41">
        <v>4</v>
      </c>
      <c r="ED52" s="56">
        <v>5</v>
      </c>
      <c r="EE52" s="76">
        <v>14</v>
      </c>
      <c r="EF52" s="75"/>
      <c r="EG52" s="41">
        <v>4</v>
      </c>
      <c r="EH52" s="56">
        <v>5</v>
      </c>
      <c r="EI52" s="76">
        <v>6</v>
      </c>
      <c r="EJ52" s="75"/>
      <c r="EK52" s="41">
        <v>4</v>
      </c>
      <c r="EL52" s="56">
        <v>10</v>
      </c>
      <c r="EM52" s="77">
        <v>32</v>
      </c>
      <c r="EN52" s="75"/>
      <c r="EO52" s="41">
        <v>4</v>
      </c>
      <c r="EP52" s="56">
        <v>15</v>
      </c>
      <c r="EQ52" s="77"/>
      <c r="ER52" s="62"/>
      <c r="ES52" s="41">
        <v>4</v>
      </c>
      <c r="ET52" s="56">
        <v>15</v>
      </c>
      <c r="EU52" s="77"/>
      <c r="EV52" s="48"/>
      <c r="EW52" s="41">
        <v>4</v>
      </c>
      <c r="EX52" s="56">
        <v>15</v>
      </c>
      <c r="EY52" s="77"/>
      <c r="EZ52" s="48"/>
      <c r="FA52" s="41">
        <v>4</v>
      </c>
      <c r="FB52" s="56">
        <v>20</v>
      </c>
      <c r="FC52" s="77"/>
      <c r="FD52" s="48"/>
      <c r="FE52" s="41">
        <v>4</v>
      </c>
      <c r="FF52" s="56">
        <v>20</v>
      </c>
      <c r="FG52" s="77"/>
      <c r="FH52" s="48"/>
      <c r="FI52" s="41">
        <v>4</v>
      </c>
      <c r="FJ52" s="241">
        <v>20</v>
      </c>
      <c r="FK52" s="80"/>
      <c r="FL52" s="48"/>
      <c r="FM52" s="41">
        <v>4</v>
      </c>
      <c r="FN52" s="241">
        <v>20</v>
      </c>
      <c r="FO52" s="81"/>
      <c r="FP52" s="48"/>
      <c r="FQ52" s="54">
        <f t="shared" si="93"/>
        <v>48</v>
      </c>
      <c r="FR52" s="54">
        <f t="shared" si="94"/>
        <v>103756.79999999999</v>
      </c>
      <c r="FS52" s="58" t="e">
        <v>#REF!</v>
      </c>
      <c r="FT52" s="56" t="e">
        <f t="shared" si="95"/>
        <v>#REF!</v>
      </c>
      <c r="FU52" s="76"/>
      <c r="FV52" s="75"/>
      <c r="FW52" s="58">
        <v>3.2625000000000002</v>
      </c>
      <c r="FX52" s="56">
        <f t="shared" si="96"/>
        <v>3</v>
      </c>
      <c r="FY52" s="76"/>
      <c r="FZ52" s="75"/>
      <c r="GA52" s="82">
        <v>4.125</v>
      </c>
      <c r="GB52" s="56">
        <f t="shared" si="97"/>
        <v>4</v>
      </c>
      <c r="GC52" s="76"/>
      <c r="GD52" s="75"/>
      <c r="GE52" s="82">
        <v>4.125</v>
      </c>
      <c r="GF52" s="56">
        <f t="shared" si="98"/>
        <v>4</v>
      </c>
      <c r="GG52" s="76"/>
      <c r="GH52" s="75"/>
      <c r="GI52" s="82">
        <v>4.125</v>
      </c>
      <c r="GJ52" s="56">
        <f t="shared" si="99"/>
        <v>4</v>
      </c>
      <c r="GK52" s="77"/>
      <c r="GL52" s="75"/>
      <c r="GM52" s="82">
        <v>4.125</v>
      </c>
      <c r="GN52" s="56">
        <f t="shared" si="100"/>
        <v>4</v>
      </c>
      <c r="GO52" s="77"/>
      <c r="GP52" s="62"/>
      <c r="GQ52" s="82">
        <v>4.125</v>
      </c>
      <c r="GR52" s="56">
        <f t="shared" si="101"/>
        <v>4</v>
      </c>
      <c r="GS52" s="77"/>
      <c r="GT52" s="48"/>
      <c r="GU52" s="82">
        <v>4.125</v>
      </c>
      <c r="GV52" s="56">
        <f t="shared" si="102"/>
        <v>4</v>
      </c>
      <c r="GW52" s="77"/>
      <c r="GX52" s="48"/>
      <c r="GY52" s="82">
        <v>4.125</v>
      </c>
      <c r="GZ52" s="56">
        <f t="shared" si="103"/>
        <v>4</v>
      </c>
      <c r="HA52" s="77"/>
      <c r="HB52" s="48"/>
      <c r="HC52" s="82">
        <v>4.125</v>
      </c>
      <c r="HD52" s="56">
        <f t="shared" si="104"/>
        <v>4</v>
      </c>
      <c r="HE52" s="77"/>
      <c r="HF52" s="48"/>
      <c r="HG52" s="82">
        <v>4.125</v>
      </c>
      <c r="HH52" s="56">
        <f t="shared" si="105"/>
        <v>4</v>
      </c>
      <c r="HI52" s="80"/>
      <c r="HJ52" s="48"/>
      <c r="HK52" s="82">
        <v>4.125</v>
      </c>
      <c r="HL52" s="56">
        <f t="shared" si="106"/>
        <v>4</v>
      </c>
      <c r="HM52" s="81"/>
      <c r="HN52" s="48"/>
      <c r="HO52" s="54" t="e">
        <f t="shared" si="107"/>
        <v>#REF!</v>
      </c>
      <c r="HP52" s="54" t="e">
        <f t="shared" si="108"/>
        <v>#REF!</v>
      </c>
      <c r="HQ52" s="82">
        <v>4.125</v>
      </c>
      <c r="HR52" s="56">
        <f t="shared" si="109"/>
        <v>4</v>
      </c>
      <c r="HS52" s="76"/>
      <c r="HT52" s="75"/>
      <c r="HU52" s="82">
        <v>4.125</v>
      </c>
      <c r="HV52" s="56">
        <f t="shared" si="110"/>
        <v>4</v>
      </c>
      <c r="HW52" s="76"/>
      <c r="HX52" s="75"/>
      <c r="HY52" s="82">
        <v>4.125</v>
      </c>
      <c r="HZ52" s="56">
        <f t="shared" si="111"/>
        <v>4</v>
      </c>
      <c r="IA52" s="76"/>
      <c r="IB52" s="75"/>
      <c r="IC52" s="82">
        <v>4.125</v>
      </c>
      <c r="ID52" s="56">
        <f t="shared" si="112"/>
        <v>4</v>
      </c>
      <c r="IE52" s="76"/>
      <c r="IF52" s="75"/>
      <c r="IG52" s="82">
        <v>4.125</v>
      </c>
      <c r="IH52" s="56">
        <f t="shared" si="113"/>
        <v>4</v>
      </c>
      <c r="II52" s="77"/>
      <c r="IJ52" s="75"/>
      <c r="IK52" s="82">
        <v>4.125</v>
      </c>
      <c r="IL52" s="56">
        <f t="shared" si="114"/>
        <v>4</v>
      </c>
      <c r="IM52" s="77"/>
      <c r="IN52" s="62"/>
      <c r="IO52" s="82">
        <v>4.125</v>
      </c>
      <c r="IP52" s="56">
        <f t="shared" si="115"/>
        <v>4</v>
      </c>
      <c r="IQ52" s="77"/>
      <c r="IR52" s="48"/>
      <c r="IS52" s="82">
        <v>4.125</v>
      </c>
      <c r="IT52" s="56">
        <f t="shared" si="116"/>
        <v>4</v>
      </c>
      <c r="IU52" s="77"/>
      <c r="IV52" s="48"/>
      <c r="IW52" s="82">
        <v>4.125</v>
      </c>
      <c r="IX52" s="56">
        <f t="shared" si="117"/>
        <v>4</v>
      </c>
      <c r="IY52" s="77"/>
      <c r="IZ52" s="48"/>
      <c r="JA52" s="82">
        <v>4.125</v>
      </c>
      <c r="JB52" s="56">
        <f t="shared" si="118"/>
        <v>4</v>
      </c>
      <c r="JC52" s="77"/>
      <c r="JD52" s="48"/>
      <c r="JE52" s="82">
        <v>4.125</v>
      </c>
      <c r="JF52" s="56">
        <f t="shared" si="119"/>
        <v>4</v>
      </c>
      <c r="JG52" s="80"/>
      <c r="JH52" s="48"/>
      <c r="JI52" s="82">
        <v>4.125</v>
      </c>
      <c r="JJ52" s="56">
        <f t="shared" si="120"/>
        <v>4</v>
      </c>
      <c r="JK52" s="81"/>
      <c r="JL52" s="48"/>
      <c r="JM52" s="54">
        <f t="shared" si="121"/>
        <v>49.5</v>
      </c>
      <c r="JN52" s="54">
        <f t="shared" si="122"/>
        <v>106999.2</v>
      </c>
    </row>
    <row r="53" spans="1:274">
      <c r="A53" s="249"/>
      <c r="B53" s="250"/>
      <c r="C53" s="250"/>
      <c r="D53" s="249"/>
      <c r="E53" s="36">
        <v>48</v>
      </c>
      <c r="F53" s="83"/>
      <c r="G53" s="38">
        <v>6402250570</v>
      </c>
      <c r="H53" s="39" t="s">
        <v>145</v>
      </c>
      <c r="I53" s="69">
        <v>2161.6</v>
      </c>
      <c r="J53" s="36"/>
      <c r="K53" s="73"/>
      <c r="L53" s="73"/>
      <c r="M53" s="74"/>
      <c r="N53" s="75"/>
      <c r="O53" s="76"/>
      <c r="P53" s="75"/>
      <c r="Q53" s="74"/>
      <c r="R53" s="75"/>
      <c r="S53" s="76"/>
      <c r="T53" s="75"/>
      <c r="U53" s="74"/>
      <c r="V53" s="75"/>
      <c r="W53" s="76"/>
      <c r="X53" s="75"/>
      <c r="Y53" s="74"/>
      <c r="Z53" s="75"/>
      <c r="AA53" s="76"/>
      <c r="AB53" s="75"/>
      <c r="AC53" s="74"/>
      <c r="AD53" s="75"/>
      <c r="AE53" s="77"/>
      <c r="AF53" s="75"/>
      <c r="AG53" s="74"/>
      <c r="AH53" s="78"/>
      <c r="AI53" s="77"/>
      <c r="AJ53" s="62"/>
      <c r="AK53" s="74"/>
      <c r="AL53" s="75"/>
      <c r="AM53" s="77"/>
      <c r="AN53" s="48"/>
      <c r="AO53" s="74"/>
      <c r="AP53" s="42"/>
      <c r="AQ53" s="43"/>
      <c r="AR53" s="79"/>
      <c r="AS53" s="74"/>
      <c r="AT53" s="75"/>
      <c r="AU53" s="77"/>
      <c r="AV53" s="48"/>
      <c r="AW53" s="74"/>
      <c r="AX53" s="75"/>
      <c r="AY53" s="77"/>
      <c r="AZ53" s="48"/>
      <c r="BA53" s="74"/>
      <c r="BB53" s="75"/>
      <c r="BC53" s="80"/>
      <c r="BD53" s="48"/>
      <c r="BE53" s="74"/>
      <c r="BF53" s="75"/>
      <c r="BG53" s="81"/>
      <c r="BH53" s="48"/>
      <c r="BI53" s="84"/>
      <c r="BJ53" s="54"/>
      <c r="BK53" s="74">
        <v>3</v>
      </c>
      <c r="BL53" s="55">
        <f t="shared" si="79"/>
        <v>3</v>
      </c>
      <c r="BM53" s="56">
        <v>3</v>
      </c>
      <c r="BN53" s="76">
        <v>0</v>
      </c>
      <c r="BO53" s="75"/>
      <c r="BP53" s="74">
        <v>3</v>
      </c>
      <c r="BQ53" s="55">
        <f t="shared" si="80"/>
        <v>3</v>
      </c>
      <c r="BR53" s="56">
        <v>3</v>
      </c>
      <c r="BS53" s="76">
        <v>1</v>
      </c>
      <c r="BT53" s="75"/>
      <c r="BU53" s="74">
        <v>3</v>
      </c>
      <c r="BV53" s="55">
        <f t="shared" si="81"/>
        <v>3</v>
      </c>
      <c r="BW53" s="56">
        <v>3</v>
      </c>
      <c r="BX53" s="76">
        <v>0</v>
      </c>
      <c r="BY53" s="75"/>
      <c r="BZ53" s="74">
        <v>3</v>
      </c>
      <c r="CA53" s="55">
        <f t="shared" si="82"/>
        <v>3</v>
      </c>
      <c r="CB53" s="56">
        <v>3</v>
      </c>
      <c r="CC53" s="76">
        <v>2</v>
      </c>
      <c r="CD53" s="75"/>
      <c r="CE53" s="74">
        <v>3</v>
      </c>
      <c r="CF53" s="55">
        <f t="shared" si="83"/>
        <v>3</v>
      </c>
      <c r="CG53" s="56">
        <v>3</v>
      </c>
      <c r="CH53" s="77">
        <v>0</v>
      </c>
      <c r="CI53" s="75"/>
      <c r="CJ53" s="74">
        <v>3</v>
      </c>
      <c r="CK53" s="55">
        <f t="shared" si="84"/>
        <v>3</v>
      </c>
      <c r="CL53" s="56">
        <v>3</v>
      </c>
      <c r="CM53" s="77"/>
      <c r="CN53" s="62"/>
      <c r="CO53" s="74">
        <v>3</v>
      </c>
      <c r="CP53" s="55">
        <f t="shared" si="85"/>
        <v>3</v>
      </c>
      <c r="CQ53" s="56">
        <v>3</v>
      </c>
      <c r="CR53" s="77"/>
      <c r="CS53" s="48"/>
      <c r="CT53" s="74">
        <v>3</v>
      </c>
      <c r="CU53" s="55">
        <f t="shared" si="86"/>
        <v>3</v>
      </c>
      <c r="CV53" s="56">
        <v>4</v>
      </c>
      <c r="CW53" s="77">
        <v>2</v>
      </c>
      <c r="CX53" s="48"/>
      <c r="CY53" s="74">
        <v>3</v>
      </c>
      <c r="CZ53" s="55">
        <f t="shared" si="87"/>
        <v>3</v>
      </c>
      <c r="DA53" s="56">
        <v>4</v>
      </c>
      <c r="DB53" s="77">
        <v>25</v>
      </c>
      <c r="DC53" s="48"/>
      <c r="DD53" s="74">
        <v>3</v>
      </c>
      <c r="DE53" s="55">
        <f t="shared" si="88"/>
        <v>3</v>
      </c>
      <c r="DF53" s="56">
        <v>4</v>
      </c>
      <c r="DG53" s="77">
        <v>6</v>
      </c>
      <c r="DH53" s="48"/>
      <c r="DI53" s="74">
        <v>3</v>
      </c>
      <c r="DJ53" s="55">
        <f t="shared" si="89"/>
        <v>3</v>
      </c>
      <c r="DK53" s="56">
        <v>4</v>
      </c>
      <c r="DL53" s="80"/>
      <c r="DM53" s="48"/>
      <c r="DN53" s="74">
        <v>3</v>
      </c>
      <c r="DO53" s="55">
        <f t="shared" si="90"/>
        <v>3</v>
      </c>
      <c r="DP53" s="56">
        <v>4</v>
      </c>
      <c r="DQ53" s="81">
        <v>2</v>
      </c>
      <c r="DR53" s="48"/>
      <c r="DS53" s="54">
        <f t="shared" si="91"/>
        <v>36</v>
      </c>
      <c r="DT53" s="54">
        <f t="shared" si="92"/>
        <v>77817.599999999991</v>
      </c>
      <c r="DU53" s="41">
        <v>3</v>
      </c>
      <c r="DV53" s="56">
        <v>4</v>
      </c>
      <c r="DW53" s="76">
        <v>6</v>
      </c>
      <c r="DX53" s="75"/>
      <c r="DY53" s="41">
        <v>3</v>
      </c>
      <c r="DZ53" s="56">
        <v>4</v>
      </c>
      <c r="EA53" s="76">
        <v>14</v>
      </c>
      <c r="EB53" s="75"/>
      <c r="EC53" s="41">
        <v>3</v>
      </c>
      <c r="ED53" s="56">
        <v>5</v>
      </c>
      <c r="EE53" s="76">
        <v>2</v>
      </c>
      <c r="EF53" s="75"/>
      <c r="EG53" s="41">
        <v>3</v>
      </c>
      <c r="EH53" s="56">
        <v>5</v>
      </c>
      <c r="EI53" s="76">
        <v>24</v>
      </c>
      <c r="EJ53" s="75"/>
      <c r="EK53" s="41">
        <v>3</v>
      </c>
      <c r="EL53" s="56">
        <v>10</v>
      </c>
      <c r="EM53" s="77">
        <v>16</v>
      </c>
      <c r="EN53" s="75"/>
      <c r="EO53" s="41">
        <v>3</v>
      </c>
      <c r="EP53" s="56">
        <v>15</v>
      </c>
      <c r="EQ53" s="77"/>
      <c r="ER53" s="62"/>
      <c r="ES53" s="41">
        <v>3</v>
      </c>
      <c r="ET53" s="56">
        <v>15</v>
      </c>
      <c r="EU53" s="77"/>
      <c r="EV53" s="48"/>
      <c r="EW53" s="41">
        <v>3</v>
      </c>
      <c r="EX53" s="56">
        <v>15</v>
      </c>
      <c r="EY53" s="77"/>
      <c r="EZ53" s="48"/>
      <c r="FA53" s="41">
        <v>3</v>
      </c>
      <c r="FB53" s="56">
        <v>20</v>
      </c>
      <c r="FC53" s="77"/>
      <c r="FD53" s="48"/>
      <c r="FE53" s="41">
        <v>3</v>
      </c>
      <c r="FF53" s="56">
        <v>20</v>
      </c>
      <c r="FG53" s="77"/>
      <c r="FH53" s="48"/>
      <c r="FI53" s="41">
        <v>3</v>
      </c>
      <c r="FJ53" s="241">
        <v>20</v>
      </c>
      <c r="FK53" s="80"/>
      <c r="FL53" s="48"/>
      <c r="FM53" s="41">
        <v>3</v>
      </c>
      <c r="FN53" s="241">
        <v>20</v>
      </c>
      <c r="FO53" s="81"/>
      <c r="FP53" s="48"/>
      <c r="FQ53" s="54">
        <f t="shared" si="93"/>
        <v>36</v>
      </c>
      <c r="FR53" s="54">
        <f t="shared" si="94"/>
        <v>77817.599999999991</v>
      </c>
      <c r="FS53" s="58" t="e">
        <v>#REF!</v>
      </c>
      <c r="FT53" s="56" t="e">
        <f t="shared" si="95"/>
        <v>#REF!</v>
      </c>
      <c r="FU53" s="76"/>
      <c r="FV53" s="75"/>
      <c r="FW53" s="58">
        <v>3.2625000000000002</v>
      </c>
      <c r="FX53" s="56">
        <f t="shared" si="96"/>
        <v>3</v>
      </c>
      <c r="FY53" s="76"/>
      <c r="FZ53" s="75"/>
      <c r="GA53" s="82">
        <v>4.125</v>
      </c>
      <c r="GB53" s="56">
        <f t="shared" si="97"/>
        <v>4</v>
      </c>
      <c r="GC53" s="76"/>
      <c r="GD53" s="75"/>
      <c r="GE53" s="82">
        <v>4.125</v>
      </c>
      <c r="GF53" s="56">
        <f t="shared" si="98"/>
        <v>4</v>
      </c>
      <c r="GG53" s="76"/>
      <c r="GH53" s="75"/>
      <c r="GI53" s="82">
        <v>4.125</v>
      </c>
      <c r="GJ53" s="56">
        <f t="shared" si="99"/>
        <v>4</v>
      </c>
      <c r="GK53" s="77"/>
      <c r="GL53" s="75"/>
      <c r="GM53" s="82">
        <v>4.125</v>
      </c>
      <c r="GN53" s="56">
        <f t="shared" si="100"/>
        <v>4</v>
      </c>
      <c r="GO53" s="77"/>
      <c r="GP53" s="62"/>
      <c r="GQ53" s="82">
        <v>4.125</v>
      </c>
      <c r="GR53" s="56">
        <f t="shared" si="101"/>
        <v>4</v>
      </c>
      <c r="GS53" s="77"/>
      <c r="GT53" s="48"/>
      <c r="GU53" s="82">
        <v>4.125</v>
      </c>
      <c r="GV53" s="56">
        <f t="shared" si="102"/>
        <v>4</v>
      </c>
      <c r="GW53" s="77"/>
      <c r="GX53" s="48"/>
      <c r="GY53" s="82">
        <v>4.125</v>
      </c>
      <c r="GZ53" s="56">
        <f t="shared" si="103"/>
        <v>4</v>
      </c>
      <c r="HA53" s="77"/>
      <c r="HB53" s="48"/>
      <c r="HC53" s="82">
        <v>4.125</v>
      </c>
      <c r="HD53" s="56">
        <f t="shared" si="104"/>
        <v>4</v>
      </c>
      <c r="HE53" s="77"/>
      <c r="HF53" s="48"/>
      <c r="HG53" s="82">
        <v>4.125</v>
      </c>
      <c r="HH53" s="56">
        <f t="shared" si="105"/>
        <v>4</v>
      </c>
      <c r="HI53" s="80"/>
      <c r="HJ53" s="48"/>
      <c r="HK53" s="82">
        <v>4.125</v>
      </c>
      <c r="HL53" s="56">
        <f t="shared" si="106"/>
        <v>4</v>
      </c>
      <c r="HM53" s="81"/>
      <c r="HN53" s="48"/>
      <c r="HO53" s="54" t="e">
        <f t="shared" si="107"/>
        <v>#REF!</v>
      </c>
      <c r="HP53" s="54" t="e">
        <f t="shared" si="108"/>
        <v>#REF!</v>
      </c>
      <c r="HQ53" s="82">
        <v>4.125</v>
      </c>
      <c r="HR53" s="56">
        <f t="shared" si="109"/>
        <v>4</v>
      </c>
      <c r="HS53" s="76"/>
      <c r="HT53" s="75"/>
      <c r="HU53" s="82">
        <v>4.125</v>
      </c>
      <c r="HV53" s="56">
        <f t="shared" si="110"/>
        <v>4</v>
      </c>
      <c r="HW53" s="76"/>
      <c r="HX53" s="75"/>
      <c r="HY53" s="82">
        <v>4.125</v>
      </c>
      <c r="HZ53" s="56">
        <f t="shared" si="111"/>
        <v>4</v>
      </c>
      <c r="IA53" s="76"/>
      <c r="IB53" s="75"/>
      <c r="IC53" s="82">
        <v>4.125</v>
      </c>
      <c r="ID53" s="56">
        <f t="shared" si="112"/>
        <v>4</v>
      </c>
      <c r="IE53" s="76"/>
      <c r="IF53" s="75"/>
      <c r="IG53" s="82">
        <v>4.125</v>
      </c>
      <c r="IH53" s="56">
        <f t="shared" si="113"/>
        <v>4</v>
      </c>
      <c r="II53" s="77"/>
      <c r="IJ53" s="75"/>
      <c r="IK53" s="82">
        <v>4.125</v>
      </c>
      <c r="IL53" s="56">
        <f t="shared" si="114"/>
        <v>4</v>
      </c>
      <c r="IM53" s="77"/>
      <c r="IN53" s="62"/>
      <c r="IO53" s="82">
        <v>4.125</v>
      </c>
      <c r="IP53" s="56">
        <f t="shared" si="115"/>
        <v>4</v>
      </c>
      <c r="IQ53" s="77"/>
      <c r="IR53" s="48"/>
      <c r="IS53" s="82">
        <v>4.125</v>
      </c>
      <c r="IT53" s="56">
        <f t="shared" si="116"/>
        <v>4</v>
      </c>
      <c r="IU53" s="77"/>
      <c r="IV53" s="48"/>
      <c r="IW53" s="82">
        <v>4.125</v>
      </c>
      <c r="IX53" s="56">
        <f t="shared" si="117"/>
        <v>4</v>
      </c>
      <c r="IY53" s="77"/>
      <c r="IZ53" s="48"/>
      <c r="JA53" s="82">
        <v>4.125</v>
      </c>
      <c r="JB53" s="56">
        <f t="shared" si="118"/>
        <v>4</v>
      </c>
      <c r="JC53" s="77"/>
      <c r="JD53" s="48"/>
      <c r="JE53" s="82">
        <v>4.125</v>
      </c>
      <c r="JF53" s="56">
        <f t="shared" si="119"/>
        <v>4</v>
      </c>
      <c r="JG53" s="80"/>
      <c r="JH53" s="48"/>
      <c r="JI53" s="82">
        <v>4.125</v>
      </c>
      <c r="JJ53" s="56">
        <f t="shared" si="120"/>
        <v>4</v>
      </c>
      <c r="JK53" s="81"/>
      <c r="JL53" s="48"/>
      <c r="JM53" s="54">
        <f t="shared" si="121"/>
        <v>49.5</v>
      </c>
      <c r="JN53" s="54">
        <f t="shared" si="122"/>
        <v>106999.2</v>
      </c>
    </row>
    <row r="54" spans="1:274" ht="36">
      <c r="A54" s="249"/>
      <c r="B54" s="250"/>
      <c r="C54" s="250"/>
      <c r="D54" s="249"/>
      <c r="E54" s="36">
        <v>49</v>
      </c>
      <c r="F54" s="83"/>
      <c r="G54" s="38">
        <v>4410329050</v>
      </c>
      <c r="H54" s="86" t="s">
        <v>87</v>
      </c>
      <c r="I54" s="69">
        <v>54.18</v>
      </c>
      <c r="J54" s="36"/>
      <c r="K54" s="73"/>
      <c r="L54" s="73"/>
      <c r="M54" s="74"/>
      <c r="N54" s="75"/>
      <c r="O54" s="76"/>
      <c r="P54" s="75"/>
      <c r="Q54" s="74"/>
      <c r="R54" s="75"/>
      <c r="S54" s="76"/>
      <c r="T54" s="75"/>
      <c r="U54" s="74"/>
      <c r="V54" s="75"/>
      <c r="W54" s="76"/>
      <c r="X54" s="75"/>
      <c r="Y54" s="74"/>
      <c r="Z54" s="75"/>
      <c r="AA54" s="76"/>
      <c r="AB54" s="75"/>
      <c r="AC54" s="74"/>
      <c r="AD54" s="75"/>
      <c r="AE54" s="77"/>
      <c r="AF54" s="75"/>
      <c r="AG54" s="74"/>
      <c r="AH54" s="78"/>
      <c r="AI54" s="77"/>
      <c r="AJ54" s="62"/>
      <c r="AK54" s="74"/>
      <c r="AL54" s="42"/>
      <c r="AM54" s="77"/>
      <c r="AN54" s="48"/>
      <c r="AO54" s="74"/>
      <c r="AP54" s="42"/>
      <c r="AQ54" s="43"/>
      <c r="AR54" s="79"/>
      <c r="AS54" s="74"/>
      <c r="AT54" s="75"/>
      <c r="AU54" s="77"/>
      <c r="AV54" s="48"/>
      <c r="AW54" s="74"/>
      <c r="AX54" s="75"/>
      <c r="AY54" s="77"/>
      <c r="AZ54" s="48"/>
      <c r="BA54" s="74"/>
      <c r="BB54" s="75"/>
      <c r="BC54" s="80"/>
      <c r="BD54" s="48"/>
      <c r="BE54" s="74"/>
      <c r="BF54" s="75"/>
      <c r="BG54" s="81"/>
      <c r="BH54" s="48"/>
      <c r="BI54" s="84"/>
      <c r="BJ54" s="54"/>
      <c r="BK54" s="74">
        <v>100</v>
      </c>
      <c r="BL54" s="55">
        <f t="shared" si="79"/>
        <v>90</v>
      </c>
      <c r="BM54" s="56">
        <v>100</v>
      </c>
      <c r="BN54" s="76">
        <v>0</v>
      </c>
      <c r="BO54" s="75"/>
      <c r="BP54" s="74">
        <v>100</v>
      </c>
      <c r="BQ54" s="55">
        <f t="shared" si="80"/>
        <v>90</v>
      </c>
      <c r="BR54" s="56">
        <v>100</v>
      </c>
      <c r="BS54" s="76">
        <v>0</v>
      </c>
      <c r="BT54" s="75"/>
      <c r="BU54" s="74">
        <v>100</v>
      </c>
      <c r="BV54" s="55">
        <f t="shared" si="81"/>
        <v>90</v>
      </c>
      <c r="BW54" s="56">
        <v>100</v>
      </c>
      <c r="BX54" s="76">
        <v>0</v>
      </c>
      <c r="BY54" s="75"/>
      <c r="BZ54" s="74">
        <v>100</v>
      </c>
      <c r="CA54" s="55">
        <f t="shared" si="82"/>
        <v>90</v>
      </c>
      <c r="CB54" s="56">
        <v>50</v>
      </c>
      <c r="CC54" s="76">
        <v>0</v>
      </c>
      <c r="CD54" s="75"/>
      <c r="CE54" s="74">
        <v>100</v>
      </c>
      <c r="CF54" s="55">
        <f t="shared" si="83"/>
        <v>90</v>
      </c>
      <c r="CG54" s="56">
        <v>50</v>
      </c>
      <c r="CH54" s="77">
        <v>0</v>
      </c>
      <c r="CI54" s="75"/>
      <c r="CJ54" s="74">
        <v>100</v>
      </c>
      <c r="CK54" s="55">
        <f t="shared" si="84"/>
        <v>90</v>
      </c>
      <c r="CL54" s="56">
        <v>50</v>
      </c>
      <c r="CM54" s="77">
        <v>6</v>
      </c>
      <c r="CN54" s="62"/>
      <c r="CO54" s="74">
        <v>100</v>
      </c>
      <c r="CP54" s="55">
        <f t="shared" si="85"/>
        <v>90</v>
      </c>
      <c r="CQ54" s="56">
        <v>50</v>
      </c>
      <c r="CR54" s="77">
        <v>10</v>
      </c>
      <c r="CS54" s="48"/>
      <c r="CT54" s="74">
        <v>100</v>
      </c>
      <c r="CU54" s="55">
        <f t="shared" si="86"/>
        <v>90</v>
      </c>
      <c r="CV54" s="56">
        <v>50</v>
      </c>
      <c r="CW54" s="77"/>
      <c r="CX54" s="48"/>
      <c r="CY54" s="74">
        <v>100</v>
      </c>
      <c r="CZ54" s="55">
        <f t="shared" si="87"/>
        <v>90</v>
      </c>
      <c r="DA54" s="56">
        <v>50</v>
      </c>
      <c r="DB54" s="77">
        <v>20</v>
      </c>
      <c r="DC54" s="48"/>
      <c r="DD54" s="74">
        <v>100</v>
      </c>
      <c r="DE54" s="55">
        <f t="shared" si="88"/>
        <v>90</v>
      </c>
      <c r="DF54" s="56">
        <v>50</v>
      </c>
      <c r="DG54" s="77">
        <v>10</v>
      </c>
      <c r="DH54" s="48"/>
      <c r="DI54" s="74">
        <v>100</v>
      </c>
      <c r="DJ54" s="55">
        <f t="shared" si="89"/>
        <v>90</v>
      </c>
      <c r="DK54" s="56">
        <v>50</v>
      </c>
      <c r="DL54" s="80"/>
      <c r="DM54" s="48"/>
      <c r="DN54" s="74">
        <v>100</v>
      </c>
      <c r="DO54" s="55">
        <f t="shared" si="90"/>
        <v>90</v>
      </c>
      <c r="DP54" s="56">
        <v>50</v>
      </c>
      <c r="DQ54" s="81"/>
      <c r="DR54" s="48"/>
      <c r="DS54" s="54">
        <f t="shared" si="91"/>
        <v>1200</v>
      </c>
      <c r="DT54" s="54">
        <f t="shared" si="92"/>
        <v>65016</v>
      </c>
      <c r="DU54" s="41">
        <v>4</v>
      </c>
      <c r="DV54" s="56">
        <f>ROUNDDOWN(DU54,0)</f>
        <v>4</v>
      </c>
      <c r="DW54" s="76">
        <v>10</v>
      </c>
      <c r="DX54" s="75"/>
      <c r="DY54" s="41">
        <v>4</v>
      </c>
      <c r="DZ54" s="56">
        <f>ROUNDDOWN(DY54,0)</f>
        <v>4</v>
      </c>
      <c r="EA54" s="76">
        <v>2</v>
      </c>
      <c r="EB54" s="75"/>
      <c r="EC54" s="41">
        <v>4</v>
      </c>
      <c r="ED54" s="56">
        <f>ROUNDDOWN(EC54,0)</f>
        <v>4</v>
      </c>
      <c r="EE54" s="76">
        <v>10</v>
      </c>
      <c r="EF54" s="75"/>
      <c r="EG54" s="41">
        <v>4</v>
      </c>
      <c r="EH54" s="56">
        <f>ROUNDDOWN(EG54,0)</f>
        <v>4</v>
      </c>
      <c r="EI54" s="76">
        <v>30</v>
      </c>
      <c r="EJ54" s="75"/>
      <c r="EK54" s="41">
        <v>4</v>
      </c>
      <c r="EL54" s="56">
        <f>ROUNDDOWN(EK54,0)</f>
        <v>4</v>
      </c>
      <c r="EM54" s="77">
        <v>25</v>
      </c>
      <c r="EN54" s="75"/>
      <c r="EO54" s="41">
        <v>4</v>
      </c>
      <c r="EP54" s="56">
        <f>ROUNDDOWN(EO54,0)</f>
        <v>4</v>
      </c>
      <c r="EQ54" s="77"/>
      <c r="ER54" s="62"/>
      <c r="ES54" s="41">
        <v>4</v>
      </c>
      <c r="ET54" s="56">
        <f>ROUNDDOWN(ES54,0)</f>
        <v>4</v>
      </c>
      <c r="EU54" s="77"/>
      <c r="EV54" s="48"/>
      <c r="EW54" s="41">
        <v>4</v>
      </c>
      <c r="EX54" s="56">
        <f>ROUNDDOWN(EW54,0)</f>
        <v>4</v>
      </c>
      <c r="EY54" s="77"/>
      <c r="EZ54" s="48"/>
      <c r="FA54" s="41">
        <v>4</v>
      </c>
      <c r="FB54" s="56">
        <f>ROUNDDOWN(FA54,0)</f>
        <v>4</v>
      </c>
      <c r="FC54" s="77"/>
      <c r="FD54" s="48"/>
      <c r="FE54" s="41">
        <v>4</v>
      </c>
      <c r="FF54" s="56">
        <f>ROUNDDOWN(FE54,0)</f>
        <v>4</v>
      </c>
      <c r="FG54" s="77"/>
      <c r="FH54" s="48"/>
      <c r="FI54" s="41">
        <v>4</v>
      </c>
      <c r="FJ54" s="241">
        <f>ROUNDDOWN(FI54,0)</f>
        <v>4</v>
      </c>
      <c r="FK54" s="80"/>
      <c r="FL54" s="48"/>
      <c r="FM54" s="41">
        <v>4</v>
      </c>
      <c r="FN54" s="241">
        <f>ROUNDDOWN(FM54,0)</f>
        <v>4</v>
      </c>
      <c r="FO54" s="81"/>
      <c r="FP54" s="48"/>
      <c r="FQ54" s="54">
        <f t="shared" si="93"/>
        <v>48</v>
      </c>
      <c r="FR54" s="54">
        <f t="shared" si="94"/>
        <v>2600.64</v>
      </c>
      <c r="FS54" s="58" t="e">
        <v>#REF!</v>
      </c>
      <c r="FT54" s="56" t="e">
        <f t="shared" si="95"/>
        <v>#REF!</v>
      </c>
      <c r="FU54" s="76"/>
      <c r="FV54" s="75"/>
      <c r="FW54" s="58">
        <v>108.75</v>
      </c>
      <c r="FX54" s="56">
        <f t="shared" si="96"/>
        <v>108</v>
      </c>
      <c r="FY54" s="76"/>
      <c r="FZ54" s="75"/>
      <c r="GA54" s="82">
        <v>137.5</v>
      </c>
      <c r="GB54" s="56">
        <f t="shared" si="97"/>
        <v>137</v>
      </c>
      <c r="GC54" s="76"/>
      <c r="GD54" s="75"/>
      <c r="GE54" s="82">
        <v>137.5</v>
      </c>
      <c r="GF54" s="56">
        <f t="shared" si="98"/>
        <v>137</v>
      </c>
      <c r="GG54" s="76"/>
      <c r="GH54" s="75"/>
      <c r="GI54" s="82">
        <v>137.5</v>
      </c>
      <c r="GJ54" s="56">
        <f t="shared" si="99"/>
        <v>137</v>
      </c>
      <c r="GK54" s="77"/>
      <c r="GL54" s="75"/>
      <c r="GM54" s="82">
        <v>137.5</v>
      </c>
      <c r="GN54" s="56">
        <f t="shared" si="100"/>
        <v>137</v>
      </c>
      <c r="GO54" s="77"/>
      <c r="GP54" s="62"/>
      <c r="GQ54" s="82">
        <v>137.5</v>
      </c>
      <c r="GR54" s="56">
        <f t="shared" si="101"/>
        <v>137</v>
      </c>
      <c r="GS54" s="77"/>
      <c r="GT54" s="48"/>
      <c r="GU54" s="82">
        <v>137.5</v>
      </c>
      <c r="GV54" s="56">
        <f t="shared" si="102"/>
        <v>137</v>
      </c>
      <c r="GW54" s="77"/>
      <c r="GX54" s="48"/>
      <c r="GY54" s="82">
        <v>137.5</v>
      </c>
      <c r="GZ54" s="56">
        <f t="shared" si="103"/>
        <v>137</v>
      </c>
      <c r="HA54" s="77"/>
      <c r="HB54" s="48"/>
      <c r="HC54" s="82">
        <v>137.5</v>
      </c>
      <c r="HD54" s="56">
        <f t="shared" si="104"/>
        <v>137</v>
      </c>
      <c r="HE54" s="77"/>
      <c r="HF54" s="48"/>
      <c r="HG54" s="82">
        <v>137.5</v>
      </c>
      <c r="HH54" s="56">
        <f t="shared" si="105"/>
        <v>137</v>
      </c>
      <c r="HI54" s="80"/>
      <c r="HJ54" s="48"/>
      <c r="HK54" s="82">
        <v>137.5</v>
      </c>
      <c r="HL54" s="56">
        <f t="shared" si="106"/>
        <v>137</v>
      </c>
      <c r="HM54" s="81"/>
      <c r="HN54" s="48"/>
      <c r="HO54" s="54" t="e">
        <f t="shared" si="107"/>
        <v>#REF!</v>
      </c>
      <c r="HP54" s="54" t="e">
        <f t="shared" si="108"/>
        <v>#REF!</v>
      </c>
      <c r="HQ54" s="82">
        <v>137.5</v>
      </c>
      <c r="HR54" s="56">
        <f t="shared" si="109"/>
        <v>137</v>
      </c>
      <c r="HS54" s="76"/>
      <c r="HT54" s="75"/>
      <c r="HU54" s="82">
        <v>137.5</v>
      </c>
      <c r="HV54" s="56">
        <f t="shared" si="110"/>
        <v>137</v>
      </c>
      <c r="HW54" s="76"/>
      <c r="HX54" s="75"/>
      <c r="HY54" s="82">
        <v>137.5</v>
      </c>
      <c r="HZ54" s="56">
        <f t="shared" si="111"/>
        <v>137</v>
      </c>
      <c r="IA54" s="76"/>
      <c r="IB54" s="75"/>
      <c r="IC54" s="82">
        <v>137.5</v>
      </c>
      <c r="ID54" s="56">
        <f t="shared" si="112"/>
        <v>137</v>
      </c>
      <c r="IE54" s="76"/>
      <c r="IF54" s="75"/>
      <c r="IG54" s="82">
        <v>137.5</v>
      </c>
      <c r="IH54" s="56">
        <f t="shared" si="113"/>
        <v>137</v>
      </c>
      <c r="II54" s="77"/>
      <c r="IJ54" s="75"/>
      <c r="IK54" s="82">
        <v>137.5</v>
      </c>
      <c r="IL54" s="56">
        <f t="shared" si="114"/>
        <v>137</v>
      </c>
      <c r="IM54" s="77"/>
      <c r="IN54" s="62"/>
      <c r="IO54" s="82">
        <v>137.5</v>
      </c>
      <c r="IP54" s="56">
        <f t="shared" si="115"/>
        <v>137</v>
      </c>
      <c r="IQ54" s="77"/>
      <c r="IR54" s="48"/>
      <c r="IS54" s="82">
        <v>137.5</v>
      </c>
      <c r="IT54" s="56">
        <f t="shared" si="116"/>
        <v>137</v>
      </c>
      <c r="IU54" s="77"/>
      <c r="IV54" s="48"/>
      <c r="IW54" s="82">
        <v>137.5</v>
      </c>
      <c r="IX54" s="56">
        <f t="shared" si="117"/>
        <v>137</v>
      </c>
      <c r="IY54" s="77"/>
      <c r="IZ54" s="48"/>
      <c r="JA54" s="82">
        <v>137.5</v>
      </c>
      <c r="JB54" s="56">
        <f t="shared" si="118"/>
        <v>137</v>
      </c>
      <c r="JC54" s="77"/>
      <c r="JD54" s="48"/>
      <c r="JE54" s="82">
        <v>137.5</v>
      </c>
      <c r="JF54" s="56">
        <f t="shared" si="119"/>
        <v>137</v>
      </c>
      <c r="JG54" s="80"/>
      <c r="JH54" s="48"/>
      <c r="JI54" s="82">
        <v>137.5</v>
      </c>
      <c r="JJ54" s="56">
        <f t="shared" si="120"/>
        <v>137</v>
      </c>
      <c r="JK54" s="81"/>
      <c r="JL54" s="48"/>
      <c r="JM54" s="54">
        <f t="shared" si="121"/>
        <v>1650</v>
      </c>
      <c r="JN54" s="54">
        <f t="shared" si="122"/>
        <v>89397</v>
      </c>
    </row>
    <row r="55" spans="1:274" ht="36">
      <c r="A55" s="249"/>
      <c r="B55" s="250"/>
      <c r="C55" s="250"/>
      <c r="D55" s="249"/>
      <c r="E55" s="36">
        <v>50</v>
      </c>
      <c r="F55" s="83"/>
      <c r="G55" s="38">
        <v>6402259222</v>
      </c>
      <c r="H55" s="86" t="s">
        <v>88</v>
      </c>
      <c r="I55" s="67">
        <v>398</v>
      </c>
      <c r="J55" s="36"/>
      <c r="K55" s="73">
        <v>4487</v>
      </c>
      <c r="L55" s="73" t="s">
        <v>44</v>
      </c>
      <c r="M55" s="74"/>
      <c r="N55" s="75"/>
      <c r="O55" s="76"/>
      <c r="P55" s="75"/>
      <c r="Q55" s="74"/>
      <c r="R55" s="75"/>
      <c r="S55" s="76"/>
      <c r="T55" s="75"/>
      <c r="U55" s="74"/>
      <c r="V55" s="75"/>
      <c r="W55" s="76"/>
      <c r="X55" s="75"/>
      <c r="Y55" s="74"/>
      <c r="Z55" s="75"/>
      <c r="AA55" s="76"/>
      <c r="AB55" s="75"/>
      <c r="AC55" s="74"/>
      <c r="AD55" s="75"/>
      <c r="AE55" s="77"/>
      <c r="AF55" s="75"/>
      <c r="AG55" s="74"/>
      <c r="AH55" s="78"/>
      <c r="AI55" s="77"/>
      <c r="AJ55" s="62"/>
      <c r="AK55" s="74"/>
      <c r="AL55" s="75"/>
      <c r="AM55" s="77"/>
      <c r="AN55" s="48"/>
      <c r="AO55" s="74"/>
      <c r="AP55" s="42"/>
      <c r="AQ55" s="43"/>
      <c r="AR55" s="79"/>
      <c r="AS55" s="74"/>
      <c r="AT55" s="75"/>
      <c r="AU55" s="77"/>
      <c r="AV55" s="48"/>
      <c r="AW55" s="74"/>
      <c r="AX55" s="75"/>
      <c r="AY55" s="77"/>
      <c r="AZ55" s="48"/>
      <c r="BA55" s="74"/>
      <c r="BB55" s="75"/>
      <c r="BC55" s="80"/>
      <c r="BD55" s="48"/>
      <c r="BE55" s="74"/>
      <c r="BF55" s="75"/>
      <c r="BG55" s="81"/>
      <c r="BH55" s="48"/>
      <c r="BI55" s="84"/>
      <c r="BJ55" s="54"/>
      <c r="BK55" s="74">
        <v>20</v>
      </c>
      <c r="BL55" s="55">
        <f t="shared" si="79"/>
        <v>18</v>
      </c>
      <c r="BM55" s="56">
        <v>20</v>
      </c>
      <c r="BN55" s="76">
        <v>0</v>
      </c>
      <c r="BO55" s="75"/>
      <c r="BP55" s="74">
        <v>20</v>
      </c>
      <c r="BQ55" s="55">
        <f t="shared" si="80"/>
        <v>18</v>
      </c>
      <c r="BR55" s="56">
        <v>20</v>
      </c>
      <c r="BS55" s="76">
        <v>21</v>
      </c>
      <c r="BT55" s="75"/>
      <c r="BU55" s="74">
        <v>20</v>
      </c>
      <c r="BV55" s="55">
        <f t="shared" si="81"/>
        <v>18</v>
      </c>
      <c r="BW55" s="56">
        <v>20</v>
      </c>
      <c r="BX55" s="76">
        <v>0</v>
      </c>
      <c r="BY55" s="75"/>
      <c r="BZ55" s="74">
        <v>20</v>
      </c>
      <c r="CA55" s="55">
        <f t="shared" si="82"/>
        <v>18</v>
      </c>
      <c r="CB55" s="56">
        <v>20</v>
      </c>
      <c r="CC55" s="76">
        <v>7</v>
      </c>
      <c r="CD55" s="75"/>
      <c r="CE55" s="74">
        <v>20</v>
      </c>
      <c r="CF55" s="55">
        <f t="shared" si="83"/>
        <v>18</v>
      </c>
      <c r="CG55" s="56">
        <v>20</v>
      </c>
      <c r="CH55" s="77">
        <v>19</v>
      </c>
      <c r="CI55" s="75"/>
      <c r="CJ55" s="74">
        <v>20</v>
      </c>
      <c r="CK55" s="55">
        <f t="shared" si="84"/>
        <v>18</v>
      </c>
      <c r="CL55" s="56">
        <v>20</v>
      </c>
      <c r="CM55" s="77">
        <v>21</v>
      </c>
      <c r="CN55" s="62"/>
      <c r="CO55" s="74">
        <v>20</v>
      </c>
      <c r="CP55" s="55">
        <f t="shared" si="85"/>
        <v>18</v>
      </c>
      <c r="CQ55" s="56">
        <v>20</v>
      </c>
      <c r="CR55" s="77">
        <v>9</v>
      </c>
      <c r="CS55" s="48"/>
      <c r="CT55" s="74">
        <v>20</v>
      </c>
      <c r="CU55" s="55">
        <f t="shared" si="86"/>
        <v>18</v>
      </c>
      <c r="CV55" s="56">
        <v>20</v>
      </c>
      <c r="CW55" s="77">
        <v>28</v>
      </c>
      <c r="CX55" s="48"/>
      <c r="CY55" s="74">
        <v>20</v>
      </c>
      <c r="CZ55" s="55">
        <f t="shared" si="87"/>
        <v>18</v>
      </c>
      <c r="DA55" s="56">
        <v>20</v>
      </c>
      <c r="DB55" s="77">
        <v>30</v>
      </c>
      <c r="DC55" s="48"/>
      <c r="DD55" s="74">
        <v>20</v>
      </c>
      <c r="DE55" s="55">
        <f t="shared" si="88"/>
        <v>18</v>
      </c>
      <c r="DF55" s="56">
        <v>20</v>
      </c>
      <c r="DG55" s="77">
        <v>1</v>
      </c>
      <c r="DH55" s="48"/>
      <c r="DI55" s="74">
        <v>20</v>
      </c>
      <c r="DJ55" s="55">
        <f t="shared" si="89"/>
        <v>18</v>
      </c>
      <c r="DK55" s="56">
        <v>20</v>
      </c>
      <c r="DL55" s="80">
        <v>2</v>
      </c>
      <c r="DM55" s="48"/>
      <c r="DN55" s="74">
        <v>20</v>
      </c>
      <c r="DO55" s="55">
        <f t="shared" si="90"/>
        <v>18</v>
      </c>
      <c r="DP55" s="56">
        <v>20</v>
      </c>
      <c r="DQ55" s="81">
        <v>26</v>
      </c>
      <c r="DR55" s="48"/>
      <c r="DS55" s="54">
        <f t="shared" si="91"/>
        <v>240</v>
      </c>
      <c r="DT55" s="54">
        <f t="shared" si="92"/>
        <v>95520</v>
      </c>
      <c r="DU55" s="41">
        <v>14</v>
      </c>
      <c r="DV55" s="56">
        <f>ROUNDDOWN(DU55,0)</f>
        <v>14</v>
      </c>
      <c r="DW55" s="76"/>
      <c r="DX55" s="75"/>
      <c r="DY55" s="41">
        <v>14</v>
      </c>
      <c r="DZ55" s="56">
        <f>ROUNDDOWN(DY55,0)</f>
        <v>14</v>
      </c>
      <c r="EA55" s="76">
        <v>12</v>
      </c>
      <c r="EB55" s="75"/>
      <c r="EC55" s="41">
        <v>14</v>
      </c>
      <c r="ED55" s="56">
        <f>ROUNDDOWN(EC55,0)</f>
        <v>14</v>
      </c>
      <c r="EE55" s="76">
        <v>18</v>
      </c>
      <c r="EF55" s="75"/>
      <c r="EG55" s="41">
        <v>14</v>
      </c>
      <c r="EH55" s="56">
        <f>ROUNDDOWN(EG55,0)</f>
        <v>14</v>
      </c>
      <c r="EI55" s="76">
        <v>26</v>
      </c>
      <c r="EJ55" s="75"/>
      <c r="EK55" s="41">
        <v>14</v>
      </c>
      <c r="EL55" s="56">
        <f>ROUNDDOWN(EK55,0)</f>
        <v>14</v>
      </c>
      <c r="EM55" s="77">
        <v>11</v>
      </c>
      <c r="EN55" s="75"/>
      <c r="EO55" s="41">
        <v>14</v>
      </c>
      <c r="EP55" s="56">
        <v>20</v>
      </c>
      <c r="EQ55" s="77"/>
      <c r="ER55" s="62"/>
      <c r="ES55" s="41">
        <v>14</v>
      </c>
      <c r="ET55" s="56">
        <v>20</v>
      </c>
      <c r="EU55" s="77"/>
      <c r="EV55" s="48"/>
      <c r="EW55" s="41">
        <v>14</v>
      </c>
      <c r="EX55" s="56">
        <v>20</v>
      </c>
      <c r="EY55" s="77"/>
      <c r="EZ55" s="48"/>
      <c r="FA55" s="41">
        <v>14</v>
      </c>
      <c r="FB55" s="56">
        <v>20</v>
      </c>
      <c r="FC55" s="77"/>
      <c r="FD55" s="48"/>
      <c r="FE55" s="41">
        <v>14</v>
      </c>
      <c r="FF55" s="56">
        <v>20</v>
      </c>
      <c r="FG55" s="77"/>
      <c r="FH55" s="48"/>
      <c r="FI55" s="41">
        <v>14</v>
      </c>
      <c r="FJ55" s="241">
        <v>20</v>
      </c>
      <c r="FK55" s="80"/>
      <c r="FL55" s="48"/>
      <c r="FM55" s="41">
        <v>14</v>
      </c>
      <c r="FN55" s="241">
        <v>20</v>
      </c>
      <c r="FO55" s="81"/>
      <c r="FP55" s="48"/>
      <c r="FQ55" s="54">
        <f t="shared" si="93"/>
        <v>168</v>
      </c>
      <c r="FR55" s="54">
        <f t="shared" si="94"/>
        <v>66864</v>
      </c>
      <c r="FS55" s="58" t="e">
        <v>#REF!</v>
      </c>
      <c r="FT55" s="56" t="e">
        <f t="shared" si="95"/>
        <v>#REF!</v>
      </c>
      <c r="FU55" s="76"/>
      <c r="FV55" s="75"/>
      <c r="FW55" s="58">
        <v>21.75</v>
      </c>
      <c r="FX55" s="56">
        <f t="shared" si="96"/>
        <v>21</v>
      </c>
      <c r="FY55" s="76"/>
      <c r="FZ55" s="75"/>
      <c r="GA55" s="82">
        <v>27.500000000000004</v>
      </c>
      <c r="GB55" s="56">
        <f t="shared" si="97"/>
        <v>27</v>
      </c>
      <c r="GC55" s="76"/>
      <c r="GD55" s="75"/>
      <c r="GE55" s="82">
        <v>27.500000000000004</v>
      </c>
      <c r="GF55" s="56">
        <f t="shared" si="98"/>
        <v>27</v>
      </c>
      <c r="GG55" s="76"/>
      <c r="GH55" s="75"/>
      <c r="GI55" s="82">
        <v>27.500000000000004</v>
      </c>
      <c r="GJ55" s="56">
        <f t="shared" si="99"/>
        <v>27</v>
      </c>
      <c r="GK55" s="77"/>
      <c r="GL55" s="75"/>
      <c r="GM55" s="82">
        <v>27.500000000000004</v>
      </c>
      <c r="GN55" s="56">
        <f t="shared" si="100"/>
        <v>27</v>
      </c>
      <c r="GO55" s="77"/>
      <c r="GP55" s="62"/>
      <c r="GQ55" s="82">
        <v>27.500000000000004</v>
      </c>
      <c r="GR55" s="56">
        <f t="shared" si="101"/>
        <v>27</v>
      </c>
      <c r="GS55" s="77"/>
      <c r="GT55" s="48"/>
      <c r="GU55" s="82">
        <v>27.500000000000004</v>
      </c>
      <c r="GV55" s="56">
        <f t="shared" si="102"/>
        <v>27</v>
      </c>
      <c r="GW55" s="77"/>
      <c r="GX55" s="48"/>
      <c r="GY55" s="82">
        <v>27.500000000000004</v>
      </c>
      <c r="GZ55" s="56">
        <f t="shared" si="103"/>
        <v>27</v>
      </c>
      <c r="HA55" s="77"/>
      <c r="HB55" s="48"/>
      <c r="HC55" s="82">
        <v>27.500000000000004</v>
      </c>
      <c r="HD55" s="56">
        <f t="shared" si="104"/>
        <v>27</v>
      </c>
      <c r="HE55" s="77"/>
      <c r="HF55" s="48"/>
      <c r="HG55" s="82">
        <v>27.500000000000004</v>
      </c>
      <c r="HH55" s="56">
        <f t="shared" si="105"/>
        <v>27</v>
      </c>
      <c r="HI55" s="80"/>
      <c r="HJ55" s="48"/>
      <c r="HK55" s="82">
        <v>27.500000000000004</v>
      </c>
      <c r="HL55" s="56">
        <f t="shared" si="106"/>
        <v>27</v>
      </c>
      <c r="HM55" s="81"/>
      <c r="HN55" s="48"/>
      <c r="HO55" s="54" t="e">
        <f t="shared" si="107"/>
        <v>#REF!</v>
      </c>
      <c r="HP55" s="54" t="e">
        <f t="shared" si="108"/>
        <v>#REF!</v>
      </c>
      <c r="HQ55" s="82">
        <v>27.500000000000004</v>
      </c>
      <c r="HR55" s="56">
        <f t="shared" si="109"/>
        <v>27</v>
      </c>
      <c r="HS55" s="76"/>
      <c r="HT55" s="75"/>
      <c r="HU55" s="82">
        <v>27.500000000000004</v>
      </c>
      <c r="HV55" s="56">
        <f t="shared" si="110"/>
        <v>27</v>
      </c>
      <c r="HW55" s="76"/>
      <c r="HX55" s="75"/>
      <c r="HY55" s="82">
        <v>27.500000000000004</v>
      </c>
      <c r="HZ55" s="56">
        <f t="shared" si="111"/>
        <v>27</v>
      </c>
      <c r="IA55" s="76"/>
      <c r="IB55" s="75"/>
      <c r="IC55" s="82">
        <v>27.500000000000004</v>
      </c>
      <c r="ID55" s="56">
        <f t="shared" si="112"/>
        <v>27</v>
      </c>
      <c r="IE55" s="76"/>
      <c r="IF55" s="75"/>
      <c r="IG55" s="82">
        <v>27.500000000000004</v>
      </c>
      <c r="IH55" s="56">
        <f t="shared" si="113"/>
        <v>27</v>
      </c>
      <c r="II55" s="77"/>
      <c r="IJ55" s="75"/>
      <c r="IK55" s="82">
        <v>27.500000000000004</v>
      </c>
      <c r="IL55" s="56">
        <f t="shared" si="114"/>
        <v>27</v>
      </c>
      <c r="IM55" s="77"/>
      <c r="IN55" s="62"/>
      <c r="IO55" s="82">
        <v>27.500000000000004</v>
      </c>
      <c r="IP55" s="56">
        <f t="shared" si="115"/>
        <v>27</v>
      </c>
      <c r="IQ55" s="77"/>
      <c r="IR55" s="48"/>
      <c r="IS55" s="82">
        <v>27.500000000000004</v>
      </c>
      <c r="IT55" s="56">
        <f t="shared" si="116"/>
        <v>27</v>
      </c>
      <c r="IU55" s="77"/>
      <c r="IV55" s="48"/>
      <c r="IW55" s="82">
        <v>27.500000000000004</v>
      </c>
      <c r="IX55" s="56">
        <f t="shared" si="117"/>
        <v>27</v>
      </c>
      <c r="IY55" s="77"/>
      <c r="IZ55" s="48"/>
      <c r="JA55" s="82">
        <v>27.500000000000004</v>
      </c>
      <c r="JB55" s="56">
        <f t="shared" si="118"/>
        <v>27</v>
      </c>
      <c r="JC55" s="77"/>
      <c r="JD55" s="48"/>
      <c r="JE55" s="82">
        <v>27.500000000000004</v>
      </c>
      <c r="JF55" s="56">
        <f t="shared" si="119"/>
        <v>27</v>
      </c>
      <c r="JG55" s="80"/>
      <c r="JH55" s="48"/>
      <c r="JI55" s="82">
        <v>27.500000000000004</v>
      </c>
      <c r="JJ55" s="56">
        <f t="shared" si="120"/>
        <v>27</v>
      </c>
      <c r="JK55" s="81"/>
      <c r="JL55" s="48"/>
      <c r="JM55" s="54">
        <f t="shared" si="121"/>
        <v>330.00000000000006</v>
      </c>
      <c r="JN55" s="54">
        <f t="shared" si="122"/>
        <v>131340.00000000003</v>
      </c>
    </row>
    <row r="56" spans="1:274" s="27" customFormat="1" ht="17.25" customHeight="1">
      <c r="A56" s="249"/>
      <c r="B56" s="250"/>
      <c r="C56" s="250"/>
      <c r="D56" s="249"/>
      <c r="E56" s="36">
        <v>51</v>
      </c>
      <c r="F56" s="87"/>
      <c r="G56" s="38" t="s">
        <v>89</v>
      </c>
      <c r="H56" s="86" t="s">
        <v>90</v>
      </c>
      <c r="I56" s="67">
        <v>313</v>
      </c>
      <c r="J56" s="36"/>
      <c r="K56" s="73">
        <v>3532</v>
      </c>
      <c r="L56" s="73" t="s">
        <v>44</v>
      </c>
      <c r="M56" s="74"/>
      <c r="N56" s="48"/>
      <c r="O56" s="88"/>
      <c r="P56" s="89"/>
      <c r="Q56" s="74"/>
      <c r="R56" s="48"/>
      <c r="S56" s="88"/>
      <c r="T56" s="89"/>
      <c r="U56" s="74"/>
      <c r="V56" s="48"/>
      <c r="W56" s="88"/>
      <c r="X56" s="89"/>
      <c r="Y56" s="74"/>
      <c r="Z56" s="48"/>
      <c r="AA56" s="76"/>
      <c r="AB56" s="89"/>
      <c r="AC56" s="74"/>
      <c r="AD56" s="48"/>
      <c r="AE56" s="88"/>
      <c r="AF56" s="89"/>
      <c r="AG56" s="74"/>
      <c r="AH56" s="48"/>
      <c r="AI56" s="76"/>
      <c r="AJ56" s="89"/>
      <c r="AK56" s="74"/>
      <c r="AL56" s="42"/>
      <c r="AM56" s="77"/>
      <c r="AN56" s="48"/>
      <c r="AO56" s="74"/>
      <c r="AP56" s="42"/>
      <c r="AQ56" s="43"/>
      <c r="AR56" s="79"/>
      <c r="AS56" s="74"/>
      <c r="AT56" s="75"/>
      <c r="AU56" s="77"/>
      <c r="AV56" s="48"/>
      <c r="AW56" s="74"/>
      <c r="AX56" s="75"/>
      <c r="AY56" s="77"/>
      <c r="AZ56" s="48"/>
      <c r="BA56" s="74"/>
      <c r="BB56" s="75"/>
      <c r="BC56" s="80"/>
      <c r="BD56" s="48"/>
      <c r="BE56" s="74"/>
      <c r="BF56" s="75"/>
      <c r="BG56" s="81"/>
      <c r="BH56" s="48"/>
      <c r="BI56" s="84"/>
      <c r="BJ56" s="54"/>
      <c r="BK56" s="74">
        <v>40</v>
      </c>
      <c r="BL56" s="55">
        <f t="shared" si="79"/>
        <v>36</v>
      </c>
      <c r="BM56" s="56">
        <v>40</v>
      </c>
      <c r="BN56" s="76">
        <v>0</v>
      </c>
      <c r="BO56" s="75"/>
      <c r="BP56" s="74">
        <v>40</v>
      </c>
      <c r="BQ56" s="55">
        <f t="shared" si="80"/>
        <v>36</v>
      </c>
      <c r="BR56" s="56">
        <v>40</v>
      </c>
      <c r="BS56" s="76">
        <v>0</v>
      </c>
      <c r="BT56" s="75"/>
      <c r="BU56" s="74">
        <v>40</v>
      </c>
      <c r="BV56" s="55">
        <f t="shared" si="81"/>
        <v>36</v>
      </c>
      <c r="BW56" s="56">
        <v>40</v>
      </c>
      <c r="BX56" s="76">
        <v>0</v>
      </c>
      <c r="BY56" s="75"/>
      <c r="BZ56" s="74">
        <v>40</v>
      </c>
      <c r="CA56" s="55">
        <f t="shared" si="82"/>
        <v>36</v>
      </c>
      <c r="CB56" s="56">
        <v>1200</v>
      </c>
      <c r="CC56" s="76">
        <v>1189</v>
      </c>
      <c r="CD56" s="75"/>
      <c r="CE56" s="74">
        <v>40</v>
      </c>
      <c r="CF56" s="55">
        <f t="shared" si="83"/>
        <v>36</v>
      </c>
      <c r="CG56" s="56">
        <v>100</v>
      </c>
      <c r="CH56" s="77">
        <v>0</v>
      </c>
      <c r="CI56" s="90" t="s">
        <v>91</v>
      </c>
      <c r="CJ56" s="74">
        <v>40</v>
      </c>
      <c r="CK56" s="55">
        <f t="shared" si="84"/>
        <v>36</v>
      </c>
      <c r="CL56" s="56">
        <v>40</v>
      </c>
      <c r="CM56" s="77"/>
      <c r="CN56" s="62"/>
      <c r="CO56" s="74">
        <v>40</v>
      </c>
      <c r="CP56" s="55">
        <f t="shared" si="85"/>
        <v>36</v>
      </c>
      <c r="CQ56" s="56">
        <v>40</v>
      </c>
      <c r="CR56" s="77"/>
      <c r="CS56" s="48"/>
      <c r="CT56" s="74">
        <v>40</v>
      </c>
      <c r="CU56" s="55">
        <f t="shared" si="86"/>
        <v>36</v>
      </c>
      <c r="CV56" s="56">
        <v>40</v>
      </c>
      <c r="CW56" s="77"/>
      <c r="CX56" s="48"/>
      <c r="CY56" s="74">
        <v>40</v>
      </c>
      <c r="CZ56" s="55">
        <f t="shared" si="87"/>
        <v>36</v>
      </c>
      <c r="DA56" s="56">
        <v>40</v>
      </c>
      <c r="DB56" s="77">
        <v>2</v>
      </c>
      <c r="DC56" s="48"/>
      <c r="DD56" s="74">
        <v>40</v>
      </c>
      <c r="DE56" s="55">
        <f t="shared" si="88"/>
        <v>36</v>
      </c>
      <c r="DF56" s="56">
        <v>40</v>
      </c>
      <c r="DG56" s="77"/>
      <c r="DH56" s="48"/>
      <c r="DI56" s="74">
        <v>40</v>
      </c>
      <c r="DJ56" s="55">
        <f t="shared" si="89"/>
        <v>36</v>
      </c>
      <c r="DK56" s="56">
        <v>40</v>
      </c>
      <c r="DL56" s="80"/>
      <c r="DM56" s="48"/>
      <c r="DN56" s="74">
        <v>40</v>
      </c>
      <c r="DO56" s="55">
        <f t="shared" si="90"/>
        <v>36</v>
      </c>
      <c r="DP56" s="56">
        <v>40</v>
      </c>
      <c r="DQ56" s="81">
        <v>2</v>
      </c>
      <c r="DR56" s="48"/>
      <c r="DS56" s="54">
        <f t="shared" si="91"/>
        <v>480</v>
      </c>
      <c r="DT56" s="54">
        <f t="shared" si="92"/>
        <v>150240</v>
      </c>
      <c r="DU56" s="41">
        <v>5</v>
      </c>
      <c r="DV56" s="56">
        <f>ROUNDDOWN(DU56,0)</f>
        <v>5</v>
      </c>
      <c r="DW56" s="76"/>
      <c r="DX56" s="75"/>
      <c r="DY56" s="41">
        <v>5</v>
      </c>
      <c r="DZ56" s="56">
        <f>ROUNDDOWN(DY56,0)</f>
        <v>5</v>
      </c>
      <c r="EA56" s="76">
        <v>9</v>
      </c>
      <c r="EB56" s="75"/>
      <c r="EC56" s="41">
        <v>5</v>
      </c>
      <c r="ED56" s="56">
        <f>ROUNDDOWN(EC56,0)</f>
        <v>5</v>
      </c>
      <c r="EE56" s="76"/>
      <c r="EF56" s="75"/>
      <c r="EG56" s="41">
        <v>5</v>
      </c>
      <c r="EH56" s="56">
        <f>ROUNDDOWN(EG56,0)</f>
        <v>5</v>
      </c>
      <c r="EI56" s="76"/>
      <c r="EJ56" s="75"/>
      <c r="EK56" s="41">
        <v>5</v>
      </c>
      <c r="EL56" s="56">
        <f>ROUNDDOWN(EK56,0)</f>
        <v>5</v>
      </c>
      <c r="EM56" s="77"/>
      <c r="EN56" s="75"/>
      <c r="EO56" s="41">
        <v>5</v>
      </c>
      <c r="EP56" s="56">
        <f>ROUNDDOWN(EO56,0)</f>
        <v>5</v>
      </c>
      <c r="EQ56" s="77"/>
      <c r="ER56" s="62"/>
      <c r="ES56" s="41">
        <v>5</v>
      </c>
      <c r="ET56" s="56">
        <f>ROUNDDOWN(ES56,0)</f>
        <v>5</v>
      </c>
      <c r="EU56" s="77"/>
      <c r="EV56" s="48"/>
      <c r="EW56" s="41">
        <v>5</v>
      </c>
      <c r="EX56" s="56">
        <f>ROUNDDOWN(EW56,0)</f>
        <v>5</v>
      </c>
      <c r="EY56" s="77"/>
      <c r="EZ56" s="48"/>
      <c r="FA56" s="41">
        <v>5</v>
      </c>
      <c r="FB56" s="56">
        <f>ROUNDDOWN(FA56,0)</f>
        <v>5</v>
      </c>
      <c r="FC56" s="77"/>
      <c r="FD56" s="48"/>
      <c r="FE56" s="41">
        <v>5</v>
      </c>
      <c r="FF56" s="56">
        <f>ROUNDDOWN(FE56,0)</f>
        <v>5</v>
      </c>
      <c r="FG56" s="77"/>
      <c r="FH56" s="48"/>
      <c r="FI56" s="41">
        <v>5</v>
      </c>
      <c r="FJ56" s="241">
        <f>ROUNDDOWN(FI56,0)</f>
        <v>5</v>
      </c>
      <c r="FK56" s="80"/>
      <c r="FL56" s="48"/>
      <c r="FM56" s="41">
        <v>5</v>
      </c>
      <c r="FN56" s="241">
        <f>ROUNDDOWN(FM56,0)</f>
        <v>5</v>
      </c>
      <c r="FO56" s="81"/>
      <c r="FP56" s="48"/>
      <c r="FQ56" s="54">
        <f t="shared" si="93"/>
        <v>60</v>
      </c>
      <c r="FR56" s="54">
        <f t="shared" si="94"/>
        <v>18780</v>
      </c>
      <c r="FS56" s="58" t="e">
        <v>#REF!</v>
      </c>
      <c r="FT56" s="56" t="e">
        <f t="shared" si="95"/>
        <v>#REF!</v>
      </c>
      <c r="FU56" s="76"/>
      <c r="FV56" s="75"/>
      <c r="FW56" s="58">
        <v>43.5</v>
      </c>
      <c r="FX56" s="56">
        <f t="shared" si="96"/>
        <v>43</v>
      </c>
      <c r="FY56" s="76"/>
      <c r="FZ56" s="75"/>
      <c r="GA56" s="82">
        <v>55.000000000000007</v>
      </c>
      <c r="GB56" s="56">
        <f t="shared" si="97"/>
        <v>55</v>
      </c>
      <c r="GC56" s="76"/>
      <c r="GD56" s="75"/>
      <c r="GE56" s="82">
        <v>55.000000000000007</v>
      </c>
      <c r="GF56" s="56">
        <f t="shared" si="98"/>
        <v>55</v>
      </c>
      <c r="GG56" s="76"/>
      <c r="GH56" s="75"/>
      <c r="GI56" s="82">
        <v>55.000000000000007</v>
      </c>
      <c r="GJ56" s="56">
        <f t="shared" si="99"/>
        <v>55</v>
      </c>
      <c r="GK56" s="77"/>
      <c r="GL56" s="75"/>
      <c r="GM56" s="82">
        <v>55.000000000000007</v>
      </c>
      <c r="GN56" s="56">
        <f t="shared" si="100"/>
        <v>55</v>
      </c>
      <c r="GO56" s="77"/>
      <c r="GP56" s="62"/>
      <c r="GQ56" s="82">
        <v>55.000000000000007</v>
      </c>
      <c r="GR56" s="56">
        <f t="shared" si="101"/>
        <v>55</v>
      </c>
      <c r="GS56" s="77"/>
      <c r="GT56" s="48"/>
      <c r="GU56" s="82">
        <v>55.000000000000007</v>
      </c>
      <c r="GV56" s="56">
        <f t="shared" si="102"/>
        <v>55</v>
      </c>
      <c r="GW56" s="77"/>
      <c r="GX56" s="48"/>
      <c r="GY56" s="82">
        <v>55.000000000000007</v>
      </c>
      <c r="GZ56" s="56">
        <f t="shared" si="103"/>
        <v>55</v>
      </c>
      <c r="HA56" s="77"/>
      <c r="HB56" s="48"/>
      <c r="HC56" s="82">
        <v>55.000000000000007</v>
      </c>
      <c r="HD56" s="56">
        <f t="shared" si="104"/>
        <v>55</v>
      </c>
      <c r="HE56" s="77"/>
      <c r="HF56" s="48"/>
      <c r="HG56" s="82">
        <v>55.000000000000007</v>
      </c>
      <c r="HH56" s="56">
        <f t="shared" si="105"/>
        <v>55</v>
      </c>
      <c r="HI56" s="80"/>
      <c r="HJ56" s="48"/>
      <c r="HK56" s="82">
        <v>55.000000000000007</v>
      </c>
      <c r="HL56" s="56">
        <f t="shared" si="106"/>
        <v>55</v>
      </c>
      <c r="HM56" s="81"/>
      <c r="HN56" s="48"/>
      <c r="HO56" s="54" t="e">
        <f t="shared" si="107"/>
        <v>#REF!</v>
      </c>
      <c r="HP56" s="54" t="e">
        <f t="shared" si="108"/>
        <v>#REF!</v>
      </c>
      <c r="HQ56" s="82">
        <v>55.000000000000007</v>
      </c>
      <c r="HR56" s="56">
        <f t="shared" si="109"/>
        <v>55</v>
      </c>
      <c r="HS56" s="76"/>
      <c r="HT56" s="75"/>
      <c r="HU56" s="82">
        <v>55.000000000000007</v>
      </c>
      <c r="HV56" s="56">
        <f t="shared" si="110"/>
        <v>55</v>
      </c>
      <c r="HW56" s="76"/>
      <c r="HX56" s="75"/>
      <c r="HY56" s="82">
        <v>55.000000000000007</v>
      </c>
      <c r="HZ56" s="56">
        <f t="shared" si="111"/>
        <v>55</v>
      </c>
      <c r="IA56" s="76"/>
      <c r="IB56" s="75"/>
      <c r="IC56" s="82">
        <v>55.000000000000007</v>
      </c>
      <c r="ID56" s="56">
        <f t="shared" si="112"/>
        <v>55</v>
      </c>
      <c r="IE56" s="76"/>
      <c r="IF56" s="75"/>
      <c r="IG56" s="82">
        <v>55.000000000000007</v>
      </c>
      <c r="IH56" s="56">
        <f t="shared" si="113"/>
        <v>55</v>
      </c>
      <c r="II56" s="77"/>
      <c r="IJ56" s="75"/>
      <c r="IK56" s="82">
        <v>55.000000000000007</v>
      </c>
      <c r="IL56" s="56">
        <f t="shared" si="114"/>
        <v>55</v>
      </c>
      <c r="IM56" s="77"/>
      <c r="IN56" s="62"/>
      <c r="IO56" s="82">
        <v>55.000000000000007</v>
      </c>
      <c r="IP56" s="56">
        <f t="shared" si="115"/>
        <v>55</v>
      </c>
      <c r="IQ56" s="77"/>
      <c r="IR56" s="48"/>
      <c r="IS56" s="82">
        <v>55.000000000000007</v>
      </c>
      <c r="IT56" s="56">
        <f t="shared" si="116"/>
        <v>55</v>
      </c>
      <c r="IU56" s="77"/>
      <c r="IV56" s="48"/>
      <c r="IW56" s="82">
        <v>55.000000000000007</v>
      </c>
      <c r="IX56" s="56">
        <f t="shared" si="117"/>
        <v>55</v>
      </c>
      <c r="IY56" s="77"/>
      <c r="IZ56" s="48"/>
      <c r="JA56" s="82">
        <v>55.000000000000007</v>
      </c>
      <c r="JB56" s="56">
        <f t="shared" si="118"/>
        <v>55</v>
      </c>
      <c r="JC56" s="77"/>
      <c r="JD56" s="48"/>
      <c r="JE56" s="82">
        <v>55.000000000000007</v>
      </c>
      <c r="JF56" s="56">
        <f t="shared" si="119"/>
        <v>55</v>
      </c>
      <c r="JG56" s="80"/>
      <c r="JH56" s="48"/>
      <c r="JI56" s="82">
        <v>55.000000000000007</v>
      </c>
      <c r="JJ56" s="56">
        <f t="shared" si="120"/>
        <v>55</v>
      </c>
      <c r="JK56" s="81"/>
      <c r="JL56" s="48"/>
      <c r="JM56" s="54">
        <f t="shared" si="121"/>
        <v>660.00000000000011</v>
      </c>
      <c r="JN56" s="54">
        <f t="shared" si="122"/>
        <v>206580.00000000003</v>
      </c>
    </row>
    <row r="57" spans="1:274" ht="36">
      <c r="A57" s="249"/>
      <c r="B57" s="250"/>
      <c r="C57" s="250"/>
      <c r="D57" s="249"/>
      <c r="E57" s="36">
        <v>52</v>
      </c>
      <c r="F57" s="37"/>
      <c r="G57" s="38">
        <v>6403179292</v>
      </c>
      <c r="H57" s="91" t="s">
        <v>92</v>
      </c>
      <c r="I57" s="92">
        <v>279</v>
      </c>
      <c r="J57" s="36"/>
      <c r="K57" s="73">
        <v>3143</v>
      </c>
      <c r="L57" s="73" t="s">
        <v>44</v>
      </c>
      <c r="M57" s="74"/>
      <c r="N57" s="48"/>
      <c r="O57" s="88"/>
      <c r="P57" s="89"/>
      <c r="Q57" s="74"/>
      <c r="R57" s="48"/>
      <c r="S57" s="88"/>
      <c r="T57" s="89"/>
      <c r="U57" s="74"/>
      <c r="V57" s="48"/>
      <c r="W57" s="88"/>
      <c r="X57" s="89"/>
      <c r="Y57" s="74"/>
      <c r="Z57" s="48"/>
      <c r="AA57" s="76"/>
      <c r="AB57" s="89"/>
      <c r="AC57" s="74"/>
      <c r="AD57" s="48"/>
      <c r="AE57" s="88"/>
      <c r="AF57" s="89"/>
      <c r="AG57" s="74"/>
      <c r="AH57" s="48"/>
      <c r="AI57" s="76"/>
      <c r="AJ57" s="89"/>
      <c r="AK57" s="74"/>
      <c r="AL57" s="42"/>
      <c r="AM57" s="77"/>
      <c r="AN57" s="48"/>
      <c r="AO57" s="74"/>
      <c r="AP57" s="42"/>
      <c r="AQ57" s="43"/>
      <c r="AR57" s="79"/>
      <c r="AS57" s="74"/>
      <c r="AT57" s="75"/>
      <c r="AU57" s="77"/>
      <c r="AV57" s="48"/>
      <c r="AW57" s="74"/>
      <c r="AX57" s="75"/>
      <c r="AY57" s="77"/>
      <c r="AZ57" s="48"/>
      <c r="BA57" s="74"/>
      <c r="BB57" s="75"/>
      <c r="BC57" s="80"/>
      <c r="BD57" s="48"/>
      <c r="BE57" s="74"/>
      <c r="BF57" s="75"/>
      <c r="BG57" s="81"/>
      <c r="BH57" s="48"/>
      <c r="BI57" s="84"/>
      <c r="BJ57" s="54"/>
      <c r="BK57" s="74">
        <v>10</v>
      </c>
      <c r="BL57" s="55">
        <f t="shared" si="79"/>
        <v>9</v>
      </c>
      <c r="BM57" s="56">
        <v>10</v>
      </c>
      <c r="BN57" s="76">
        <v>0</v>
      </c>
      <c r="BO57" s="75"/>
      <c r="BP57" s="74">
        <v>10</v>
      </c>
      <c r="BQ57" s="55">
        <f t="shared" si="80"/>
        <v>9</v>
      </c>
      <c r="BR57" s="56">
        <v>10</v>
      </c>
      <c r="BS57" s="76">
        <v>0</v>
      </c>
      <c r="BT57" s="75"/>
      <c r="BU57" s="74">
        <v>10</v>
      </c>
      <c r="BV57" s="55">
        <f t="shared" si="81"/>
        <v>9</v>
      </c>
      <c r="BW57" s="56">
        <v>10</v>
      </c>
      <c r="BX57" s="76">
        <v>0</v>
      </c>
      <c r="BY57" s="75"/>
      <c r="BZ57" s="74">
        <v>10</v>
      </c>
      <c r="CA57" s="55">
        <f t="shared" si="82"/>
        <v>9</v>
      </c>
      <c r="CB57" s="56">
        <v>10</v>
      </c>
      <c r="CC57" s="76">
        <v>0</v>
      </c>
      <c r="CD57" s="75"/>
      <c r="CE57" s="74">
        <v>10</v>
      </c>
      <c r="CF57" s="55">
        <f t="shared" si="83"/>
        <v>9</v>
      </c>
      <c r="CG57" s="56">
        <v>10</v>
      </c>
      <c r="CH57" s="77">
        <v>0</v>
      </c>
      <c r="CI57" s="75"/>
      <c r="CJ57" s="74">
        <v>10</v>
      </c>
      <c r="CK57" s="55">
        <f t="shared" si="84"/>
        <v>9</v>
      </c>
      <c r="CL57" s="56">
        <v>10</v>
      </c>
      <c r="CM57" s="77"/>
      <c r="CN57" s="62"/>
      <c r="CO57" s="74">
        <v>10</v>
      </c>
      <c r="CP57" s="55">
        <f t="shared" si="85"/>
        <v>9</v>
      </c>
      <c r="CQ57" s="56">
        <v>10</v>
      </c>
      <c r="CR57" s="77"/>
      <c r="CS57" s="48"/>
      <c r="CT57" s="74">
        <v>10</v>
      </c>
      <c r="CU57" s="55">
        <f t="shared" si="86"/>
        <v>9</v>
      </c>
      <c r="CV57" s="56">
        <v>0</v>
      </c>
      <c r="CW57" s="77"/>
      <c r="CX57" s="48" t="s">
        <v>93</v>
      </c>
      <c r="CY57" s="74">
        <v>10</v>
      </c>
      <c r="CZ57" s="55">
        <f t="shared" si="87"/>
        <v>9</v>
      </c>
      <c r="DA57" s="56">
        <v>0</v>
      </c>
      <c r="DB57" s="77"/>
      <c r="DC57" s="48"/>
      <c r="DD57" s="74">
        <v>10</v>
      </c>
      <c r="DE57" s="55">
        <f t="shared" si="88"/>
        <v>9</v>
      </c>
      <c r="DF57" s="56">
        <v>0</v>
      </c>
      <c r="DG57" s="77"/>
      <c r="DH57" s="48"/>
      <c r="DI57" s="74">
        <v>10</v>
      </c>
      <c r="DJ57" s="55">
        <f t="shared" si="89"/>
        <v>9</v>
      </c>
      <c r="DK57" s="56">
        <v>0</v>
      </c>
      <c r="DL57" s="80"/>
      <c r="DM57" s="48"/>
      <c r="DN57" s="74">
        <v>10</v>
      </c>
      <c r="DO57" s="55">
        <f t="shared" si="90"/>
        <v>9</v>
      </c>
      <c r="DP57" s="56">
        <v>0</v>
      </c>
      <c r="DQ57" s="81"/>
      <c r="DR57" s="48"/>
      <c r="DS57" s="54">
        <f t="shared" si="91"/>
        <v>120</v>
      </c>
      <c r="DT57" s="54">
        <f t="shared" si="92"/>
        <v>33480</v>
      </c>
      <c r="DU57" s="41">
        <v>5</v>
      </c>
      <c r="DV57" s="56">
        <v>2</v>
      </c>
      <c r="DW57" s="76"/>
      <c r="DX57" s="75"/>
      <c r="DY57" s="41">
        <v>5</v>
      </c>
      <c r="DZ57" s="56">
        <v>2</v>
      </c>
      <c r="EA57" s="76">
        <v>4</v>
      </c>
      <c r="EB57" s="75"/>
      <c r="EC57" s="41">
        <v>5</v>
      </c>
      <c r="ED57" s="56">
        <v>2</v>
      </c>
      <c r="EE57" s="76"/>
      <c r="EF57" s="75"/>
      <c r="EG57" s="41">
        <v>5</v>
      </c>
      <c r="EH57" s="56">
        <v>2</v>
      </c>
      <c r="EI57" s="76"/>
      <c r="EJ57" s="75"/>
      <c r="EK57" s="41">
        <v>5</v>
      </c>
      <c r="EL57" s="56">
        <v>2</v>
      </c>
      <c r="EM57" s="77"/>
      <c r="EN57" s="75"/>
      <c r="EO57" s="41">
        <v>5</v>
      </c>
      <c r="EP57" s="56">
        <v>2</v>
      </c>
      <c r="EQ57" s="77"/>
      <c r="ER57" s="62"/>
      <c r="ES57" s="41">
        <v>5</v>
      </c>
      <c r="ET57" s="56">
        <v>2</v>
      </c>
      <c r="EU57" s="77"/>
      <c r="EV57" s="48"/>
      <c r="EW57" s="41">
        <v>5</v>
      </c>
      <c r="EX57" s="56">
        <v>2</v>
      </c>
      <c r="EY57" s="77"/>
      <c r="EZ57" s="48"/>
      <c r="FA57" s="41">
        <v>5</v>
      </c>
      <c r="FB57" s="56">
        <v>2</v>
      </c>
      <c r="FC57" s="77"/>
      <c r="FD57" s="48"/>
      <c r="FE57" s="41">
        <v>5</v>
      </c>
      <c r="FF57" s="56">
        <v>2</v>
      </c>
      <c r="FG57" s="77"/>
      <c r="FH57" s="48"/>
      <c r="FI57" s="41">
        <v>5</v>
      </c>
      <c r="FJ57" s="241">
        <v>2</v>
      </c>
      <c r="FK57" s="80"/>
      <c r="FL57" s="48"/>
      <c r="FM57" s="41">
        <v>5</v>
      </c>
      <c r="FN57" s="241">
        <v>2</v>
      </c>
      <c r="FO57" s="81"/>
      <c r="FP57" s="48"/>
      <c r="FQ57" s="54">
        <f t="shared" si="93"/>
        <v>60</v>
      </c>
      <c r="FR57" s="54">
        <f t="shared" si="94"/>
        <v>16740</v>
      </c>
      <c r="FS57" s="58" t="e">
        <v>#REF!</v>
      </c>
      <c r="FT57" s="56" t="e">
        <f t="shared" si="95"/>
        <v>#REF!</v>
      </c>
      <c r="FU57" s="76"/>
      <c r="FV57" s="75"/>
      <c r="FW57" s="58">
        <v>10.875</v>
      </c>
      <c r="FX57" s="56">
        <f t="shared" si="96"/>
        <v>10</v>
      </c>
      <c r="FY57" s="76"/>
      <c r="FZ57" s="75"/>
      <c r="GA57" s="82">
        <v>13.750000000000002</v>
      </c>
      <c r="GB57" s="56">
        <f t="shared" si="97"/>
        <v>13</v>
      </c>
      <c r="GC57" s="76"/>
      <c r="GD57" s="75"/>
      <c r="GE57" s="82">
        <v>13.750000000000002</v>
      </c>
      <c r="GF57" s="56">
        <f t="shared" si="98"/>
        <v>13</v>
      </c>
      <c r="GG57" s="76"/>
      <c r="GH57" s="75"/>
      <c r="GI57" s="82">
        <v>13.750000000000002</v>
      </c>
      <c r="GJ57" s="56">
        <f t="shared" si="99"/>
        <v>13</v>
      </c>
      <c r="GK57" s="77"/>
      <c r="GL57" s="75"/>
      <c r="GM57" s="82">
        <v>13.750000000000002</v>
      </c>
      <c r="GN57" s="56">
        <f t="shared" si="100"/>
        <v>13</v>
      </c>
      <c r="GO57" s="77"/>
      <c r="GP57" s="62"/>
      <c r="GQ57" s="82">
        <v>13.750000000000002</v>
      </c>
      <c r="GR57" s="56">
        <f t="shared" si="101"/>
        <v>13</v>
      </c>
      <c r="GS57" s="77"/>
      <c r="GT57" s="48"/>
      <c r="GU57" s="82">
        <v>13.750000000000002</v>
      </c>
      <c r="GV57" s="56">
        <f t="shared" si="102"/>
        <v>13</v>
      </c>
      <c r="GW57" s="77"/>
      <c r="GX57" s="48"/>
      <c r="GY57" s="82">
        <v>13.750000000000002</v>
      </c>
      <c r="GZ57" s="56">
        <f t="shared" si="103"/>
        <v>13</v>
      </c>
      <c r="HA57" s="77"/>
      <c r="HB57" s="48"/>
      <c r="HC57" s="82">
        <v>13.750000000000002</v>
      </c>
      <c r="HD57" s="56">
        <f t="shared" si="104"/>
        <v>13</v>
      </c>
      <c r="HE57" s="77"/>
      <c r="HF57" s="48"/>
      <c r="HG57" s="82">
        <v>13.750000000000002</v>
      </c>
      <c r="HH57" s="56">
        <f t="shared" si="105"/>
        <v>13</v>
      </c>
      <c r="HI57" s="80"/>
      <c r="HJ57" s="48"/>
      <c r="HK57" s="82">
        <v>13.750000000000002</v>
      </c>
      <c r="HL57" s="56">
        <f t="shared" si="106"/>
        <v>13</v>
      </c>
      <c r="HM57" s="81"/>
      <c r="HN57" s="48"/>
      <c r="HO57" s="54" t="e">
        <f t="shared" si="107"/>
        <v>#REF!</v>
      </c>
      <c r="HP57" s="54" t="e">
        <f t="shared" si="108"/>
        <v>#REF!</v>
      </c>
      <c r="HQ57" s="82">
        <v>13.750000000000002</v>
      </c>
      <c r="HR57" s="56">
        <f t="shared" si="109"/>
        <v>13</v>
      </c>
      <c r="HS57" s="76"/>
      <c r="HT57" s="75"/>
      <c r="HU57" s="82">
        <v>13.750000000000002</v>
      </c>
      <c r="HV57" s="56">
        <f t="shared" si="110"/>
        <v>13</v>
      </c>
      <c r="HW57" s="76"/>
      <c r="HX57" s="75"/>
      <c r="HY57" s="82">
        <v>13.750000000000002</v>
      </c>
      <c r="HZ57" s="56">
        <f t="shared" si="111"/>
        <v>13</v>
      </c>
      <c r="IA57" s="76"/>
      <c r="IB57" s="75"/>
      <c r="IC57" s="82">
        <v>13.750000000000002</v>
      </c>
      <c r="ID57" s="56">
        <f t="shared" si="112"/>
        <v>13</v>
      </c>
      <c r="IE57" s="76"/>
      <c r="IF57" s="75"/>
      <c r="IG57" s="82">
        <v>13.750000000000002</v>
      </c>
      <c r="IH57" s="56">
        <f t="shared" si="113"/>
        <v>13</v>
      </c>
      <c r="II57" s="77"/>
      <c r="IJ57" s="75"/>
      <c r="IK57" s="82">
        <v>13.750000000000002</v>
      </c>
      <c r="IL57" s="56">
        <f t="shared" si="114"/>
        <v>13</v>
      </c>
      <c r="IM57" s="77"/>
      <c r="IN57" s="62"/>
      <c r="IO57" s="82">
        <v>13.750000000000002</v>
      </c>
      <c r="IP57" s="56">
        <f t="shared" si="115"/>
        <v>13</v>
      </c>
      <c r="IQ57" s="77"/>
      <c r="IR57" s="48"/>
      <c r="IS57" s="82">
        <v>13.750000000000002</v>
      </c>
      <c r="IT57" s="56">
        <f t="shared" si="116"/>
        <v>13</v>
      </c>
      <c r="IU57" s="77"/>
      <c r="IV57" s="48"/>
      <c r="IW57" s="82">
        <v>13.750000000000002</v>
      </c>
      <c r="IX57" s="56">
        <f t="shared" si="117"/>
        <v>13</v>
      </c>
      <c r="IY57" s="77"/>
      <c r="IZ57" s="48"/>
      <c r="JA57" s="82">
        <v>13.750000000000002</v>
      </c>
      <c r="JB57" s="56">
        <f t="shared" si="118"/>
        <v>13</v>
      </c>
      <c r="JC57" s="77"/>
      <c r="JD57" s="48"/>
      <c r="JE57" s="82">
        <v>13.750000000000002</v>
      </c>
      <c r="JF57" s="56">
        <f t="shared" si="119"/>
        <v>13</v>
      </c>
      <c r="JG57" s="80"/>
      <c r="JH57" s="48"/>
      <c r="JI57" s="82">
        <v>13.750000000000002</v>
      </c>
      <c r="JJ57" s="56">
        <f t="shared" si="120"/>
        <v>13</v>
      </c>
      <c r="JK57" s="81"/>
      <c r="JL57" s="48"/>
      <c r="JM57" s="54">
        <f t="shared" si="121"/>
        <v>165.00000000000003</v>
      </c>
      <c r="JN57" s="54">
        <f t="shared" si="122"/>
        <v>46035.000000000007</v>
      </c>
    </row>
    <row r="58" spans="1:274">
      <c r="A58" s="249"/>
      <c r="B58" s="250"/>
      <c r="C58" s="250"/>
      <c r="D58" s="249"/>
      <c r="E58" s="36">
        <v>53</v>
      </c>
      <c r="F58" s="37"/>
      <c r="G58" s="38">
        <v>9735000510</v>
      </c>
      <c r="H58" s="93" t="s">
        <v>94</v>
      </c>
      <c r="I58" s="69">
        <v>111.17</v>
      </c>
      <c r="J58" s="36"/>
      <c r="K58" s="73"/>
      <c r="L58" s="73"/>
      <c r="M58" s="74"/>
      <c r="N58" s="48"/>
      <c r="O58" s="88"/>
      <c r="P58" s="89"/>
      <c r="Q58" s="74"/>
      <c r="R58" s="48"/>
      <c r="S58" s="88"/>
      <c r="T58" s="89"/>
      <c r="U58" s="74"/>
      <c r="V58" s="48"/>
      <c r="W58" s="88"/>
      <c r="X58" s="89"/>
      <c r="Y58" s="74"/>
      <c r="Z58" s="48"/>
      <c r="AA58" s="76"/>
      <c r="AB58" s="89"/>
      <c r="AC58" s="74"/>
      <c r="AD58" s="48"/>
      <c r="AE58" s="88"/>
      <c r="AF58" s="89"/>
      <c r="AG58" s="74"/>
      <c r="AH58" s="48"/>
      <c r="AI58" s="76"/>
      <c r="AJ58" s="89"/>
      <c r="AK58" s="74"/>
      <c r="AL58" s="42"/>
      <c r="AM58" s="77"/>
      <c r="AN58" s="48"/>
      <c r="AO58" s="74"/>
      <c r="AP58" s="42"/>
      <c r="AQ58" s="43"/>
      <c r="AR58" s="79"/>
      <c r="AS58" s="74"/>
      <c r="AT58" s="75"/>
      <c r="AU58" s="77"/>
      <c r="AV58" s="48"/>
      <c r="AW58" s="74"/>
      <c r="AX58" s="75"/>
      <c r="AY58" s="77"/>
      <c r="AZ58" s="48"/>
      <c r="BA58" s="74"/>
      <c r="BB58" s="75"/>
      <c r="BC58" s="80"/>
      <c r="BD58" s="48"/>
      <c r="BE58" s="74"/>
      <c r="BF58" s="75"/>
      <c r="BG58" s="81"/>
      <c r="BH58" s="48"/>
      <c r="BI58" s="84"/>
      <c r="BJ58" s="54"/>
      <c r="BK58" s="74">
        <v>50</v>
      </c>
      <c r="BL58" s="55">
        <f t="shared" si="79"/>
        <v>45</v>
      </c>
      <c r="BM58" s="56">
        <v>50</v>
      </c>
      <c r="BN58" s="76">
        <v>0</v>
      </c>
      <c r="BO58" s="75"/>
      <c r="BP58" s="74">
        <v>50</v>
      </c>
      <c r="BQ58" s="55">
        <f t="shared" si="80"/>
        <v>45</v>
      </c>
      <c r="BR58" s="56">
        <v>50</v>
      </c>
      <c r="BS58" s="76">
        <v>0</v>
      </c>
      <c r="BT58" s="75"/>
      <c r="BU58" s="74">
        <v>50</v>
      </c>
      <c r="BV58" s="55">
        <f t="shared" si="81"/>
        <v>45</v>
      </c>
      <c r="BW58" s="56">
        <v>50</v>
      </c>
      <c r="BX58" s="76">
        <v>0</v>
      </c>
      <c r="BY58" s="75"/>
      <c r="BZ58" s="74">
        <v>50</v>
      </c>
      <c r="CA58" s="55">
        <f t="shared" si="82"/>
        <v>45</v>
      </c>
      <c r="CB58" s="56">
        <v>50</v>
      </c>
      <c r="CC58" s="76">
        <v>2</v>
      </c>
      <c r="CD58" s="75"/>
      <c r="CE58" s="74">
        <v>50</v>
      </c>
      <c r="CF58" s="55">
        <f t="shared" si="83"/>
        <v>45</v>
      </c>
      <c r="CG58" s="56">
        <v>50</v>
      </c>
      <c r="CH58" s="77">
        <v>0</v>
      </c>
      <c r="CI58" s="75"/>
      <c r="CJ58" s="74">
        <v>50</v>
      </c>
      <c r="CK58" s="55">
        <f t="shared" si="84"/>
        <v>45</v>
      </c>
      <c r="CL58" s="56">
        <v>50</v>
      </c>
      <c r="CM58" s="77">
        <v>3</v>
      </c>
      <c r="CN58" s="62"/>
      <c r="CO58" s="74">
        <v>50</v>
      </c>
      <c r="CP58" s="55">
        <f t="shared" si="85"/>
        <v>45</v>
      </c>
      <c r="CQ58" s="56">
        <v>50</v>
      </c>
      <c r="CR58" s="77">
        <v>3</v>
      </c>
      <c r="CS58" s="48"/>
      <c r="CT58" s="74">
        <v>50</v>
      </c>
      <c r="CU58" s="55">
        <f t="shared" si="86"/>
        <v>45</v>
      </c>
      <c r="CV58" s="56">
        <v>20</v>
      </c>
      <c r="CW58" s="77">
        <v>3</v>
      </c>
      <c r="CX58" s="48"/>
      <c r="CY58" s="74">
        <v>50</v>
      </c>
      <c r="CZ58" s="55">
        <f t="shared" si="87"/>
        <v>45</v>
      </c>
      <c r="DA58" s="56">
        <v>20</v>
      </c>
      <c r="DB58" s="77"/>
      <c r="DC58" s="48"/>
      <c r="DD58" s="74">
        <v>50</v>
      </c>
      <c r="DE58" s="55">
        <f t="shared" si="88"/>
        <v>45</v>
      </c>
      <c r="DF58" s="56">
        <v>20</v>
      </c>
      <c r="DG58" s="77"/>
      <c r="DH58" s="48"/>
      <c r="DI58" s="74">
        <v>50</v>
      </c>
      <c r="DJ58" s="55">
        <f t="shared" si="89"/>
        <v>45</v>
      </c>
      <c r="DK58" s="56">
        <v>20</v>
      </c>
      <c r="DL58" s="80"/>
      <c r="DM58" s="48"/>
      <c r="DN58" s="74">
        <v>50</v>
      </c>
      <c r="DO58" s="55">
        <f t="shared" si="90"/>
        <v>45</v>
      </c>
      <c r="DP58" s="56">
        <v>20</v>
      </c>
      <c r="DQ58" s="81">
        <v>2</v>
      </c>
      <c r="DR58" s="48"/>
      <c r="DS58" s="54">
        <f t="shared" si="91"/>
        <v>600</v>
      </c>
      <c r="DT58" s="54">
        <f t="shared" si="92"/>
        <v>66702</v>
      </c>
      <c r="DU58" s="41">
        <v>1</v>
      </c>
      <c r="DV58" s="56">
        <f t="shared" ref="DV58:DV66" si="132">ROUNDDOWN(DU58,0)</f>
        <v>1</v>
      </c>
      <c r="DW58" s="76"/>
      <c r="DX58" s="75"/>
      <c r="DY58" s="41">
        <v>1</v>
      </c>
      <c r="DZ58" s="56">
        <f t="shared" ref="DZ58:DZ66" si="133">ROUNDDOWN(DY58,0)</f>
        <v>1</v>
      </c>
      <c r="EA58" s="76">
        <v>1</v>
      </c>
      <c r="EB58" s="75"/>
      <c r="EC58" s="41">
        <v>1</v>
      </c>
      <c r="ED58" s="56">
        <f t="shared" ref="ED58:ED66" si="134">ROUNDDOWN(EC58,0)</f>
        <v>1</v>
      </c>
      <c r="EE58" s="76"/>
      <c r="EF58" s="75"/>
      <c r="EG58" s="41">
        <v>1</v>
      </c>
      <c r="EH58" s="56">
        <f>ROUNDDOWN(EG58,0)</f>
        <v>1</v>
      </c>
      <c r="EI58" s="76">
        <v>10</v>
      </c>
      <c r="EJ58" s="75"/>
      <c r="EK58" s="41">
        <v>1</v>
      </c>
      <c r="EL58" s="56">
        <f t="shared" ref="EL58:EL63" si="135">ROUNDDOWN(EK58,0)</f>
        <v>1</v>
      </c>
      <c r="EM58" s="77">
        <v>3</v>
      </c>
      <c r="EN58" s="75"/>
      <c r="EO58" s="41">
        <v>1</v>
      </c>
      <c r="EP58" s="56">
        <f t="shared" ref="EP58:EP63" si="136">ROUNDDOWN(EO58,0)</f>
        <v>1</v>
      </c>
      <c r="EQ58" s="77"/>
      <c r="ER58" s="62"/>
      <c r="ES58" s="41">
        <v>1</v>
      </c>
      <c r="ET58" s="56">
        <f t="shared" ref="ET58:ET63" si="137">ROUNDDOWN(ES58,0)</f>
        <v>1</v>
      </c>
      <c r="EU58" s="77"/>
      <c r="EV58" s="48"/>
      <c r="EW58" s="41">
        <v>1</v>
      </c>
      <c r="EX58" s="56">
        <f t="shared" ref="EX58:EX63" si="138">ROUNDDOWN(EW58,0)</f>
        <v>1</v>
      </c>
      <c r="EY58" s="77"/>
      <c r="EZ58" s="48"/>
      <c r="FA58" s="41">
        <v>1</v>
      </c>
      <c r="FB58" s="56">
        <f t="shared" ref="FB58:FB63" si="139">ROUNDDOWN(FA58,0)</f>
        <v>1</v>
      </c>
      <c r="FC58" s="77"/>
      <c r="FD58" s="48"/>
      <c r="FE58" s="41">
        <v>1</v>
      </c>
      <c r="FF58" s="56">
        <f t="shared" ref="FF58:FF63" si="140">ROUNDDOWN(FE58,0)</f>
        <v>1</v>
      </c>
      <c r="FG58" s="77"/>
      <c r="FH58" s="48"/>
      <c r="FI58" s="41">
        <v>1</v>
      </c>
      <c r="FJ58" s="241">
        <f t="shared" ref="FJ58:FJ63" si="141">ROUNDDOWN(FI58,0)</f>
        <v>1</v>
      </c>
      <c r="FK58" s="80"/>
      <c r="FL58" s="48"/>
      <c r="FM58" s="41">
        <v>1</v>
      </c>
      <c r="FN58" s="241">
        <f t="shared" ref="FN58:FN63" si="142">ROUNDDOWN(FM58,0)</f>
        <v>1</v>
      </c>
      <c r="FO58" s="81"/>
      <c r="FP58" s="48"/>
      <c r="FQ58" s="54">
        <f t="shared" si="93"/>
        <v>12</v>
      </c>
      <c r="FR58" s="54">
        <f t="shared" si="94"/>
        <v>1334.04</v>
      </c>
      <c r="FS58" s="58" t="e">
        <v>#REF!</v>
      </c>
      <c r="FT58" s="56" t="e">
        <f t="shared" si="95"/>
        <v>#REF!</v>
      </c>
      <c r="FU58" s="76"/>
      <c r="FV58" s="75"/>
      <c r="FW58" s="58">
        <v>54.375</v>
      </c>
      <c r="FX58" s="56">
        <f t="shared" si="96"/>
        <v>54</v>
      </c>
      <c r="FY58" s="76"/>
      <c r="FZ58" s="75"/>
      <c r="GA58" s="82">
        <v>68.75</v>
      </c>
      <c r="GB58" s="56">
        <f t="shared" si="97"/>
        <v>68</v>
      </c>
      <c r="GC58" s="76"/>
      <c r="GD58" s="75"/>
      <c r="GE58" s="82">
        <v>68.75</v>
      </c>
      <c r="GF58" s="56">
        <f t="shared" si="98"/>
        <v>68</v>
      </c>
      <c r="GG58" s="76"/>
      <c r="GH58" s="75"/>
      <c r="GI58" s="82">
        <v>68.75</v>
      </c>
      <c r="GJ58" s="56">
        <f t="shared" si="99"/>
        <v>68</v>
      </c>
      <c r="GK58" s="77"/>
      <c r="GL58" s="75"/>
      <c r="GM58" s="82">
        <v>68.75</v>
      </c>
      <c r="GN58" s="56">
        <f t="shared" si="100"/>
        <v>68</v>
      </c>
      <c r="GO58" s="77"/>
      <c r="GP58" s="62"/>
      <c r="GQ58" s="82">
        <v>68.75</v>
      </c>
      <c r="GR58" s="56">
        <f t="shared" si="101"/>
        <v>68</v>
      </c>
      <c r="GS58" s="77"/>
      <c r="GT58" s="48"/>
      <c r="GU58" s="82">
        <v>68.75</v>
      </c>
      <c r="GV58" s="56">
        <f t="shared" si="102"/>
        <v>68</v>
      </c>
      <c r="GW58" s="77"/>
      <c r="GX58" s="48"/>
      <c r="GY58" s="82">
        <v>68.75</v>
      </c>
      <c r="GZ58" s="56">
        <f t="shared" si="103"/>
        <v>68</v>
      </c>
      <c r="HA58" s="77"/>
      <c r="HB58" s="48"/>
      <c r="HC58" s="82">
        <v>68.75</v>
      </c>
      <c r="HD58" s="56">
        <f t="shared" si="104"/>
        <v>68</v>
      </c>
      <c r="HE58" s="77"/>
      <c r="HF58" s="48"/>
      <c r="HG58" s="82">
        <v>68.75</v>
      </c>
      <c r="HH58" s="56">
        <f t="shared" si="105"/>
        <v>68</v>
      </c>
      <c r="HI58" s="80"/>
      <c r="HJ58" s="48"/>
      <c r="HK58" s="82">
        <v>68.75</v>
      </c>
      <c r="HL58" s="56">
        <f t="shared" si="106"/>
        <v>68</v>
      </c>
      <c r="HM58" s="81"/>
      <c r="HN58" s="48"/>
      <c r="HO58" s="54" t="e">
        <f t="shared" si="107"/>
        <v>#REF!</v>
      </c>
      <c r="HP58" s="54" t="e">
        <f t="shared" si="108"/>
        <v>#REF!</v>
      </c>
      <c r="HQ58" s="82">
        <v>68.75</v>
      </c>
      <c r="HR58" s="56">
        <f t="shared" si="109"/>
        <v>68</v>
      </c>
      <c r="HS58" s="76"/>
      <c r="HT58" s="75"/>
      <c r="HU58" s="82">
        <v>68.75</v>
      </c>
      <c r="HV58" s="56">
        <f t="shared" si="110"/>
        <v>68</v>
      </c>
      <c r="HW58" s="76"/>
      <c r="HX58" s="75"/>
      <c r="HY58" s="82">
        <v>68.75</v>
      </c>
      <c r="HZ58" s="56">
        <f t="shared" si="111"/>
        <v>68</v>
      </c>
      <c r="IA58" s="76"/>
      <c r="IB58" s="75"/>
      <c r="IC58" s="82">
        <v>68.75</v>
      </c>
      <c r="ID58" s="56">
        <f t="shared" si="112"/>
        <v>68</v>
      </c>
      <c r="IE58" s="76"/>
      <c r="IF58" s="75"/>
      <c r="IG58" s="82">
        <v>68.75</v>
      </c>
      <c r="IH58" s="56">
        <f t="shared" si="113"/>
        <v>68</v>
      </c>
      <c r="II58" s="77"/>
      <c r="IJ58" s="75"/>
      <c r="IK58" s="82">
        <v>68.75</v>
      </c>
      <c r="IL58" s="56">
        <f t="shared" si="114"/>
        <v>68</v>
      </c>
      <c r="IM58" s="77"/>
      <c r="IN58" s="62"/>
      <c r="IO58" s="82">
        <v>68.75</v>
      </c>
      <c r="IP58" s="56">
        <f t="shared" si="115"/>
        <v>68</v>
      </c>
      <c r="IQ58" s="77"/>
      <c r="IR58" s="48"/>
      <c r="IS58" s="82">
        <v>68.75</v>
      </c>
      <c r="IT58" s="56">
        <f t="shared" si="116"/>
        <v>68</v>
      </c>
      <c r="IU58" s="77"/>
      <c r="IV58" s="48"/>
      <c r="IW58" s="82">
        <v>68.75</v>
      </c>
      <c r="IX58" s="56">
        <f t="shared" si="117"/>
        <v>68</v>
      </c>
      <c r="IY58" s="77"/>
      <c r="IZ58" s="48"/>
      <c r="JA58" s="82">
        <v>68.75</v>
      </c>
      <c r="JB58" s="56">
        <f t="shared" si="118"/>
        <v>68</v>
      </c>
      <c r="JC58" s="77"/>
      <c r="JD58" s="48"/>
      <c r="JE58" s="82">
        <v>68.75</v>
      </c>
      <c r="JF58" s="56">
        <f t="shared" si="119"/>
        <v>68</v>
      </c>
      <c r="JG58" s="80"/>
      <c r="JH58" s="48"/>
      <c r="JI58" s="82">
        <v>68.75</v>
      </c>
      <c r="JJ58" s="56">
        <f t="shared" si="120"/>
        <v>68</v>
      </c>
      <c r="JK58" s="81"/>
      <c r="JL58" s="48"/>
      <c r="JM58" s="54">
        <f t="shared" si="121"/>
        <v>825</v>
      </c>
      <c r="JN58" s="54">
        <f t="shared" si="122"/>
        <v>91715.25</v>
      </c>
    </row>
    <row r="59" spans="1:274">
      <c r="A59" s="249"/>
      <c r="B59" s="250"/>
      <c r="C59" s="250"/>
      <c r="D59" s="249"/>
      <c r="E59" s="36">
        <v>54</v>
      </c>
      <c r="F59" s="37"/>
      <c r="G59" s="38">
        <v>4341001250</v>
      </c>
      <c r="H59" s="93" t="s">
        <v>95</v>
      </c>
      <c r="I59" s="94">
        <v>95.84</v>
      </c>
      <c r="J59" s="36"/>
      <c r="K59" s="73"/>
      <c r="L59" s="73"/>
      <c r="M59" s="74"/>
      <c r="N59" s="48"/>
      <c r="O59" s="88"/>
      <c r="P59" s="89"/>
      <c r="Q59" s="74"/>
      <c r="R59" s="48"/>
      <c r="S59" s="88"/>
      <c r="T59" s="89"/>
      <c r="U59" s="74"/>
      <c r="V59" s="48"/>
      <c r="W59" s="88"/>
      <c r="X59" s="89"/>
      <c r="Y59" s="74"/>
      <c r="Z59" s="48"/>
      <c r="AA59" s="76"/>
      <c r="AB59" s="89"/>
      <c r="AC59" s="74"/>
      <c r="AD59" s="48"/>
      <c r="AE59" s="88"/>
      <c r="AF59" s="89"/>
      <c r="AG59" s="74"/>
      <c r="AH59" s="48"/>
      <c r="AI59" s="76"/>
      <c r="AJ59" s="89"/>
      <c r="AK59" s="74"/>
      <c r="AL59" s="42"/>
      <c r="AM59" s="77"/>
      <c r="AN59" s="48"/>
      <c r="AO59" s="74"/>
      <c r="AP59" s="42"/>
      <c r="AQ59" s="43"/>
      <c r="AR59" s="79"/>
      <c r="AS59" s="74"/>
      <c r="AT59" s="75"/>
      <c r="AU59" s="77"/>
      <c r="AV59" s="48"/>
      <c r="AW59" s="74"/>
      <c r="AX59" s="75"/>
      <c r="AY59" s="77"/>
      <c r="AZ59" s="48"/>
      <c r="BA59" s="74"/>
      <c r="BB59" s="75"/>
      <c r="BC59" s="80"/>
      <c r="BD59" s="48"/>
      <c r="BE59" s="74"/>
      <c r="BF59" s="75"/>
      <c r="BG59" s="81"/>
      <c r="BH59" s="48"/>
      <c r="BI59" s="84"/>
      <c r="BJ59" s="54"/>
      <c r="BK59" s="74">
        <v>50</v>
      </c>
      <c r="BL59" s="55">
        <f t="shared" si="79"/>
        <v>45</v>
      </c>
      <c r="BM59" s="56">
        <v>50</v>
      </c>
      <c r="BN59" s="76">
        <v>0</v>
      </c>
      <c r="BO59" s="75"/>
      <c r="BP59" s="74">
        <v>50</v>
      </c>
      <c r="BQ59" s="55">
        <f t="shared" si="80"/>
        <v>45</v>
      </c>
      <c r="BR59" s="56">
        <v>50</v>
      </c>
      <c r="BS59" s="76">
        <v>0</v>
      </c>
      <c r="BT59" s="75"/>
      <c r="BU59" s="74">
        <v>50</v>
      </c>
      <c r="BV59" s="55">
        <f t="shared" si="81"/>
        <v>45</v>
      </c>
      <c r="BW59" s="56">
        <v>50</v>
      </c>
      <c r="BX59" s="76">
        <v>0</v>
      </c>
      <c r="BY59" s="75"/>
      <c r="BZ59" s="74">
        <v>50</v>
      </c>
      <c r="CA59" s="55">
        <f t="shared" si="82"/>
        <v>45</v>
      </c>
      <c r="CB59" s="56">
        <v>50</v>
      </c>
      <c r="CC59" s="76">
        <v>0</v>
      </c>
      <c r="CD59" s="75"/>
      <c r="CE59" s="74">
        <v>50</v>
      </c>
      <c r="CF59" s="55">
        <f t="shared" si="83"/>
        <v>45</v>
      </c>
      <c r="CG59" s="56">
        <v>50</v>
      </c>
      <c r="CH59" s="77">
        <v>0</v>
      </c>
      <c r="CI59" s="75"/>
      <c r="CJ59" s="74">
        <v>50</v>
      </c>
      <c r="CK59" s="55">
        <f t="shared" si="84"/>
        <v>45</v>
      </c>
      <c r="CL59" s="56">
        <v>50</v>
      </c>
      <c r="CM59" s="77">
        <v>3</v>
      </c>
      <c r="CN59" s="62"/>
      <c r="CO59" s="74">
        <v>50</v>
      </c>
      <c r="CP59" s="55">
        <f t="shared" si="85"/>
        <v>45</v>
      </c>
      <c r="CQ59" s="56">
        <v>50</v>
      </c>
      <c r="CR59" s="77">
        <v>10</v>
      </c>
      <c r="CS59" s="48"/>
      <c r="CT59" s="74">
        <v>50</v>
      </c>
      <c r="CU59" s="55">
        <f t="shared" si="86"/>
        <v>45</v>
      </c>
      <c r="CV59" s="56">
        <v>20</v>
      </c>
      <c r="CW59" s="77">
        <v>3</v>
      </c>
      <c r="CX59" s="48"/>
      <c r="CY59" s="74">
        <v>50</v>
      </c>
      <c r="CZ59" s="55">
        <f t="shared" si="87"/>
        <v>45</v>
      </c>
      <c r="DA59" s="56">
        <v>20</v>
      </c>
      <c r="DB59" s="77"/>
      <c r="DC59" s="48"/>
      <c r="DD59" s="74">
        <v>50</v>
      </c>
      <c r="DE59" s="55">
        <f t="shared" si="88"/>
        <v>45</v>
      </c>
      <c r="DF59" s="56">
        <v>20</v>
      </c>
      <c r="DG59" s="77"/>
      <c r="DH59" s="48"/>
      <c r="DI59" s="74">
        <v>50</v>
      </c>
      <c r="DJ59" s="55">
        <f t="shared" si="89"/>
        <v>45</v>
      </c>
      <c r="DK59" s="56">
        <v>20</v>
      </c>
      <c r="DL59" s="80"/>
      <c r="DM59" s="48"/>
      <c r="DN59" s="74">
        <v>50</v>
      </c>
      <c r="DO59" s="55">
        <f t="shared" si="90"/>
        <v>45</v>
      </c>
      <c r="DP59" s="56">
        <v>20</v>
      </c>
      <c r="DQ59" s="81">
        <v>5</v>
      </c>
      <c r="DR59" s="48"/>
      <c r="DS59" s="54">
        <f t="shared" si="91"/>
        <v>600</v>
      </c>
      <c r="DT59" s="54">
        <f t="shared" si="92"/>
        <v>57504</v>
      </c>
      <c r="DU59" s="41">
        <v>2</v>
      </c>
      <c r="DV59" s="56">
        <f t="shared" si="132"/>
        <v>2</v>
      </c>
      <c r="DW59" s="76"/>
      <c r="DX59" s="75"/>
      <c r="DY59" s="41">
        <v>2</v>
      </c>
      <c r="DZ59" s="56">
        <f t="shared" si="133"/>
        <v>2</v>
      </c>
      <c r="EA59" s="76">
        <v>5</v>
      </c>
      <c r="EB59" s="75"/>
      <c r="EC59" s="41">
        <v>2</v>
      </c>
      <c r="ED59" s="56">
        <f t="shared" si="134"/>
        <v>2</v>
      </c>
      <c r="EE59" s="76"/>
      <c r="EF59" s="75"/>
      <c r="EG59" s="41">
        <v>2</v>
      </c>
      <c r="EH59" s="56">
        <f>ROUNDDOWN(EG59,0)</f>
        <v>2</v>
      </c>
      <c r="EI59" s="76">
        <v>5</v>
      </c>
      <c r="EJ59" s="75"/>
      <c r="EK59" s="41">
        <v>2</v>
      </c>
      <c r="EL59" s="56">
        <f t="shared" si="135"/>
        <v>2</v>
      </c>
      <c r="EM59" s="77">
        <v>7</v>
      </c>
      <c r="EN59" s="75"/>
      <c r="EO59" s="41">
        <v>2</v>
      </c>
      <c r="EP59" s="56">
        <f t="shared" si="136"/>
        <v>2</v>
      </c>
      <c r="EQ59" s="77"/>
      <c r="ER59" s="62"/>
      <c r="ES59" s="41">
        <v>2</v>
      </c>
      <c r="ET59" s="56">
        <f t="shared" si="137"/>
        <v>2</v>
      </c>
      <c r="EU59" s="77"/>
      <c r="EV59" s="48"/>
      <c r="EW59" s="41">
        <v>2</v>
      </c>
      <c r="EX59" s="56">
        <f t="shared" si="138"/>
        <v>2</v>
      </c>
      <c r="EY59" s="77"/>
      <c r="EZ59" s="48"/>
      <c r="FA59" s="41">
        <v>2</v>
      </c>
      <c r="FB59" s="56">
        <f t="shared" si="139"/>
        <v>2</v>
      </c>
      <c r="FC59" s="77"/>
      <c r="FD59" s="48"/>
      <c r="FE59" s="41">
        <v>2</v>
      </c>
      <c r="FF59" s="56">
        <f t="shared" si="140"/>
        <v>2</v>
      </c>
      <c r="FG59" s="77"/>
      <c r="FH59" s="48"/>
      <c r="FI59" s="41">
        <v>2</v>
      </c>
      <c r="FJ59" s="241">
        <f t="shared" si="141"/>
        <v>2</v>
      </c>
      <c r="FK59" s="80"/>
      <c r="FL59" s="48"/>
      <c r="FM59" s="41">
        <v>2</v>
      </c>
      <c r="FN59" s="241">
        <f t="shared" si="142"/>
        <v>2</v>
      </c>
      <c r="FO59" s="81"/>
      <c r="FP59" s="48"/>
      <c r="FQ59" s="54">
        <f t="shared" si="93"/>
        <v>24</v>
      </c>
      <c r="FR59" s="54">
        <f t="shared" si="94"/>
        <v>2300.16</v>
      </c>
      <c r="FS59" s="58" t="e">
        <v>#REF!</v>
      </c>
      <c r="FT59" s="56" t="e">
        <f t="shared" si="95"/>
        <v>#REF!</v>
      </c>
      <c r="FU59" s="76"/>
      <c r="FV59" s="75"/>
      <c r="FW59" s="58">
        <v>54.375</v>
      </c>
      <c r="FX59" s="56">
        <f t="shared" si="96"/>
        <v>54</v>
      </c>
      <c r="FY59" s="76"/>
      <c r="FZ59" s="75"/>
      <c r="GA59" s="82">
        <v>68.75</v>
      </c>
      <c r="GB59" s="56">
        <f t="shared" si="97"/>
        <v>68</v>
      </c>
      <c r="GC59" s="76"/>
      <c r="GD59" s="75"/>
      <c r="GE59" s="82">
        <v>68.75</v>
      </c>
      <c r="GF59" s="56">
        <f t="shared" si="98"/>
        <v>68</v>
      </c>
      <c r="GG59" s="76"/>
      <c r="GH59" s="75"/>
      <c r="GI59" s="82">
        <v>68.75</v>
      </c>
      <c r="GJ59" s="56">
        <f t="shared" si="99"/>
        <v>68</v>
      </c>
      <c r="GK59" s="77"/>
      <c r="GL59" s="75"/>
      <c r="GM59" s="82">
        <v>68.75</v>
      </c>
      <c r="GN59" s="56">
        <f t="shared" si="100"/>
        <v>68</v>
      </c>
      <c r="GO59" s="77"/>
      <c r="GP59" s="62"/>
      <c r="GQ59" s="82">
        <v>68.75</v>
      </c>
      <c r="GR59" s="56">
        <f t="shared" si="101"/>
        <v>68</v>
      </c>
      <c r="GS59" s="77"/>
      <c r="GT59" s="48"/>
      <c r="GU59" s="82">
        <v>68.75</v>
      </c>
      <c r="GV59" s="56">
        <f t="shared" si="102"/>
        <v>68</v>
      </c>
      <c r="GW59" s="77"/>
      <c r="GX59" s="48"/>
      <c r="GY59" s="82">
        <v>68.75</v>
      </c>
      <c r="GZ59" s="56">
        <f t="shared" si="103"/>
        <v>68</v>
      </c>
      <c r="HA59" s="77"/>
      <c r="HB59" s="48"/>
      <c r="HC59" s="82">
        <v>68.75</v>
      </c>
      <c r="HD59" s="56">
        <f t="shared" si="104"/>
        <v>68</v>
      </c>
      <c r="HE59" s="77"/>
      <c r="HF59" s="48"/>
      <c r="HG59" s="82">
        <v>68.75</v>
      </c>
      <c r="HH59" s="56">
        <f t="shared" si="105"/>
        <v>68</v>
      </c>
      <c r="HI59" s="80"/>
      <c r="HJ59" s="48"/>
      <c r="HK59" s="82">
        <v>68.75</v>
      </c>
      <c r="HL59" s="56">
        <f t="shared" si="106"/>
        <v>68</v>
      </c>
      <c r="HM59" s="81"/>
      <c r="HN59" s="48"/>
      <c r="HO59" s="54" t="e">
        <f t="shared" si="107"/>
        <v>#REF!</v>
      </c>
      <c r="HP59" s="54" t="e">
        <f t="shared" si="108"/>
        <v>#REF!</v>
      </c>
      <c r="HQ59" s="82">
        <v>68.75</v>
      </c>
      <c r="HR59" s="56">
        <f t="shared" si="109"/>
        <v>68</v>
      </c>
      <c r="HS59" s="76"/>
      <c r="HT59" s="75"/>
      <c r="HU59" s="82">
        <v>68.75</v>
      </c>
      <c r="HV59" s="56">
        <f t="shared" si="110"/>
        <v>68</v>
      </c>
      <c r="HW59" s="76"/>
      <c r="HX59" s="75"/>
      <c r="HY59" s="82">
        <v>68.75</v>
      </c>
      <c r="HZ59" s="56">
        <f t="shared" si="111"/>
        <v>68</v>
      </c>
      <c r="IA59" s="76"/>
      <c r="IB59" s="75"/>
      <c r="IC59" s="82">
        <v>68.75</v>
      </c>
      <c r="ID59" s="56">
        <f t="shared" si="112"/>
        <v>68</v>
      </c>
      <c r="IE59" s="76"/>
      <c r="IF59" s="75"/>
      <c r="IG59" s="82">
        <v>68.75</v>
      </c>
      <c r="IH59" s="56">
        <f t="shared" si="113"/>
        <v>68</v>
      </c>
      <c r="II59" s="77"/>
      <c r="IJ59" s="75"/>
      <c r="IK59" s="82">
        <v>68.75</v>
      </c>
      <c r="IL59" s="56">
        <f t="shared" si="114"/>
        <v>68</v>
      </c>
      <c r="IM59" s="77"/>
      <c r="IN59" s="62"/>
      <c r="IO59" s="82">
        <v>68.75</v>
      </c>
      <c r="IP59" s="56">
        <f t="shared" si="115"/>
        <v>68</v>
      </c>
      <c r="IQ59" s="77"/>
      <c r="IR59" s="48"/>
      <c r="IS59" s="82">
        <v>68.75</v>
      </c>
      <c r="IT59" s="56">
        <f t="shared" si="116"/>
        <v>68</v>
      </c>
      <c r="IU59" s="77"/>
      <c r="IV59" s="48"/>
      <c r="IW59" s="82">
        <v>68.75</v>
      </c>
      <c r="IX59" s="56">
        <f t="shared" si="117"/>
        <v>68</v>
      </c>
      <c r="IY59" s="77"/>
      <c r="IZ59" s="48"/>
      <c r="JA59" s="82">
        <v>68.75</v>
      </c>
      <c r="JB59" s="56">
        <f t="shared" si="118"/>
        <v>68</v>
      </c>
      <c r="JC59" s="77"/>
      <c r="JD59" s="48"/>
      <c r="JE59" s="82">
        <v>68.75</v>
      </c>
      <c r="JF59" s="56">
        <f t="shared" si="119"/>
        <v>68</v>
      </c>
      <c r="JG59" s="80"/>
      <c r="JH59" s="48"/>
      <c r="JI59" s="82">
        <v>68.75</v>
      </c>
      <c r="JJ59" s="56">
        <f t="shared" si="120"/>
        <v>68</v>
      </c>
      <c r="JK59" s="81"/>
      <c r="JL59" s="48"/>
      <c r="JM59" s="54">
        <f t="shared" si="121"/>
        <v>825</v>
      </c>
      <c r="JN59" s="54">
        <f t="shared" si="122"/>
        <v>79068</v>
      </c>
    </row>
    <row r="60" spans="1:274">
      <c r="A60" s="249"/>
      <c r="B60" s="250"/>
      <c r="C60" s="250"/>
      <c r="D60" s="249"/>
      <c r="E60" s="36">
        <v>55</v>
      </c>
      <c r="F60" s="37"/>
      <c r="G60" s="38">
        <v>4006043270</v>
      </c>
      <c r="H60" s="93" t="s">
        <v>96</v>
      </c>
      <c r="I60" s="95">
        <v>42.98</v>
      </c>
      <c r="J60" s="96"/>
      <c r="K60" s="96"/>
      <c r="L60" s="96"/>
      <c r="M60" s="74"/>
      <c r="N60" s="48"/>
      <c r="O60" s="88"/>
      <c r="P60" s="89"/>
      <c r="Q60" s="74"/>
      <c r="R60" s="48"/>
      <c r="S60" s="88"/>
      <c r="T60" s="89"/>
      <c r="U60" s="74"/>
      <c r="V60" s="48"/>
      <c r="W60" s="88"/>
      <c r="X60" s="89"/>
      <c r="Y60" s="74"/>
      <c r="Z60" s="48"/>
      <c r="AA60" s="76"/>
      <c r="AB60" s="89"/>
      <c r="AC60" s="74"/>
      <c r="AD60" s="48"/>
      <c r="AE60" s="88"/>
      <c r="AF60" s="89"/>
      <c r="AG60" s="74"/>
      <c r="AH60" s="48"/>
      <c r="AI60" s="76"/>
      <c r="AJ60" s="89"/>
      <c r="AK60" s="74"/>
      <c r="AL60" s="42"/>
      <c r="AM60" s="77"/>
      <c r="AN60" s="48"/>
      <c r="AO60" s="74"/>
      <c r="AP60" s="42"/>
      <c r="AQ60" s="43"/>
      <c r="AR60" s="79"/>
      <c r="AS60" s="74"/>
      <c r="AT60" s="75"/>
      <c r="AU60" s="77"/>
      <c r="AV60" s="48"/>
      <c r="AW60" s="74"/>
      <c r="AX60" s="75"/>
      <c r="AY60" s="77"/>
      <c r="AZ60" s="48"/>
      <c r="BA60" s="74"/>
      <c r="BB60" s="75"/>
      <c r="BC60" s="80"/>
      <c r="BD60" s="48"/>
      <c r="BE60" s="74"/>
      <c r="BF60" s="75"/>
      <c r="BG60" s="81"/>
      <c r="BH60" s="48"/>
      <c r="BI60" s="84"/>
      <c r="BJ60" s="54"/>
      <c r="BK60" s="74">
        <v>100</v>
      </c>
      <c r="BL60" s="55">
        <f t="shared" si="79"/>
        <v>90</v>
      </c>
      <c r="BM60" s="56">
        <v>100</v>
      </c>
      <c r="BN60" s="76">
        <v>0</v>
      </c>
      <c r="BO60" s="75"/>
      <c r="BP60" s="74">
        <v>100</v>
      </c>
      <c r="BQ60" s="55">
        <f t="shared" si="80"/>
        <v>90</v>
      </c>
      <c r="BR60" s="56">
        <v>100</v>
      </c>
      <c r="BS60" s="76">
        <v>0</v>
      </c>
      <c r="BT60" s="75"/>
      <c r="BU60" s="74">
        <v>100</v>
      </c>
      <c r="BV60" s="55">
        <f t="shared" si="81"/>
        <v>90</v>
      </c>
      <c r="BW60" s="56">
        <v>100</v>
      </c>
      <c r="BX60" s="76">
        <v>0</v>
      </c>
      <c r="BY60" s="75"/>
      <c r="BZ60" s="74">
        <v>100</v>
      </c>
      <c r="CA60" s="55">
        <f t="shared" si="82"/>
        <v>90</v>
      </c>
      <c r="CB60" s="56">
        <v>50</v>
      </c>
      <c r="CC60" s="76">
        <v>2</v>
      </c>
      <c r="CD60" s="75"/>
      <c r="CE60" s="74">
        <v>100</v>
      </c>
      <c r="CF60" s="55">
        <f t="shared" si="83"/>
        <v>90</v>
      </c>
      <c r="CG60" s="56">
        <v>50</v>
      </c>
      <c r="CH60" s="77">
        <v>4</v>
      </c>
      <c r="CI60" s="75"/>
      <c r="CJ60" s="74">
        <v>100</v>
      </c>
      <c r="CK60" s="55">
        <f t="shared" si="84"/>
        <v>90</v>
      </c>
      <c r="CL60" s="56">
        <v>50</v>
      </c>
      <c r="CM60" s="77">
        <v>3</v>
      </c>
      <c r="CN60" s="62"/>
      <c r="CO60" s="74">
        <v>100</v>
      </c>
      <c r="CP60" s="55">
        <f t="shared" si="85"/>
        <v>90</v>
      </c>
      <c r="CQ60" s="56">
        <v>50</v>
      </c>
      <c r="CR60" s="77">
        <v>1</v>
      </c>
      <c r="CS60" s="48"/>
      <c r="CT60" s="74">
        <v>100</v>
      </c>
      <c r="CU60" s="55">
        <f t="shared" si="86"/>
        <v>90</v>
      </c>
      <c r="CV60" s="56">
        <v>20</v>
      </c>
      <c r="CW60" s="77">
        <v>20</v>
      </c>
      <c r="CX60" s="48"/>
      <c r="CY60" s="74">
        <v>100</v>
      </c>
      <c r="CZ60" s="55">
        <f t="shared" si="87"/>
        <v>90</v>
      </c>
      <c r="DA60" s="56">
        <v>20</v>
      </c>
      <c r="DB60" s="77"/>
      <c r="DC60" s="48"/>
      <c r="DD60" s="74">
        <v>100</v>
      </c>
      <c r="DE60" s="55">
        <f t="shared" si="88"/>
        <v>90</v>
      </c>
      <c r="DF60" s="56">
        <v>20</v>
      </c>
      <c r="DG60" s="77">
        <v>5</v>
      </c>
      <c r="DH60" s="48"/>
      <c r="DI60" s="74">
        <v>100</v>
      </c>
      <c r="DJ60" s="55">
        <f t="shared" si="89"/>
        <v>90</v>
      </c>
      <c r="DK60" s="56">
        <v>20</v>
      </c>
      <c r="DL60" s="80"/>
      <c r="DM60" s="48"/>
      <c r="DN60" s="74">
        <v>100</v>
      </c>
      <c r="DO60" s="55">
        <f t="shared" si="90"/>
        <v>90</v>
      </c>
      <c r="DP60" s="56">
        <v>20</v>
      </c>
      <c r="DQ60" s="81">
        <v>3</v>
      </c>
      <c r="DR60" s="48"/>
      <c r="DS60" s="54">
        <f t="shared" si="91"/>
        <v>1200</v>
      </c>
      <c r="DT60" s="54">
        <f t="shared" si="92"/>
        <v>51575.999999999993</v>
      </c>
      <c r="DU60" s="41">
        <v>3</v>
      </c>
      <c r="DV60" s="56">
        <f t="shared" si="132"/>
        <v>3</v>
      </c>
      <c r="DW60" s="76"/>
      <c r="DX60" s="75"/>
      <c r="DY60" s="41">
        <v>3</v>
      </c>
      <c r="DZ60" s="56">
        <f t="shared" si="133"/>
        <v>3</v>
      </c>
      <c r="EA60" s="76">
        <v>5</v>
      </c>
      <c r="EB60" s="75"/>
      <c r="EC60" s="41">
        <v>3</v>
      </c>
      <c r="ED60" s="56">
        <f t="shared" si="134"/>
        <v>3</v>
      </c>
      <c r="EE60" s="76">
        <v>5</v>
      </c>
      <c r="EF60" s="75"/>
      <c r="EG60" s="41">
        <v>3</v>
      </c>
      <c r="EH60" s="56">
        <v>100</v>
      </c>
      <c r="EI60" s="76">
        <v>118</v>
      </c>
      <c r="EJ60" s="75"/>
      <c r="EK60" s="41">
        <v>3</v>
      </c>
      <c r="EL60" s="56">
        <f t="shared" si="135"/>
        <v>3</v>
      </c>
      <c r="EM60" s="77">
        <v>5</v>
      </c>
      <c r="EN60" s="75"/>
      <c r="EO60" s="41">
        <v>3</v>
      </c>
      <c r="EP60" s="56">
        <v>65</v>
      </c>
      <c r="EQ60" s="77"/>
      <c r="ER60" s="62"/>
      <c r="ES60" s="41">
        <v>3</v>
      </c>
      <c r="ET60" s="56">
        <v>40</v>
      </c>
      <c r="EU60" s="77"/>
      <c r="EV60" s="48"/>
      <c r="EW60" s="41">
        <v>3</v>
      </c>
      <c r="EX60" s="56">
        <v>40</v>
      </c>
      <c r="EY60" s="77"/>
      <c r="EZ60" s="48"/>
      <c r="FA60" s="41">
        <v>3</v>
      </c>
      <c r="FB60" s="56">
        <v>40</v>
      </c>
      <c r="FC60" s="77"/>
      <c r="FD60" s="48"/>
      <c r="FE60" s="41">
        <v>3</v>
      </c>
      <c r="FF60" s="56">
        <v>40</v>
      </c>
      <c r="FG60" s="77"/>
      <c r="FH60" s="48"/>
      <c r="FI60" s="41">
        <v>3</v>
      </c>
      <c r="FJ60" s="241">
        <v>40</v>
      </c>
      <c r="FK60" s="80"/>
      <c r="FL60" s="48"/>
      <c r="FM60" s="41">
        <v>3</v>
      </c>
      <c r="FN60" s="241">
        <v>40</v>
      </c>
      <c r="FO60" s="81"/>
      <c r="FP60" s="48"/>
      <c r="FQ60" s="54">
        <f t="shared" si="93"/>
        <v>36</v>
      </c>
      <c r="FR60" s="54">
        <f t="shared" si="94"/>
        <v>1547.28</v>
      </c>
      <c r="FS60" s="58" t="e">
        <v>#REF!</v>
      </c>
      <c r="FT60" s="56" t="e">
        <f t="shared" si="95"/>
        <v>#REF!</v>
      </c>
      <c r="FU60" s="76"/>
      <c r="FV60" s="75"/>
      <c r="FW60" s="58">
        <v>108.75</v>
      </c>
      <c r="FX60" s="56">
        <f t="shared" si="96"/>
        <v>108</v>
      </c>
      <c r="FY60" s="76"/>
      <c r="FZ60" s="75"/>
      <c r="GA60" s="82">
        <v>137.5</v>
      </c>
      <c r="GB60" s="56">
        <f t="shared" si="97"/>
        <v>137</v>
      </c>
      <c r="GC60" s="76"/>
      <c r="GD60" s="75"/>
      <c r="GE60" s="82">
        <v>137.5</v>
      </c>
      <c r="GF60" s="56">
        <f t="shared" si="98"/>
        <v>137</v>
      </c>
      <c r="GG60" s="76"/>
      <c r="GH60" s="75"/>
      <c r="GI60" s="82">
        <v>137.5</v>
      </c>
      <c r="GJ60" s="56">
        <f t="shared" si="99"/>
        <v>137</v>
      </c>
      <c r="GK60" s="77"/>
      <c r="GL60" s="75"/>
      <c r="GM60" s="82">
        <v>137.5</v>
      </c>
      <c r="GN60" s="56">
        <f t="shared" si="100"/>
        <v>137</v>
      </c>
      <c r="GO60" s="77"/>
      <c r="GP60" s="62"/>
      <c r="GQ60" s="82">
        <v>137.5</v>
      </c>
      <c r="GR60" s="56">
        <f t="shared" si="101"/>
        <v>137</v>
      </c>
      <c r="GS60" s="77"/>
      <c r="GT60" s="48"/>
      <c r="GU60" s="82">
        <v>137.5</v>
      </c>
      <c r="GV60" s="56">
        <f t="shared" si="102"/>
        <v>137</v>
      </c>
      <c r="GW60" s="77"/>
      <c r="GX60" s="48"/>
      <c r="GY60" s="82">
        <v>137.5</v>
      </c>
      <c r="GZ60" s="56">
        <f t="shared" si="103"/>
        <v>137</v>
      </c>
      <c r="HA60" s="77"/>
      <c r="HB60" s="48"/>
      <c r="HC60" s="82">
        <v>137.5</v>
      </c>
      <c r="HD60" s="56">
        <f t="shared" si="104"/>
        <v>137</v>
      </c>
      <c r="HE60" s="77"/>
      <c r="HF60" s="48"/>
      <c r="HG60" s="82">
        <v>137.5</v>
      </c>
      <c r="HH60" s="56">
        <f t="shared" si="105"/>
        <v>137</v>
      </c>
      <c r="HI60" s="80"/>
      <c r="HJ60" s="48"/>
      <c r="HK60" s="82">
        <v>137.5</v>
      </c>
      <c r="HL60" s="56">
        <f t="shared" si="106"/>
        <v>137</v>
      </c>
      <c r="HM60" s="81"/>
      <c r="HN60" s="48"/>
      <c r="HO60" s="54" t="e">
        <f t="shared" si="107"/>
        <v>#REF!</v>
      </c>
      <c r="HP60" s="54" t="e">
        <f t="shared" si="108"/>
        <v>#REF!</v>
      </c>
      <c r="HQ60" s="82">
        <v>137.5</v>
      </c>
      <c r="HR60" s="56">
        <f t="shared" si="109"/>
        <v>137</v>
      </c>
      <c r="HS60" s="76"/>
      <c r="HT60" s="75"/>
      <c r="HU60" s="82">
        <v>137.5</v>
      </c>
      <c r="HV60" s="56">
        <f t="shared" si="110"/>
        <v>137</v>
      </c>
      <c r="HW60" s="76"/>
      <c r="HX60" s="75"/>
      <c r="HY60" s="82">
        <v>137.5</v>
      </c>
      <c r="HZ60" s="56">
        <f t="shared" si="111"/>
        <v>137</v>
      </c>
      <c r="IA60" s="76"/>
      <c r="IB60" s="75"/>
      <c r="IC60" s="82">
        <v>137.5</v>
      </c>
      <c r="ID60" s="56">
        <f t="shared" si="112"/>
        <v>137</v>
      </c>
      <c r="IE60" s="76"/>
      <c r="IF60" s="75"/>
      <c r="IG60" s="82">
        <v>137.5</v>
      </c>
      <c r="IH60" s="56">
        <f t="shared" si="113"/>
        <v>137</v>
      </c>
      <c r="II60" s="77"/>
      <c r="IJ60" s="75"/>
      <c r="IK60" s="82">
        <v>137.5</v>
      </c>
      <c r="IL60" s="56">
        <f t="shared" si="114"/>
        <v>137</v>
      </c>
      <c r="IM60" s="77"/>
      <c r="IN60" s="62"/>
      <c r="IO60" s="82">
        <v>137.5</v>
      </c>
      <c r="IP60" s="56">
        <f t="shared" si="115"/>
        <v>137</v>
      </c>
      <c r="IQ60" s="77"/>
      <c r="IR60" s="48"/>
      <c r="IS60" s="82">
        <v>137.5</v>
      </c>
      <c r="IT60" s="56">
        <f t="shared" si="116"/>
        <v>137</v>
      </c>
      <c r="IU60" s="77"/>
      <c r="IV60" s="48"/>
      <c r="IW60" s="82">
        <v>137.5</v>
      </c>
      <c r="IX60" s="56">
        <f t="shared" si="117"/>
        <v>137</v>
      </c>
      <c r="IY60" s="77"/>
      <c r="IZ60" s="48"/>
      <c r="JA60" s="82">
        <v>137.5</v>
      </c>
      <c r="JB60" s="56">
        <f t="shared" si="118"/>
        <v>137</v>
      </c>
      <c r="JC60" s="77"/>
      <c r="JD60" s="48"/>
      <c r="JE60" s="82">
        <v>137.5</v>
      </c>
      <c r="JF60" s="56">
        <f t="shared" si="119"/>
        <v>137</v>
      </c>
      <c r="JG60" s="80"/>
      <c r="JH60" s="48"/>
      <c r="JI60" s="82">
        <v>137.5</v>
      </c>
      <c r="JJ60" s="56">
        <f t="shared" si="120"/>
        <v>137</v>
      </c>
      <c r="JK60" s="81"/>
      <c r="JL60" s="48"/>
      <c r="JM60" s="54">
        <f t="shared" si="121"/>
        <v>1650</v>
      </c>
      <c r="JN60" s="54">
        <f t="shared" si="122"/>
        <v>70917</v>
      </c>
    </row>
    <row r="61" spans="1:274">
      <c r="A61" s="249"/>
      <c r="B61" s="250"/>
      <c r="C61" s="250"/>
      <c r="D61" s="249"/>
      <c r="E61" s="36">
        <v>56</v>
      </c>
      <c r="F61" s="37"/>
      <c r="G61" s="38">
        <v>4006043280</v>
      </c>
      <c r="H61" s="93" t="s">
        <v>97</v>
      </c>
      <c r="I61" s="95">
        <v>42.98</v>
      </c>
      <c r="J61" s="96"/>
      <c r="K61" s="96"/>
      <c r="L61" s="96"/>
      <c r="M61" s="74"/>
      <c r="N61" s="48"/>
      <c r="O61" s="88"/>
      <c r="P61" s="89"/>
      <c r="Q61" s="74"/>
      <c r="R61" s="48"/>
      <c r="S61" s="88"/>
      <c r="T61" s="89"/>
      <c r="U61" s="74"/>
      <c r="V61" s="48"/>
      <c r="W61" s="88"/>
      <c r="X61" s="89"/>
      <c r="Y61" s="74"/>
      <c r="Z61" s="48"/>
      <c r="AA61" s="76"/>
      <c r="AB61" s="89"/>
      <c r="AC61" s="74"/>
      <c r="AD61" s="48"/>
      <c r="AE61" s="88"/>
      <c r="AF61" s="89"/>
      <c r="AG61" s="74"/>
      <c r="AH61" s="48"/>
      <c r="AI61" s="76"/>
      <c r="AJ61" s="89"/>
      <c r="AK61" s="74"/>
      <c r="AL61" s="42"/>
      <c r="AM61" s="77"/>
      <c r="AN61" s="48"/>
      <c r="AO61" s="74"/>
      <c r="AP61" s="42"/>
      <c r="AQ61" s="43"/>
      <c r="AR61" s="79"/>
      <c r="AS61" s="74"/>
      <c r="AT61" s="75"/>
      <c r="AU61" s="77"/>
      <c r="AV61" s="48"/>
      <c r="AW61" s="74"/>
      <c r="AX61" s="75"/>
      <c r="AY61" s="77"/>
      <c r="AZ61" s="48"/>
      <c r="BA61" s="74"/>
      <c r="BB61" s="75"/>
      <c r="BC61" s="80"/>
      <c r="BD61" s="48"/>
      <c r="BE61" s="74"/>
      <c r="BF61" s="75"/>
      <c r="BG61" s="81"/>
      <c r="BH61" s="48"/>
      <c r="BI61" s="84"/>
      <c r="BJ61" s="54"/>
      <c r="BK61" s="74">
        <v>100</v>
      </c>
      <c r="BL61" s="55">
        <f t="shared" si="79"/>
        <v>90</v>
      </c>
      <c r="BM61" s="56">
        <v>100</v>
      </c>
      <c r="BN61" s="76">
        <v>0</v>
      </c>
      <c r="BO61" s="75"/>
      <c r="BP61" s="74">
        <v>100</v>
      </c>
      <c r="BQ61" s="55">
        <f t="shared" si="80"/>
        <v>90</v>
      </c>
      <c r="BR61" s="56">
        <v>100</v>
      </c>
      <c r="BS61" s="76">
        <v>0</v>
      </c>
      <c r="BT61" s="75"/>
      <c r="BU61" s="74">
        <v>100</v>
      </c>
      <c r="BV61" s="55">
        <f t="shared" si="81"/>
        <v>90</v>
      </c>
      <c r="BW61" s="56">
        <v>100</v>
      </c>
      <c r="BX61" s="76">
        <v>0</v>
      </c>
      <c r="BY61" s="75"/>
      <c r="BZ61" s="74">
        <v>100</v>
      </c>
      <c r="CA61" s="55">
        <f t="shared" si="82"/>
        <v>90</v>
      </c>
      <c r="CB61" s="56">
        <v>50</v>
      </c>
      <c r="CC61" s="76">
        <v>2</v>
      </c>
      <c r="CD61" s="75"/>
      <c r="CE61" s="74">
        <v>100</v>
      </c>
      <c r="CF61" s="55">
        <f t="shared" si="83"/>
        <v>90</v>
      </c>
      <c r="CG61" s="56">
        <v>50</v>
      </c>
      <c r="CH61" s="77">
        <v>4</v>
      </c>
      <c r="CI61" s="75"/>
      <c r="CJ61" s="74">
        <v>100</v>
      </c>
      <c r="CK61" s="55">
        <f t="shared" si="84"/>
        <v>90</v>
      </c>
      <c r="CL61" s="56">
        <v>50</v>
      </c>
      <c r="CM61" s="77">
        <v>3</v>
      </c>
      <c r="CN61" s="62"/>
      <c r="CO61" s="74">
        <v>100</v>
      </c>
      <c r="CP61" s="55">
        <f t="shared" si="85"/>
        <v>90</v>
      </c>
      <c r="CQ61" s="56">
        <v>50</v>
      </c>
      <c r="CR61" s="77">
        <v>1</v>
      </c>
      <c r="CS61" s="48"/>
      <c r="CT61" s="74">
        <v>100</v>
      </c>
      <c r="CU61" s="55">
        <f t="shared" si="86"/>
        <v>90</v>
      </c>
      <c r="CV61" s="56">
        <v>20</v>
      </c>
      <c r="CW61" s="77">
        <v>20</v>
      </c>
      <c r="CX61" s="48"/>
      <c r="CY61" s="74">
        <v>100</v>
      </c>
      <c r="CZ61" s="55">
        <f t="shared" si="87"/>
        <v>90</v>
      </c>
      <c r="DA61" s="56">
        <v>20</v>
      </c>
      <c r="DB61" s="77"/>
      <c r="DC61" s="48"/>
      <c r="DD61" s="74">
        <v>100</v>
      </c>
      <c r="DE61" s="55">
        <f t="shared" si="88"/>
        <v>90</v>
      </c>
      <c r="DF61" s="56">
        <v>20</v>
      </c>
      <c r="DG61" s="77">
        <v>5</v>
      </c>
      <c r="DH61" s="48"/>
      <c r="DI61" s="74">
        <v>100</v>
      </c>
      <c r="DJ61" s="55">
        <f t="shared" si="89"/>
        <v>90</v>
      </c>
      <c r="DK61" s="56">
        <v>20</v>
      </c>
      <c r="DL61" s="80"/>
      <c r="DM61" s="48"/>
      <c r="DN61" s="74">
        <v>100</v>
      </c>
      <c r="DO61" s="55">
        <f t="shared" si="90"/>
        <v>90</v>
      </c>
      <c r="DP61" s="56">
        <v>20</v>
      </c>
      <c r="DQ61" s="81">
        <v>3</v>
      </c>
      <c r="DR61" s="48"/>
      <c r="DS61" s="54">
        <f t="shared" si="91"/>
        <v>1200</v>
      </c>
      <c r="DT61" s="54">
        <f t="shared" si="92"/>
        <v>51575.999999999993</v>
      </c>
      <c r="DU61" s="41">
        <v>3</v>
      </c>
      <c r="DV61" s="56">
        <f t="shared" si="132"/>
        <v>3</v>
      </c>
      <c r="DW61" s="76"/>
      <c r="DX61" s="75"/>
      <c r="DY61" s="41">
        <v>3</v>
      </c>
      <c r="DZ61" s="56">
        <f t="shared" si="133"/>
        <v>3</v>
      </c>
      <c r="EA61" s="76">
        <v>5</v>
      </c>
      <c r="EB61" s="75"/>
      <c r="EC61" s="41">
        <v>3</v>
      </c>
      <c r="ED61" s="56">
        <f t="shared" si="134"/>
        <v>3</v>
      </c>
      <c r="EE61" s="76">
        <v>10</v>
      </c>
      <c r="EF61" s="75"/>
      <c r="EG61" s="41">
        <v>3</v>
      </c>
      <c r="EH61" s="56">
        <v>5</v>
      </c>
      <c r="EI61" s="76">
        <v>20</v>
      </c>
      <c r="EJ61" s="75"/>
      <c r="EK61" s="41">
        <v>3</v>
      </c>
      <c r="EL61" s="56">
        <f t="shared" si="135"/>
        <v>3</v>
      </c>
      <c r="EM61" s="77">
        <v>30</v>
      </c>
      <c r="EN61" s="75"/>
      <c r="EO61" s="41">
        <v>3</v>
      </c>
      <c r="EP61" s="56">
        <v>20</v>
      </c>
      <c r="EQ61" s="77"/>
      <c r="ER61" s="62"/>
      <c r="ES61" s="41">
        <v>3</v>
      </c>
      <c r="ET61" s="56">
        <v>40</v>
      </c>
      <c r="EU61" s="77"/>
      <c r="EV61" s="48"/>
      <c r="EW61" s="41">
        <v>3</v>
      </c>
      <c r="EX61" s="56">
        <v>40</v>
      </c>
      <c r="EY61" s="77"/>
      <c r="EZ61" s="48"/>
      <c r="FA61" s="41">
        <v>3</v>
      </c>
      <c r="FB61" s="56">
        <v>40</v>
      </c>
      <c r="FC61" s="77"/>
      <c r="FD61" s="48"/>
      <c r="FE61" s="41">
        <v>3</v>
      </c>
      <c r="FF61" s="56">
        <v>40</v>
      </c>
      <c r="FG61" s="77"/>
      <c r="FH61" s="48"/>
      <c r="FI61" s="41">
        <v>3</v>
      </c>
      <c r="FJ61" s="241">
        <v>40</v>
      </c>
      <c r="FK61" s="80"/>
      <c r="FL61" s="48"/>
      <c r="FM61" s="41">
        <v>3</v>
      </c>
      <c r="FN61" s="241">
        <v>40</v>
      </c>
      <c r="FO61" s="81"/>
      <c r="FP61" s="48"/>
      <c r="FQ61" s="54">
        <f t="shared" si="93"/>
        <v>36</v>
      </c>
      <c r="FR61" s="54">
        <f t="shared" si="94"/>
        <v>1547.28</v>
      </c>
      <c r="FS61" s="58" t="e">
        <v>#REF!</v>
      </c>
      <c r="FT61" s="56" t="e">
        <f t="shared" si="95"/>
        <v>#REF!</v>
      </c>
      <c r="FU61" s="76"/>
      <c r="FV61" s="75"/>
      <c r="FW61" s="58">
        <v>108.75</v>
      </c>
      <c r="FX61" s="56">
        <f t="shared" si="96"/>
        <v>108</v>
      </c>
      <c r="FY61" s="76"/>
      <c r="FZ61" s="75"/>
      <c r="GA61" s="82">
        <v>137.5</v>
      </c>
      <c r="GB61" s="56">
        <f t="shared" si="97"/>
        <v>137</v>
      </c>
      <c r="GC61" s="76"/>
      <c r="GD61" s="75"/>
      <c r="GE61" s="82">
        <v>137.5</v>
      </c>
      <c r="GF61" s="56">
        <f t="shared" si="98"/>
        <v>137</v>
      </c>
      <c r="GG61" s="76"/>
      <c r="GH61" s="75"/>
      <c r="GI61" s="82">
        <v>137.5</v>
      </c>
      <c r="GJ61" s="56">
        <f t="shared" si="99"/>
        <v>137</v>
      </c>
      <c r="GK61" s="77"/>
      <c r="GL61" s="75"/>
      <c r="GM61" s="82">
        <v>137.5</v>
      </c>
      <c r="GN61" s="56">
        <f t="shared" si="100"/>
        <v>137</v>
      </c>
      <c r="GO61" s="77"/>
      <c r="GP61" s="62"/>
      <c r="GQ61" s="82">
        <v>137.5</v>
      </c>
      <c r="GR61" s="56">
        <f t="shared" si="101"/>
        <v>137</v>
      </c>
      <c r="GS61" s="77"/>
      <c r="GT61" s="48"/>
      <c r="GU61" s="82">
        <v>137.5</v>
      </c>
      <c r="GV61" s="56">
        <f t="shared" si="102"/>
        <v>137</v>
      </c>
      <c r="GW61" s="77"/>
      <c r="GX61" s="48"/>
      <c r="GY61" s="82">
        <v>137.5</v>
      </c>
      <c r="GZ61" s="56">
        <f t="shared" si="103"/>
        <v>137</v>
      </c>
      <c r="HA61" s="77"/>
      <c r="HB61" s="48"/>
      <c r="HC61" s="82">
        <v>137.5</v>
      </c>
      <c r="HD61" s="56">
        <f t="shared" si="104"/>
        <v>137</v>
      </c>
      <c r="HE61" s="77"/>
      <c r="HF61" s="48"/>
      <c r="HG61" s="82">
        <v>137.5</v>
      </c>
      <c r="HH61" s="56">
        <f t="shared" si="105"/>
        <v>137</v>
      </c>
      <c r="HI61" s="80"/>
      <c r="HJ61" s="48"/>
      <c r="HK61" s="82">
        <v>137.5</v>
      </c>
      <c r="HL61" s="56">
        <f t="shared" si="106"/>
        <v>137</v>
      </c>
      <c r="HM61" s="81"/>
      <c r="HN61" s="48"/>
      <c r="HO61" s="54" t="e">
        <f t="shared" si="107"/>
        <v>#REF!</v>
      </c>
      <c r="HP61" s="54" t="e">
        <f t="shared" si="108"/>
        <v>#REF!</v>
      </c>
      <c r="HQ61" s="82">
        <v>137.5</v>
      </c>
      <c r="HR61" s="56">
        <f t="shared" si="109"/>
        <v>137</v>
      </c>
      <c r="HS61" s="76"/>
      <c r="HT61" s="75"/>
      <c r="HU61" s="82">
        <v>137.5</v>
      </c>
      <c r="HV61" s="56">
        <f t="shared" si="110"/>
        <v>137</v>
      </c>
      <c r="HW61" s="76"/>
      <c r="HX61" s="75"/>
      <c r="HY61" s="82">
        <v>137.5</v>
      </c>
      <c r="HZ61" s="56">
        <f t="shared" si="111"/>
        <v>137</v>
      </c>
      <c r="IA61" s="76"/>
      <c r="IB61" s="75"/>
      <c r="IC61" s="82">
        <v>137.5</v>
      </c>
      <c r="ID61" s="56">
        <f t="shared" si="112"/>
        <v>137</v>
      </c>
      <c r="IE61" s="76"/>
      <c r="IF61" s="75"/>
      <c r="IG61" s="82">
        <v>137.5</v>
      </c>
      <c r="IH61" s="56">
        <f t="shared" si="113"/>
        <v>137</v>
      </c>
      <c r="II61" s="77"/>
      <c r="IJ61" s="75"/>
      <c r="IK61" s="82">
        <v>137.5</v>
      </c>
      <c r="IL61" s="56">
        <f t="shared" si="114"/>
        <v>137</v>
      </c>
      <c r="IM61" s="77"/>
      <c r="IN61" s="62"/>
      <c r="IO61" s="82">
        <v>137.5</v>
      </c>
      <c r="IP61" s="56">
        <f t="shared" si="115"/>
        <v>137</v>
      </c>
      <c r="IQ61" s="77"/>
      <c r="IR61" s="48"/>
      <c r="IS61" s="82">
        <v>137.5</v>
      </c>
      <c r="IT61" s="56">
        <f t="shared" si="116"/>
        <v>137</v>
      </c>
      <c r="IU61" s="77"/>
      <c r="IV61" s="48"/>
      <c r="IW61" s="82">
        <v>137.5</v>
      </c>
      <c r="IX61" s="56">
        <f t="shared" si="117"/>
        <v>137</v>
      </c>
      <c r="IY61" s="77"/>
      <c r="IZ61" s="48"/>
      <c r="JA61" s="82">
        <v>137.5</v>
      </c>
      <c r="JB61" s="56">
        <f t="shared" si="118"/>
        <v>137</v>
      </c>
      <c r="JC61" s="77"/>
      <c r="JD61" s="48"/>
      <c r="JE61" s="82">
        <v>137.5</v>
      </c>
      <c r="JF61" s="56">
        <f t="shared" si="119"/>
        <v>137</v>
      </c>
      <c r="JG61" s="80"/>
      <c r="JH61" s="48"/>
      <c r="JI61" s="82">
        <v>137.5</v>
      </c>
      <c r="JJ61" s="56">
        <f t="shared" si="120"/>
        <v>137</v>
      </c>
      <c r="JK61" s="81"/>
      <c r="JL61" s="48"/>
      <c r="JM61" s="54">
        <f t="shared" si="121"/>
        <v>1650</v>
      </c>
      <c r="JN61" s="54">
        <f t="shared" si="122"/>
        <v>70917</v>
      </c>
    </row>
    <row r="62" spans="1:274">
      <c r="A62" s="249"/>
      <c r="B62" s="250"/>
      <c r="C62" s="250"/>
      <c r="D62" s="249"/>
      <c r="E62" s="36">
        <v>57</v>
      </c>
      <c r="F62" s="37"/>
      <c r="G62" s="38">
        <v>4006043290</v>
      </c>
      <c r="H62" s="93" t="s">
        <v>98</v>
      </c>
      <c r="I62" s="95">
        <v>42.98</v>
      </c>
      <c r="J62" s="96"/>
      <c r="K62" s="96"/>
      <c r="L62" s="96"/>
      <c r="M62" s="74"/>
      <c r="N62" s="48"/>
      <c r="O62" s="88"/>
      <c r="P62" s="89"/>
      <c r="Q62" s="74"/>
      <c r="R62" s="48"/>
      <c r="S62" s="88"/>
      <c r="T62" s="89"/>
      <c r="U62" s="74"/>
      <c r="V62" s="48"/>
      <c r="W62" s="88"/>
      <c r="X62" s="89"/>
      <c r="Y62" s="74"/>
      <c r="Z62" s="48"/>
      <c r="AA62" s="76"/>
      <c r="AB62" s="89"/>
      <c r="AC62" s="74"/>
      <c r="AD62" s="48"/>
      <c r="AE62" s="88"/>
      <c r="AF62" s="89"/>
      <c r="AG62" s="74"/>
      <c r="AH62" s="48"/>
      <c r="AI62" s="76"/>
      <c r="AJ62" s="89"/>
      <c r="AK62" s="74"/>
      <c r="AL62" s="42"/>
      <c r="AM62" s="77"/>
      <c r="AN62" s="48"/>
      <c r="AO62" s="74"/>
      <c r="AP62" s="42"/>
      <c r="AQ62" s="43"/>
      <c r="AR62" s="79"/>
      <c r="AS62" s="74"/>
      <c r="AT62" s="75"/>
      <c r="AU62" s="77"/>
      <c r="AV62" s="48"/>
      <c r="AW62" s="74"/>
      <c r="AX62" s="75"/>
      <c r="AY62" s="77"/>
      <c r="AZ62" s="48"/>
      <c r="BA62" s="74"/>
      <c r="BB62" s="75"/>
      <c r="BC62" s="80"/>
      <c r="BD62" s="48"/>
      <c r="BE62" s="74"/>
      <c r="BF62" s="75"/>
      <c r="BG62" s="81"/>
      <c r="BH62" s="48"/>
      <c r="BI62" s="84"/>
      <c r="BJ62" s="54"/>
      <c r="BK62" s="74">
        <v>100</v>
      </c>
      <c r="BL62" s="55">
        <f t="shared" si="79"/>
        <v>90</v>
      </c>
      <c r="BM62" s="56">
        <v>100</v>
      </c>
      <c r="BN62" s="76">
        <v>0</v>
      </c>
      <c r="BO62" s="75"/>
      <c r="BP62" s="74">
        <v>100</v>
      </c>
      <c r="BQ62" s="55">
        <f t="shared" si="80"/>
        <v>90</v>
      </c>
      <c r="BR62" s="56">
        <v>100</v>
      </c>
      <c r="BS62" s="76">
        <v>0</v>
      </c>
      <c r="BT62" s="75"/>
      <c r="BU62" s="74">
        <v>100</v>
      </c>
      <c r="BV62" s="55">
        <f t="shared" si="81"/>
        <v>90</v>
      </c>
      <c r="BW62" s="56">
        <v>100</v>
      </c>
      <c r="BX62" s="76">
        <v>0</v>
      </c>
      <c r="BY62" s="75"/>
      <c r="BZ62" s="74">
        <v>100</v>
      </c>
      <c r="CA62" s="55">
        <f t="shared" si="82"/>
        <v>90</v>
      </c>
      <c r="CB62" s="56">
        <v>50</v>
      </c>
      <c r="CC62" s="76">
        <v>2</v>
      </c>
      <c r="CD62" s="75"/>
      <c r="CE62" s="74">
        <v>100</v>
      </c>
      <c r="CF62" s="55">
        <f t="shared" si="83"/>
        <v>90</v>
      </c>
      <c r="CG62" s="56">
        <v>50</v>
      </c>
      <c r="CH62" s="77">
        <v>4</v>
      </c>
      <c r="CI62" s="75"/>
      <c r="CJ62" s="74">
        <v>100</v>
      </c>
      <c r="CK62" s="55">
        <f t="shared" si="84"/>
        <v>90</v>
      </c>
      <c r="CL62" s="56">
        <v>50</v>
      </c>
      <c r="CM62" s="77">
        <v>3</v>
      </c>
      <c r="CN62" s="62"/>
      <c r="CO62" s="74">
        <v>100</v>
      </c>
      <c r="CP62" s="55">
        <f t="shared" si="85"/>
        <v>90</v>
      </c>
      <c r="CQ62" s="56">
        <v>50</v>
      </c>
      <c r="CR62" s="77">
        <v>2</v>
      </c>
      <c r="CS62" s="48"/>
      <c r="CT62" s="74">
        <v>100</v>
      </c>
      <c r="CU62" s="55">
        <f t="shared" si="86"/>
        <v>90</v>
      </c>
      <c r="CV62" s="56">
        <v>20</v>
      </c>
      <c r="CW62" s="77">
        <v>20</v>
      </c>
      <c r="CX62" s="48"/>
      <c r="CY62" s="74">
        <v>100</v>
      </c>
      <c r="CZ62" s="55">
        <f t="shared" si="87"/>
        <v>90</v>
      </c>
      <c r="DA62" s="56">
        <v>20</v>
      </c>
      <c r="DB62" s="77"/>
      <c r="DC62" s="48"/>
      <c r="DD62" s="74">
        <v>100</v>
      </c>
      <c r="DE62" s="55">
        <f t="shared" si="88"/>
        <v>90</v>
      </c>
      <c r="DF62" s="56">
        <v>20</v>
      </c>
      <c r="DG62" s="77">
        <v>5</v>
      </c>
      <c r="DH62" s="48"/>
      <c r="DI62" s="74">
        <v>100</v>
      </c>
      <c r="DJ62" s="55">
        <f t="shared" si="89"/>
        <v>90</v>
      </c>
      <c r="DK62" s="56">
        <v>20</v>
      </c>
      <c r="DL62" s="80"/>
      <c r="DM62" s="48"/>
      <c r="DN62" s="74">
        <v>100</v>
      </c>
      <c r="DO62" s="55">
        <f t="shared" si="90"/>
        <v>90</v>
      </c>
      <c r="DP62" s="56">
        <v>20</v>
      </c>
      <c r="DQ62" s="81">
        <v>13</v>
      </c>
      <c r="DR62" s="48"/>
      <c r="DS62" s="54">
        <f t="shared" si="91"/>
        <v>1200</v>
      </c>
      <c r="DT62" s="54">
        <f t="shared" si="92"/>
        <v>51575.999999999993</v>
      </c>
      <c r="DU62" s="41">
        <v>3</v>
      </c>
      <c r="DV62" s="56">
        <f t="shared" si="132"/>
        <v>3</v>
      </c>
      <c r="DW62" s="76"/>
      <c r="DX62" s="75"/>
      <c r="DY62" s="41">
        <v>3</v>
      </c>
      <c r="DZ62" s="56">
        <f t="shared" si="133"/>
        <v>3</v>
      </c>
      <c r="EA62" s="76">
        <v>10</v>
      </c>
      <c r="EB62" s="75"/>
      <c r="EC62" s="41">
        <v>3</v>
      </c>
      <c r="ED62" s="56">
        <f t="shared" si="134"/>
        <v>3</v>
      </c>
      <c r="EE62" s="76"/>
      <c r="EF62" s="75"/>
      <c r="EG62" s="41">
        <v>3</v>
      </c>
      <c r="EH62" s="56">
        <v>5</v>
      </c>
      <c r="EI62" s="76">
        <v>38</v>
      </c>
      <c r="EJ62" s="75"/>
      <c r="EK62" s="41">
        <v>3</v>
      </c>
      <c r="EL62" s="56">
        <f t="shared" si="135"/>
        <v>3</v>
      </c>
      <c r="EM62" s="77">
        <v>40</v>
      </c>
      <c r="EN62" s="75"/>
      <c r="EO62" s="41">
        <v>3</v>
      </c>
      <c r="EP62" s="56">
        <v>40</v>
      </c>
      <c r="EQ62" s="77"/>
      <c r="ER62" s="62"/>
      <c r="ES62" s="41">
        <v>3</v>
      </c>
      <c r="ET62" s="56">
        <v>40</v>
      </c>
      <c r="EU62" s="77"/>
      <c r="EV62" s="48"/>
      <c r="EW62" s="41">
        <v>3</v>
      </c>
      <c r="EX62" s="56">
        <v>40</v>
      </c>
      <c r="EY62" s="77"/>
      <c r="EZ62" s="48"/>
      <c r="FA62" s="41">
        <v>3</v>
      </c>
      <c r="FB62" s="56">
        <v>40</v>
      </c>
      <c r="FC62" s="77"/>
      <c r="FD62" s="48"/>
      <c r="FE62" s="41">
        <v>3</v>
      </c>
      <c r="FF62" s="56">
        <v>40</v>
      </c>
      <c r="FG62" s="77"/>
      <c r="FH62" s="48"/>
      <c r="FI62" s="41">
        <v>3</v>
      </c>
      <c r="FJ62" s="241">
        <v>40</v>
      </c>
      <c r="FK62" s="80"/>
      <c r="FL62" s="48"/>
      <c r="FM62" s="41">
        <v>3</v>
      </c>
      <c r="FN62" s="241">
        <v>40</v>
      </c>
      <c r="FO62" s="81"/>
      <c r="FP62" s="48"/>
      <c r="FQ62" s="54">
        <f t="shared" si="93"/>
        <v>36</v>
      </c>
      <c r="FR62" s="54">
        <f t="shared" si="94"/>
        <v>1547.28</v>
      </c>
      <c r="FS62" s="58" t="e">
        <v>#REF!</v>
      </c>
      <c r="FT62" s="56" t="e">
        <f t="shared" si="95"/>
        <v>#REF!</v>
      </c>
      <c r="FU62" s="76"/>
      <c r="FV62" s="75"/>
      <c r="FW62" s="58">
        <v>108.75</v>
      </c>
      <c r="FX62" s="56">
        <f t="shared" si="96"/>
        <v>108</v>
      </c>
      <c r="FY62" s="76"/>
      <c r="FZ62" s="75"/>
      <c r="GA62" s="82">
        <v>137.5</v>
      </c>
      <c r="GB62" s="56">
        <f t="shared" si="97"/>
        <v>137</v>
      </c>
      <c r="GC62" s="76"/>
      <c r="GD62" s="75"/>
      <c r="GE62" s="82">
        <v>137.5</v>
      </c>
      <c r="GF62" s="56">
        <f t="shared" si="98"/>
        <v>137</v>
      </c>
      <c r="GG62" s="76"/>
      <c r="GH62" s="75"/>
      <c r="GI62" s="82">
        <v>137.5</v>
      </c>
      <c r="GJ62" s="56">
        <f t="shared" si="99"/>
        <v>137</v>
      </c>
      <c r="GK62" s="77"/>
      <c r="GL62" s="75"/>
      <c r="GM62" s="82">
        <v>137.5</v>
      </c>
      <c r="GN62" s="56">
        <f t="shared" si="100"/>
        <v>137</v>
      </c>
      <c r="GO62" s="77"/>
      <c r="GP62" s="62"/>
      <c r="GQ62" s="82">
        <v>137.5</v>
      </c>
      <c r="GR62" s="56">
        <f t="shared" si="101"/>
        <v>137</v>
      </c>
      <c r="GS62" s="77"/>
      <c r="GT62" s="48"/>
      <c r="GU62" s="82">
        <v>137.5</v>
      </c>
      <c r="GV62" s="56">
        <f t="shared" si="102"/>
        <v>137</v>
      </c>
      <c r="GW62" s="77"/>
      <c r="GX62" s="48"/>
      <c r="GY62" s="82">
        <v>137.5</v>
      </c>
      <c r="GZ62" s="56">
        <f t="shared" si="103"/>
        <v>137</v>
      </c>
      <c r="HA62" s="77"/>
      <c r="HB62" s="48"/>
      <c r="HC62" s="82">
        <v>137.5</v>
      </c>
      <c r="HD62" s="56">
        <f t="shared" si="104"/>
        <v>137</v>
      </c>
      <c r="HE62" s="77"/>
      <c r="HF62" s="48"/>
      <c r="HG62" s="82">
        <v>137.5</v>
      </c>
      <c r="HH62" s="56">
        <f t="shared" si="105"/>
        <v>137</v>
      </c>
      <c r="HI62" s="80"/>
      <c r="HJ62" s="48"/>
      <c r="HK62" s="82">
        <v>137.5</v>
      </c>
      <c r="HL62" s="56">
        <f t="shared" si="106"/>
        <v>137</v>
      </c>
      <c r="HM62" s="81"/>
      <c r="HN62" s="48"/>
      <c r="HO62" s="54" t="e">
        <f t="shared" si="107"/>
        <v>#REF!</v>
      </c>
      <c r="HP62" s="54" t="e">
        <f t="shared" si="108"/>
        <v>#REF!</v>
      </c>
      <c r="HQ62" s="82">
        <v>137.5</v>
      </c>
      <c r="HR62" s="56">
        <f t="shared" si="109"/>
        <v>137</v>
      </c>
      <c r="HS62" s="76"/>
      <c r="HT62" s="75"/>
      <c r="HU62" s="82">
        <v>137.5</v>
      </c>
      <c r="HV62" s="56">
        <f t="shared" si="110"/>
        <v>137</v>
      </c>
      <c r="HW62" s="76"/>
      <c r="HX62" s="75"/>
      <c r="HY62" s="82">
        <v>137.5</v>
      </c>
      <c r="HZ62" s="56">
        <f t="shared" si="111"/>
        <v>137</v>
      </c>
      <c r="IA62" s="76"/>
      <c r="IB62" s="75"/>
      <c r="IC62" s="82">
        <v>137.5</v>
      </c>
      <c r="ID62" s="56">
        <f t="shared" si="112"/>
        <v>137</v>
      </c>
      <c r="IE62" s="76"/>
      <c r="IF62" s="75"/>
      <c r="IG62" s="82">
        <v>137.5</v>
      </c>
      <c r="IH62" s="56">
        <f t="shared" si="113"/>
        <v>137</v>
      </c>
      <c r="II62" s="77"/>
      <c r="IJ62" s="75"/>
      <c r="IK62" s="82">
        <v>137.5</v>
      </c>
      <c r="IL62" s="56">
        <f t="shared" si="114"/>
        <v>137</v>
      </c>
      <c r="IM62" s="77"/>
      <c r="IN62" s="62"/>
      <c r="IO62" s="82">
        <v>137.5</v>
      </c>
      <c r="IP62" s="56">
        <f t="shared" si="115"/>
        <v>137</v>
      </c>
      <c r="IQ62" s="77"/>
      <c r="IR62" s="48"/>
      <c r="IS62" s="82">
        <v>137.5</v>
      </c>
      <c r="IT62" s="56">
        <f t="shared" si="116"/>
        <v>137</v>
      </c>
      <c r="IU62" s="77"/>
      <c r="IV62" s="48"/>
      <c r="IW62" s="82">
        <v>137.5</v>
      </c>
      <c r="IX62" s="56">
        <f t="shared" si="117"/>
        <v>137</v>
      </c>
      <c r="IY62" s="77"/>
      <c r="IZ62" s="48"/>
      <c r="JA62" s="82">
        <v>137.5</v>
      </c>
      <c r="JB62" s="56">
        <f t="shared" si="118"/>
        <v>137</v>
      </c>
      <c r="JC62" s="77"/>
      <c r="JD62" s="48"/>
      <c r="JE62" s="82">
        <v>137.5</v>
      </c>
      <c r="JF62" s="56">
        <f t="shared" si="119"/>
        <v>137</v>
      </c>
      <c r="JG62" s="80"/>
      <c r="JH62" s="48"/>
      <c r="JI62" s="82">
        <v>137.5</v>
      </c>
      <c r="JJ62" s="56">
        <f t="shared" si="120"/>
        <v>137</v>
      </c>
      <c r="JK62" s="81"/>
      <c r="JL62" s="48"/>
      <c r="JM62" s="54">
        <f t="shared" si="121"/>
        <v>1650</v>
      </c>
      <c r="JN62" s="54">
        <f t="shared" si="122"/>
        <v>70917</v>
      </c>
    </row>
    <row r="63" spans="1:274">
      <c r="A63" s="249"/>
      <c r="B63" s="250"/>
      <c r="C63" s="250"/>
      <c r="D63" s="249"/>
      <c r="E63" s="36">
        <v>58</v>
      </c>
      <c r="F63" s="37"/>
      <c r="G63" s="97">
        <v>4615130020</v>
      </c>
      <c r="H63" s="93" t="s">
        <v>99</v>
      </c>
      <c r="I63" s="95">
        <v>397</v>
      </c>
      <c r="J63" s="96"/>
      <c r="K63" s="96"/>
      <c r="L63" s="96"/>
      <c r="M63" s="74"/>
      <c r="N63" s="48"/>
      <c r="O63" s="88"/>
      <c r="P63" s="89"/>
      <c r="Q63" s="74"/>
      <c r="R63" s="48"/>
      <c r="S63" s="88"/>
      <c r="T63" s="89"/>
      <c r="U63" s="74"/>
      <c r="V63" s="48"/>
      <c r="W63" s="88"/>
      <c r="X63" s="89"/>
      <c r="Y63" s="74"/>
      <c r="Z63" s="48"/>
      <c r="AA63" s="76"/>
      <c r="AB63" s="89"/>
      <c r="AC63" s="74"/>
      <c r="AD63" s="48"/>
      <c r="AE63" s="88"/>
      <c r="AF63" s="89"/>
      <c r="AG63" s="74"/>
      <c r="AH63" s="48"/>
      <c r="AI63" s="76"/>
      <c r="AJ63" s="89"/>
      <c r="AK63" s="74"/>
      <c r="AL63" s="42"/>
      <c r="AM63" s="77"/>
      <c r="AN63" s="48"/>
      <c r="AO63" s="74"/>
      <c r="AP63" s="42"/>
      <c r="AQ63" s="43"/>
      <c r="AR63" s="79"/>
      <c r="AS63" s="74"/>
      <c r="AT63" s="75"/>
      <c r="AU63" s="77"/>
      <c r="AV63" s="48"/>
      <c r="AW63" s="74"/>
      <c r="AX63" s="75"/>
      <c r="AY63" s="77"/>
      <c r="AZ63" s="48"/>
      <c r="BA63" s="74"/>
      <c r="BB63" s="75"/>
      <c r="BC63" s="80"/>
      <c r="BD63" s="48"/>
      <c r="BE63" s="74"/>
      <c r="BF63" s="75"/>
      <c r="BG63" s="81"/>
      <c r="BH63" s="48"/>
      <c r="BI63" s="84"/>
      <c r="BJ63" s="54"/>
      <c r="BK63" s="74"/>
      <c r="BL63" s="55"/>
      <c r="BM63" s="56"/>
      <c r="BN63" s="76"/>
      <c r="BO63" s="75"/>
      <c r="BP63" s="74"/>
      <c r="BQ63" s="55"/>
      <c r="BR63" s="56"/>
      <c r="BS63" s="76"/>
      <c r="BT63" s="75"/>
      <c r="BU63" s="74"/>
      <c r="BV63" s="55"/>
      <c r="BW63" s="56"/>
      <c r="BX63" s="76"/>
      <c r="BY63" s="75"/>
      <c r="BZ63" s="74"/>
      <c r="CA63" s="55"/>
      <c r="CB63" s="56">
        <v>5</v>
      </c>
      <c r="CC63" s="76">
        <v>5</v>
      </c>
      <c r="CD63" s="75" t="s">
        <v>100</v>
      </c>
      <c r="CE63" s="74"/>
      <c r="CF63" s="55"/>
      <c r="CG63" s="56">
        <v>5</v>
      </c>
      <c r="CH63" s="77">
        <v>3</v>
      </c>
      <c r="CI63" s="75"/>
      <c r="CJ63" s="74"/>
      <c r="CK63" s="55"/>
      <c r="CL63" s="56">
        <v>5</v>
      </c>
      <c r="CM63" s="77"/>
      <c r="CN63" s="62"/>
      <c r="CO63" s="74"/>
      <c r="CP63" s="55"/>
      <c r="CQ63" s="56">
        <v>5</v>
      </c>
      <c r="CR63" s="77">
        <v>18</v>
      </c>
      <c r="CS63" s="48"/>
      <c r="CT63" s="74"/>
      <c r="CU63" s="55"/>
      <c r="CV63" s="56">
        <v>5</v>
      </c>
      <c r="CW63" s="77">
        <v>6</v>
      </c>
      <c r="CX63" s="48"/>
      <c r="CY63" s="74"/>
      <c r="CZ63" s="55"/>
      <c r="DA63" s="56">
        <v>5</v>
      </c>
      <c r="DB63" s="77">
        <v>3</v>
      </c>
      <c r="DC63" s="48"/>
      <c r="DD63" s="74"/>
      <c r="DE63" s="55"/>
      <c r="DF63" s="56">
        <v>5</v>
      </c>
      <c r="DG63" s="77">
        <v>1</v>
      </c>
      <c r="DH63" s="48"/>
      <c r="DI63" s="74"/>
      <c r="DJ63" s="55"/>
      <c r="DK63" s="56">
        <v>5</v>
      </c>
      <c r="DL63" s="80">
        <v>8</v>
      </c>
      <c r="DM63" s="48"/>
      <c r="DN63" s="74"/>
      <c r="DO63" s="55"/>
      <c r="DP63" s="56">
        <v>5</v>
      </c>
      <c r="DQ63" s="81">
        <v>11</v>
      </c>
      <c r="DR63" s="48"/>
      <c r="DS63" s="54"/>
      <c r="DT63" s="54"/>
      <c r="DU63" s="41">
        <v>4</v>
      </c>
      <c r="DV63" s="56">
        <f t="shared" si="132"/>
        <v>4</v>
      </c>
      <c r="DW63" s="76">
        <v>1</v>
      </c>
      <c r="DX63" s="75"/>
      <c r="DY63" s="41">
        <v>4</v>
      </c>
      <c r="DZ63" s="56">
        <f t="shared" si="133"/>
        <v>4</v>
      </c>
      <c r="EA63" s="76">
        <v>3</v>
      </c>
      <c r="EB63" s="75"/>
      <c r="EC63" s="41">
        <v>4</v>
      </c>
      <c r="ED63" s="56">
        <f t="shared" si="134"/>
        <v>4</v>
      </c>
      <c r="EE63" s="76"/>
      <c r="EF63" s="75"/>
      <c r="EG63" s="41">
        <v>4</v>
      </c>
      <c r="EH63" s="56">
        <f>ROUNDDOWN(EG63,0)</f>
        <v>4</v>
      </c>
      <c r="EI63" s="76">
        <v>5</v>
      </c>
      <c r="EJ63" s="75"/>
      <c r="EK63" s="41">
        <v>4</v>
      </c>
      <c r="EL63" s="56">
        <f t="shared" si="135"/>
        <v>4</v>
      </c>
      <c r="EM63" s="77">
        <v>5</v>
      </c>
      <c r="EN63" s="75"/>
      <c r="EO63" s="41">
        <v>4</v>
      </c>
      <c r="EP63" s="56">
        <f t="shared" si="136"/>
        <v>4</v>
      </c>
      <c r="EQ63" s="77"/>
      <c r="ER63" s="62"/>
      <c r="ES63" s="41">
        <v>4</v>
      </c>
      <c r="ET63" s="56">
        <f t="shared" si="137"/>
        <v>4</v>
      </c>
      <c r="EU63" s="77"/>
      <c r="EV63" s="48"/>
      <c r="EW63" s="41">
        <v>4</v>
      </c>
      <c r="EX63" s="56">
        <f t="shared" si="138"/>
        <v>4</v>
      </c>
      <c r="EY63" s="77"/>
      <c r="EZ63" s="48"/>
      <c r="FA63" s="41">
        <v>4</v>
      </c>
      <c r="FB63" s="56">
        <f t="shared" si="139"/>
        <v>4</v>
      </c>
      <c r="FC63" s="77"/>
      <c r="FD63" s="48"/>
      <c r="FE63" s="41">
        <v>4</v>
      </c>
      <c r="FF63" s="56">
        <f t="shared" si="140"/>
        <v>4</v>
      </c>
      <c r="FG63" s="77"/>
      <c r="FH63" s="48"/>
      <c r="FI63" s="41">
        <v>4</v>
      </c>
      <c r="FJ63" s="241">
        <f t="shared" si="141"/>
        <v>4</v>
      </c>
      <c r="FK63" s="80"/>
      <c r="FL63" s="48"/>
      <c r="FM63" s="41">
        <v>4</v>
      </c>
      <c r="FN63" s="241">
        <f t="shared" si="142"/>
        <v>4</v>
      </c>
      <c r="FO63" s="81"/>
      <c r="FP63" s="48"/>
      <c r="FQ63" s="54">
        <f t="shared" si="93"/>
        <v>48</v>
      </c>
      <c r="FR63" s="54">
        <f t="shared" si="94"/>
        <v>19056</v>
      </c>
      <c r="FS63" s="58" t="e">
        <v>#REF!</v>
      </c>
      <c r="FT63" s="56" t="e">
        <f t="shared" si="95"/>
        <v>#REF!</v>
      </c>
      <c r="FU63" s="76"/>
      <c r="FV63" s="75"/>
      <c r="FW63" s="58">
        <v>21.75</v>
      </c>
      <c r="FX63" s="56">
        <f t="shared" si="96"/>
        <v>21</v>
      </c>
      <c r="FY63" s="76"/>
      <c r="FZ63" s="75"/>
      <c r="GA63" s="82">
        <v>27.500000000000004</v>
      </c>
      <c r="GB63" s="56">
        <f t="shared" si="97"/>
        <v>27</v>
      </c>
      <c r="GC63" s="76"/>
      <c r="GD63" s="75"/>
      <c r="GE63" s="82">
        <v>27.500000000000004</v>
      </c>
      <c r="GF63" s="56">
        <f t="shared" si="98"/>
        <v>27</v>
      </c>
      <c r="GG63" s="76"/>
      <c r="GH63" s="75"/>
      <c r="GI63" s="82">
        <v>27.500000000000004</v>
      </c>
      <c r="GJ63" s="56">
        <f t="shared" si="99"/>
        <v>27</v>
      </c>
      <c r="GK63" s="77"/>
      <c r="GL63" s="75"/>
      <c r="GM63" s="82">
        <v>27.500000000000004</v>
      </c>
      <c r="GN63" s="56">
        <f t="shared" si="100"/>
        <v>27</v>
      </c>
      <c r="GO63" s="77"/>
      <c r="GP63" s="62"/>
      <c r="GQ63" s="82">
        <v>27.500000000000004</v>
      </c>
      <c r="GR63" s="56">
        <f t="shared" si="101"/>
        <v>27</v>
      </c>
      <c r="GS63" s="77"/>
      <c r="GT63" s="48"/>
      <c r="GU63" s="82">
        <v>27.500000000000004</v>
      </c>
      <c r="GV63" s="56">
        <f t="shared" si="102"/>
        <v>27</v>
      </c>
      <c r="GW63" s="77"/>
      <c r="GX63" s="48"/>
      <c r="GY63" s="82">
        <v>27.500000000000004</v>
      </c>
      <c r="GZ63" s="56">
        <f t="shared" si="103"/>
        <v>27</v>
      </c>
      <c r="HA63" s="77"/>
      <c r="HB63" s="48"/>
      <c r="HC63" s="82">
        <v>27.500000000000004</v>
      </c>
      <c r="HD63" s="56">
        <f t="shared" si="104"/>
        <v>27</v>
      </c>
      <c r="HE63" s="77"/>
      <c r="HF63" s="48"/>
      <c r="HG63" s="82">
        <v>27.500000000000004</v>
      </c>
      <c r="HH63" s="56">
        <f t="shared" si="105"/>
        <v>27</v>
      </c>
      <c r="HI63" s="80"/>
      <c r="HJ63" s="48"/>
      <c r="HK63" s="82">
        <v>27.500000000000004</v>
      </c>
      <c r="HL63" s="56">
        <f t="shared" si="106"/>
        <v>27</v>
      </c>
      <c r="HM63" s="81"/>
      <c r="HN63" s="48"/>
      <c r="HO63" s="54" t="e">
        <f t="shared" si="107"/>
        <v>#REF!</v>
      </c>
      <c r="HP63" s="54" t="e">
        <f t="shared" si="108"/>
        <v>#REF!</v>
      </c>
      <c r="HQ63" s="82">
        <v>27.500000000000004</v>
      </c>
      <c r="HR63" s="56">
        <f t="shared" si="109"/>
        <v>27</v>
      </c>
      <c r="HS63" s="76"/>
      <c r="HT63" s="75"/>
      <c r="HU63" s="82">
        <v>27.500000000000004</v>
      </c>
      <c r="HV63" s="56">
        <f t="shared" si="110"/>
        <v>27</v>
      </c>
      <c r="HW63" s="76"/>
      <c r="HX63" s="75"/>
      <c r="HY63" s="82">
        <v>27.500000000000004</v>
      </c>
      <c r="HZ63" s="56">
        <f t="shared" si="111"/>
        <v>27</v>
      </c>
      <c r="IA63" s="76"/>
      <c r="IB63" s="75"/>
      <c r="IC63" s="82">
        <v>27.500000000000004</v>
      </c>
      <c r="ID63" s="56">
        <f t="shared" si="112"/>
        <v>27</v>
      </c>
      <c r="IE63" s="76"/>
      <c r="IF63" s="75"/>
      <c r="IG63" s="82">
        <v>27.500000000000004</v>
      </c>
      <c r="IH63" s="56">
        <f t="shared" si="113"/>
        <v>27</v>
      </c>
      <c r="II63" s="77"/>
      <c r="IJ63" s="75"/>
      <c r="IK63" s="82">
        <v>27.500000000000004</v>
      </c>
      <c r="IL63" s="56">
        <f t="shared" si="114"/>
        <v>27</v>
      </c>
      <c r="IM63" s="77"/>
      <c r="IN63" s="62"/>
      <c r="IO63" s="82">
        <v>27.500000000000004</v>
      </c>
      <c r="IP63" s="56">
        <f t="shared" si="115"/>
        <v>27</v>
      </c>
      <c r="IQ63" s="77"/>
      <c r="IR63" s="48"/>
      <c r="IS63" s="82">
        <v>27.500000000000004</v>
      </c>
      <c r="IT63" s="56">
        <f t="shared" si="116"/>
        <v>27</v>
      </c>
      <c r="IU63" s="77"/>
      <c r="IV63" s="48"/>
      <c r="IW63" s="82">
        <v>27.500000000000004</v>
      </c>
      <c r="IX63" s="56">
        <f t="shared" si="117"/>
        <v>27</v>
      </c>
      <c r="IY63" s="77"/>
      <c r="IZ63" s="48"/>
      <c r="JA63" s="82">
        <v>27.500000000000004</v>
      </c>
      <c r="JB63" s="56">
        <f t="shared" si="118"/>
        <v>27</v>
      </c>
      <c r="JC63" s="77"/>
      <c r="JD63" s="48"/>
      <c r="JE63" s="82">
        <v>27.500000000000004</v>
      </c>
      <c r="JF63" s="56">
        <f t="shared" si="119"/>
        <v>27</v>
      </c>
      <c r="JG63" s="80"/>
      <c r="JH63" s="48"/>
      <c r="JI63" s="82">
        <v>27.500000000000004</v>
      </c>
      <c r="JJ63" s="56">
        <f t="shared" si="120"/>
        <v>27</v>
      </c>
      <c r="JK63" s="81"/>
      <c r="JL63" s="48"/>
      <c r="JM63" s="54">
        <f t="shared" si="121"/>
        <v>330.00000000000006</v>
      </c>
      <c r="JN63" s="54">
        <f t="shared" si="122"/>
        <v>131010.00000000003</v>
      </c>
    </row>
    <row r="64" spans="1:274">
      <c r="A64" s="249"/>
      <c r="B64" s="250"/>
      <c r="C64" s="250"/>
      <c r="D64" s="249"/>
      <c r="E64" s="36">
        <v>59</v>
      </c>
      <c r="F64" s="37"/>
      <c r="G64" s="98" t="s">
        <v>101</v>
      </c>
      <c r="H64" s="93" t="s">
        <v>102</v>
      </c>
      <c r="I64" s="99">
        <v>175</v>
      </c>
      <c r="J64" s="96"/>
      <c r="K64" s="96">
        <v>1975</v>
      </c>
      <c r="L64" s="96" t="s">
        <v>44</v>
      </c>
      <c r="M64" s="74"/>
      <c r="N64" s="48"/>
      <c r="O64" s="88"/>
      <c r="P64" s="89"/>
      <c r="Q64" s="74"/>
      <c r="R64" s="48"/>
      <c r="S64" s="88"/>
      <c r="T64" s="89"/>
      <c r="U64" s="74"/>
      <c r="V64" s="48"/>
      <c r="W64" s="88"/>
      <c r="X64" s="89"/>
      <c r="Y64" s="74"/>
      <c r="Z64" s="48"/>
      <c r="AA64" s="76"/>
      <c r="AB64" s="89"/>
      <c r="AC64" s="74"/>
      <c r="AD64" s="48"/>
      <c r="AE64" s="88"/>
      <c r="AF64" s="89"/>
      <c r="AG64" s="74"/>
      <c r="AH64" s="48"/>
      <c r="AI64" s="76"/>
      <c r="AJ64" s="89"/>
      <c r="AK64" s="74"/>
      <c r="AL64" s="42"/>
      <c r="AM64" s="77"/>
      <c r="AN64" s="48"/>
      <c r="AO64" s="74"/>
      <c r="AP64" s="42"/>
      <c r="AQ64" s="43"/>
      <c r="AR64" s="79"/>
      <c r="AS64" s="74"/>
      <c r="AT64" s="75"/>
      <c r="AU64" s="77"/>
      <c r="AV64" s="48"/>
      <c r="AW64" s="74"/>
      <c r="AX64" s="75"/>
      <c r="AY64" s="77"/>
      <c r="AZ64" s="48"/>
      <c r="BA64" s="74"/>
      <c r="BB64" s="75"/>
      <c r="BC64" s="80"/>
      <c r="BD64" s="48"/>
      <c r="BE64" s="74"/>
      <c r="BF64" s="75"/>
      <c r="BG64" s="81"/>
      <c r="BH64" s="48"/>
      <c r="BI64" s="84"/>
      <c r="BJ64" s="54"/>
      <c r="BK64" s="74"/>
      <c r="BL64" s="55"/>
      <c r="BM64" s="56"/>
      <c r="BN64" s="76"/>
      <c r="BO64" s="75"/>
      <c r="BP64" s="74"/>
      <c r="BQ64" s="55"/>
      <c r="BR64" s="56"/>
      <c r="BS64" s="76"/>
      <c r="BT64" s="75"/>
      <c r="BU64" s="74"/>
      <c r="BV64" s="55"/>
      <c r="BW64" s="56"/>
      <c r="BX64" s="76"/>
      <c r="BY64" s="75"/>
      <c r="BZ64" s="74"/>
      <c r="CA64" s="55"/>
      <c r="CB64" s="56">
        <v>5</v>
      </c>
      <c r="CC64" s="76">
        <v>13</v>
      </c>
      <c r="CD64" s="75" t="s">
        <v>100</v>
      </c>
      <c r="CE64" s="74"/>
      <c r="CF64" s="55"/>
      <c r="CG64" s="56">
        <v>5</v>
      </c>
      <c r="CH64" s="77">
        <v>1</v>
      </c>
      <c r="CI64" s="75"/>
      <c r="CJ64" s="74"/>
      <c r="CK64" s="55"/>
      <c r="CL64" s="56">
        <v>5</v>
      </c>
      <c r="CM64" s="77">
        <v>6</v>
      </c>
      <c r="CN64" s="62"/>
      <c r="CO64" s="74"/>
      <c r="CP64" s="55"/>
      <c r="CQ64" s="56">
        <v>5</v>
      </c>
      <c r="CR64" s="77"/>
      <c r="CS64" s="48"/>
      <c r="CT64" s="74"/>
      <c r="CU64" s="55"/>
      <c r="CV64" s="56">
        <v>5</v>
      </c>
      <c r="CW64" s="77"/>
      <c r="CX64" s="48"/>
      <c r="CY64" s="74"/>
      <c r="CZ64" s="55"/>
      <c r="DA64" s="56">
        <v>5</v>
      </c>
      <c r="DB64" s="77"/>
      <c r="DC64" s="48"/>
      <c r="DD64" s="74"/>
      <c r="DE64" s="55"/>
      <c r="DF64" s="56">
        <v>5</v>
      </c>
      <c r="DG64" s="77">
        <v>13</v>
      </c>
      <c r="DH64" s="48"/>
      <c r="DI64" s="74"/>
      <c r="DJ64" s="55"/>
      <c r="DK64" s="56">
        <v>5</v>
      </c>
      <c r="DL64" s="80">
        <v>2</v>
      </c>
      <c r="DM64" s="48"/>
      <c r="DN64" s="74"/>
      <c r="DO64" s="55"/>
      <c r="DP64" s="56">
        <v>5</v>
      </c>
      <c r="DQ64" s="81">
        <v>6</v>
      </c>
      <c r="DR64" s="48"/>
      <c r="DS64" s="54"/>
      <c r="DT64" s="54"/>
      <c r="DU64" s="41">
        <v>5</v>
      </c>
      <c r="DV64" s="56">
        <f t="shared" si="132"/>
        <v>5</v>
      </c>
      <c r="DW64" s="76"/>
      <c r="DX64" s="75"/>
      <c r="DY64" s="41">
        <v>5</v>
      </c>
      <c r="DZ64" s="56">
        <f t="shared" si="133"/>
        <v>5</v>
      </c>
      <c r="EA64" s="76">
        <v>22</v>
      </c>
      <c r="EB64" s="75"/>
      <c r="EC64" s="41">
        <v>5</v>
      </c>
      <c r="ED64" s="56">
        <f t="shared" si="134"/>
        <v>5</v>
      </c>
      <c r="EE64" s="76"/>
      <c r="EF64" s="75"/>
      <c r="EG64" s="41">
        <v>5</v>
      </c>
      <c r="EH64" s="56">
        <f>ROUNDDOWN(EG64,0)</f>
        <v>5</v>
      </c>
      <c r="EI64" s="76">
        <v>20</v>
      </c>
      <c r="EJ64" s="75"/>
      <c r="EK64" s="41">
        <v>5</v>
      </c>
      <c r="EL64" s="56">
        <v>11</v>
      </c>
      <c r="EM64" s="77">
        <v>12</v>
      </c>
      <c r="EN64" s="75"/>
      <c r="EO64" s="41">
        <v>5</v>
      </c>
      <c r="EP64" s="56">
        <v>0</v>
      </c>
      <c r="EQ64" s="77"/>
      <c r="ER64" s="62"/>
      <c r="ES64" s="41">
        <v>5</v>
      </c>
      <c r="ET64" s="56">
        <v>0</v>
      </c>
      <c r="EU64" s="77"/>
      <c r="EV64" s="48"/>
      <c r="EW64" s="41">
        <v>5</v>
      </c>
      <c r="EX64" s="56">
        <v>0</v>
      </c>
      <c r="EY64" s="77"/>
      <c r="EZ64" s="48"/>
      <c r="FA64" s="41">
        <v>5</v>
      </c>
      <c r="FB64" s="56">
        <v>20</v>
      </c>
      <c r="FC64" s="77"/>
      <c r="FD64" s="48"/>
      <c r="FE64" s="41">
        <v>5</v>
      </c>
      <c r="FF64" s="56">
        <v>20</v>
      </c>
      <c r="FG64" s="77"/>
      <c r="FH64" s="48"/>
      <c r="FI64" s="41">
        <v>5</v>
      </c>
      <c r="FJ64" s="241">
        <v>20</v>
      </c>
      <c r="FK64" s="80"/>
      <c r="FL64" s="48"/>
      <c r="FM64" s="41">
        <v>5</v>
      </c>
      <c r="FN64" s="241">
        <v>20</v>
      </c>
      <c r="FO64" s="81"/>
      <c r="FP64" s="48"/>
      <c r="FQ64" s="54">
        <f t="shared" si="93"/>
        <v>60</v>
      </c>
      <c r="FR64" s="54">
        <f t="shared" si="94"/>
        <v>10500</v>
      </c>
      <c r="FS64" s="58" t="e">
        <v>#REF!</v>
      </c>
      <c r="FT64" s="56" t="e">
        <f t="shared" si="95"/>
        <v>#REF!</v>
      </c>
      <c r="FU64" s="76"/>
      <c r="FV64" s="75"/>
      <c r="FW64" s="58">
        <v>21.75</v>
      </c>
      <c r="FX64" s="56">
        <f t="shared" si="96"/>
        <v>21</v>
      </c>
      <c r="FY64" s="76"/>
      <c r="FZ64" s="75"/>
      <c r="GA64" s="82">
        <v>27.500000000000004</v>
      </c>
      <c r="GB64" s="56">
        <f t="shared" si="97"/>
        <v>27</v>
      </c>
      <c r="GC64" s="76"/>
      <c r="GD64" s="75"/>
      <c r="GE64" s="82">
        <v>27.500000000000004</v>
      </c>
      <c r="GF64" s="56">
        <f t="shared" si="98"/>
        <v>27</v>
      </c>
      <c r="GG64" s="76"/>
      <c r="GH64" s="75"/>
      <c r="GI64" s="82">
        <v>27.500000000000004</v>
      </c>
      <c r="GJ64" s="56">
        <f t="shared" si="99"/>
        <v>27</v>
      </c>
      <c r="GK64" s="77"/>
      <c r="GL64" s="75"/>
      <c r="GM64" s="82">
        <v>27.500000000000004</v>
      </c>
      <c r="GN64" s="56">
        <f t="shared" si="100"/>
        <v>27</v>
      </c>
      <c r="GO64" s="77"/>
      <c r="GP64" s="62"/>
      <c r="GQ64" s="82">
        <v>27.500000000000004</v>
      </c>
      <c r="GR64" s="56">
        <f t="shared" si="101"/>
        <v>27</v>
      </c>
      <c r="GS64" s="77"/>
      <c r="GT64" s="48"/>
      <c r="GU64" s="82">
        <v>27.500000000000004</v>
      </c>
      <c r="GV64" s="56">
        <f t="shared" si="102"/>
        <v>27</v>
      </c>
      <c r="GW64" s="77"/>
      <c r="GX64" s="48"/>
      <c r="GY64" s="82">
        <v>27.500000000000004</v>
      </c>
      <c r="GZ64" s="56">
        <f t="shared" si="103"/>
        <v>27</v>
      </c>
      <c r="HA64" s="77"/>
      <c r="HB64" s="48"/>
      <c r="HC64" s="82">
        <v>27.500000000000004</v>
      </c>
      <c r="HD64" s="56">
        <f t="shared" si="104"/>
        <v>27</v>
      </c>
      <c r="HE64" s="77"/>
      <c r="HF64" s="48"/>
      <c r="HG64" s="82">
        <v>27.500000000000004</v>
      </c>
      <c r="HH64" s="56">
        <f t="shared" si="105"/>
        <v>27</v>
      </c>
      <c r="HI64" s="80"/>
      <c r="HJ64" s="48"/>
      <c r="HK64" s="82">
        <v>27.500000000000004</v>
      </c>
      <c r="HL64" s="56">
        <f t="shared" si="106"/>
        <v>27</v>
      </c>
      <c r="HM64" s="81"/>
      <c r="HN64" s="48"/>
      <c r="HO64" s="54" t="e">
        <f t="shared" si="107"/>
        <v>#REF!</v>
      </c>
      <c r="HP64" s="54" t="e">
        <f t="shared" si="108"/>
        <v>#REF!</v>
      </c>
      <c r="HQ64" s="82">
        <v>27.500000000000004</v>
      </c>
      <c r="HR64" s="56">
        <f t="shared" si="109"/>
        <v>27</v>
      </c>
      <c r="HS64" s="76"/>
      <c r="HT64" s="75"/>
      <c r="HU64" s="82">
        <v>27.500000000000004</v>
      </c>
      <c r="HV64" s="56">
        <f t="shared" si="110"/>
        <v>27</v>
      </c>
      <c r="HW64" s="76"/>
      <c r="HX64" s="75"/>
      <c r="HY64" s="82">
        <v>27.500000000000004</v>
      </c>
      <c r="HZ64" s="56">
        <f t="shared" si="111"/>
        <v>27</v>
      </c>
      <c r="IA64" s="76"/>
      <c r="IB64" s="75"/>
      <c r="IC64" s="82">
        <v>27.500000000000004</v>
      </c>
      <c r="ID64" s="56">
        <f t="shared" si="112"/>
        <v>27</v>
      </c>
      <c r="IE64" s="76"/>
      <c r="IF64" s="75"/>
      <c r="IG64" s="82">
        <v>27.500000000000004</v>
      </c>
      <c r="IH64" s="56">
        <f t="shared" si="113"/>
        <v>27</v>
      </c>
      <c r="II64" s="77"/>
      <c r="IJ64" s="75"/>
      <c r="IK64" s="82">
        <v>27.500000000000004</v>
      </c>
      <c r="IL64" s="56">
        <f t="shared" si="114"/>
        <v>27</v>
      </c>
      <c r="IM64" s="77"/>
      <c r="IN64" s="62"/>
      <c r="IO64" s="82">
        <v>27.500000000000004</v>
      </c>
      <c r="IP64" s="56">
        <f t="shared" si="115"/>
        <v>27</v>
      </c>
      <c r="IQ64" s="77"/>
      <c r="IR64" s="48"/>
      <c r="IS64" s="82">
        <v>27.500000000000004</v>
      </c>
      <c r="IT64" s="56">
        <f t="shared" si="116"/>
        <v>27</v>
      </c>
      <c r="IU64" s="77"/>
      <c r="IV64" s="48"/>
      <c r="IW64" s="82">
        <v>27.500000000000004</v>
      </c>
      <c r="IX64" s="56">
        <f t="shared" si="117"/>
        <v>27</v>
      </c>
      <c r="IY64" s="77"/>
      <c r="IZ64" s="48"/>
      <c r="JA64" s="82">
        <v>27.500000000000004</v>
      </c>
      <c r="JB64" s="56">
        <f t="shared" si="118"/>
        <v>27</v>
      </c>
      <c r="JC64" s="77"/>
      <c r="JD64" s="48"/>
      <c r="JE64" s="82">
        <v>27.500000000000004</v>
      </c>
      <c r="JF64" s="56">
        <f t="shared" si="119"/>
        <v>27</v>
      </c>
      <c r="JG64" s="80"/>
      <c r="JH64" s="48"/>
      <c r="JI64" s="82">
        <v>27.500000000000004</v>
      </c>
      <c r="JJ64" s="56">
        <f t="shared" si="120"/>
        <v>27</v>
      </c>
      <c r="JK64" s="81"/>
      <c r="JL64" s="48"/>
      <c r="JM64" s="54">
        <f t="shared" si="121"/>
        <v>330.00000000000006</v>
      </c>
      <c r="JN64" s="54">
        <f t="shared" si="122"/>
        <v>57750.000000000007</v>
      </c>
    </row>
    <row r="65" spans="1:274" ht="18" customHeight="1">
      <c r="A65" s="249"/>
      <c r="B65" s="250"/>
      <c r="C65" s="250"/>
      <c r="D65" s="249"/>
      <c r="E65" s="36">
        <v>60</v>
      </c>
      <c r="F65" s="100"/>
      <c r="G65" s="101">
        <v>4006043300</v>
      </c>
      <c r="H65" s="102" t="s">
        <v>103</v>
      </c>
      <c r="I65" s="94">
        <v>42.98</v>
      </c>
      <c r="J65" s="36"/>
      <c r="K65" s="36"/>
      <c r="L65" s="36"/>
      <c r="M65" s="223"/>
      <c r="N65" s="48"/>
      <c r="O65" s="88"/>
      <c r="P65" s="89"/>
      <c r="Q65" s="74"/>
      <c r="R65" s="48"/>
      <c r="S65" s="88"/>
      <c r="T65" s="89"/>
      <c r="U65" s="74"/>
      <c r="V65" s="48"/>
      <c r="W65" s="88"/>
      <c r="X65" s="89"/>
      <c r="Y65" s="74"/>
      <c r="Z65" s="48"/>
      <c r="AA65" s="76"/>
      <c r="AB65" s="89"/>
      <c r="AC65" s="74"/>
      <c r="AD65" s="48"/>
      <c r="AE65" s="88"/>
      <c r="AF65" s="89"/>
      <c r="AG65" s="74"/>
      <c r="AH65" s="48"/>
      <c r="AI65" s="76"/>
      <c r="AJ65" s="89"/>
      <c r="AK65" s="74"/>
      <c r="AL65" s="42"/>
      <c r="AM65" s="77"/>
      <c r="AN65" s="48"/>
      <c r="AO65" s="74"/>
      <c r="AP65" s="42"/>
      <c r="AQ65" s="43"/>
      <c r="AR65" s="79"/>
      <c r="AS65" s="74"/>
      <c r="AT65" s="75"/>
      <c r="AU65" s="77"/>
      <c r="AV65" s="48"/>
      <c r="AW65" s="74"/>
      <c r="AX65" s="75"/>
      <c r="AY65" s="77"/>
      <c r="AZ65" s="48"/>
      <c r="BA65" s="74"/>
      <c r="BB65" s="75"/>
      <c r="BC65" s="80"/>
      <c r="BD65" s="48"/>
      <c r="BE65" s="74"/>
      <c r="BF65" s="75"/>
      <c r="BG65" s="81"/>
      <c r="BH65" s="48"/>
      <c r="BI65" s="84"/>
      <c r="BJ65" s="54"/>
      <c r="BK65" s="74">
        <v>100</v>
      </c>
      <c r="BL65" s="55">
        <f>ROUND((BK65*0.9),0)</f>
        <v>90</v>
      </c>
      <c r="BM65" s="56">
        <v>100</v>
      </c>
      <c r="BN65" s="76">
        <v>0</v>
      </c>
      <c r="BO65" s="75"/>
      <c r="BP65" s="74">
        <v>100</v>
      </c>
      <c r="BQ65" s="55">
        <f>ROUND((BP65*0.9),0)</f>
        <v>90</v>
      </c>
      <c r="BR65" s="56">
        <v>100</v>
      </c>
      <c r="BS65" s="76">
        <v>0</v>
      </c>
      <c r="BT65" s="75"/>
      <c r="BU65" s="74">
        <v>100</v>
      </c>
      <c r="BV65" s="55">
        <f>ROUND((BU65*0.9),0)</f>
        <v>90</v>
      </c>
      <c r="BW65" s="56">
        <v>100</v>
      </c>
      <c r="BX65" s="76">
        <v>0</v>
      </c>
      <c r="BY65" s="75"/>
      <c r="BZ65" s="74">
        <v>100</v>
      </c>
      <c r="CA65" s="55">
        <f>ROUND((BZ65*0.9),0)</f>
        <v>90</v>
      </c>
      <c r="CB65" s="56">
        <v>50</v>
      </c>
      <c r="CC65" s="76">
        <v>17</v>
      </c>
      <c r="CD65" s="75"/>
      <c r="CE65" s="74">
        <v>100</v>
      </c>
      <c r="CF65" s="55">
        <f>ROUND((CE65*0.9),0)</f>
        <v>90</v>
      </c>
      <c r="CG65" s="56">
        <v>50</v>
      </c>
      <c r="CH65" s="77">
        <v>4</v>
      </c>
      <c r="CI65" s="75"/>
      <c r="CJ65" s="74">
        <v>100</v>
      </c>
      <c r="CK65" s="55">
        <f>ROUND((CJ65*0.9),0)</f>
        <v>90</v>
      </c>
      <c r="CL65" s="56">
        <v>50</v>
      </c>
      <c r="CM65" s="77">
        <v>3</v>
      </c>
      <c r="CN65" s="62"/>
      <c r="CO65" s="74">
        <v>100</v>
      </c>
      <c r="CP65" s="55">
        <f>ROUND((CO65*0.9),0)</f>
        <v>90</v>
      </c>
      <c r="CQ65" s="56">
        <v>50</v>
      </c>
      <c r="CR65" s="77">
        <v>2</v>
      </c>
      <c r="CS65" s="48"/>
      <c r="CT65" s="74">
        <v>100</v>
      </c>
      <c r="CU65" s="55">
        <f>ROUND((CT65*0.9),0)</f>
        <v>90</v>
      </c>
      <c r="CV65" s="56">
        <v>20</v>
      </c>
      <c r="CW65" s="77">
        <v>20</v>
      </c>
      <c r="CX65" s="48"/>
      <c r="CY65" s="74">
        <v>100</v>
      </c>
      <c r="CZ65" s="55">
        <f>ROUND((CY65*0.9),0)</f>
        <v>90</v>
      </c>
      <c r="DA65" s="56">
        <v>20</v>
      </c>
      <c r="DB65" s="77"/>
      <c r="DC65" s="48"/>
      <c r="DD65" s="74">
        <v>100</v>
      </c>
      <c r="DE65" s="55">
        <f>ROUND((DD65*0.9),0)</f>
        <v>90</v>
      </c>
      <c r="DF65" s="56">
        <v>20</v>
      </c>
      <c r="DG65" s="77">
        <v>5</v>
      </c>
      <c r="DH65" s="48"/>
      <c r="DI65" s="74">
        <v>100</v>
      </c>
      <c r="DJ65" s="55">
        <f>ROUND((DI65*0.9),0)</f>
        <v>90</v>
      </c>
      <c r="DK65" s="56">
        <v>20</v>
      </c>
      <c r="DL65" s="80"/>
      <c r="DM65" s="48"/>
      <c r="DN65" s="74">
        <v>100</v>
      </c>
      <c r="DO65" s="55">
        <f>ROUND((DN65*0.9),0)</f>
        <v>90</v>
      </c>
      <c r="DP65" s="56">
        <v>20</v>
      </c>
      <c r="DQ65" s="81">
        <v>16</v>
      </c>
      <c r="DR65" s="48"/>
      <c r="DS65" s="54">
        <f>BK65+BP65+BU65+BZ65+CE65+CJ65+CO65+CT65+CY65+DD65+DI65+DN65</f>
        <v>1200</v>
      </c>
      <c r="DT65" s="54">
        <f>DS65*$I65</f>
        <v>51575.999999999993</v>
      </c>
      <c r="DU65" s="41">
        <v>4</v>
      </c>
      <c r="DV65" s="56">
        <f t="shared" si="132"/>
        <v>4</v>
      </c>
      <c r="DW65" s="76"/>
      <c r="DX65" s="75"/>
      <c r="DY65" s="41">
        <v>4</v>
      </c>
      <c r="DZ65" s="56">
        <f t="shared" si="133"/>
        <v>4</v>
      </c>
      <c r="EA65" s="76">
        <v>13</v>
      </c>
      <c r="EB65" s="75"/>
      <c r="EC65" s="41">
        <v>4</v>
      </c>
      <c r="ED65" s="56">
        <f t="shared" si="134"/>
        <v>4</v>
      </c>
      <c r="EE65" s="76"/>
      <c r="EF65" s="75"/>
      <c r="EG65" s="41">
        <v>4</v>
      </c>
      <c r="EH65" s="56">
        <v>5</v>
      </c>
      <c r="EI65" s="76">
        <v>35</v>
      </c>
      <c r="EJ65" s="75"/>
      <c r="EK65" s="41">
        <v>4</v>
      </c>
      <c r="EL65" s="56">
        <v>5</v>
      </c>
      <c r="EM65" s="77">
        <v>29</v>
      </c>
      <c r="EN65" s="75"/>
      <c r="EO65" s="41">
        <v>4</v>
      </c>
      <c r="EP65" s="56">
        <v>50</v>
      </c>
      <c r="EQ65" s="77"/>
      <c r="ER65" s="62"/>
      <c r="ES65" s="41">
        <v>4</v>
      </c>
      <c r="ET65" s="56">
        <v>40</v>
      </c>
      <c r="EU65" s="77"/>
      <c r="EV65" s="48"/>
      <c r="EW65" s="41">
        <v>4</v>
      </c>
      <c r="EX65" s="56">
        <v>40</v>
      </c>
      <c r="EY65" s="77"/>
      <c r="EZ65" s="48"/>
      <c r="FA65" s="41">
        <v>4</v>
      </c>
      <c r="FB65" s="56">
        <v>40</v>
      </c>
      <c r="FC65" s="77"/>
      <c r="FD65" s="48"/>
      <c r="FE65" s="41">
        <v>4</v>
      </c>
      <c r="FF65" s="56">
        <v>40</v>
      </c>
      <c r="FG65" s="77"/>
      <c r="FH65" s="48"/>
      <c r="FI65" s="41">
        <v>4</v>
      </c>
      <c r="FJ65" s="241">
        <v>40</v>
      </c>
      <c r="FK65" s="80"/>
      <c r="FL65" s="48"/>
      <c r="FM65" s="41">
        <v>4</v>
      </c>
      <c r="FN65" s="241">
        <v>40</v>
      </c>
      <c r="FO65" s="81"/>
      <c r="FP65" s="48"/>
      <c r="FQ65" s="54">
        <f t="shared" si="93"/>
        <v>48</v>
      </c>
      <c r="FR65" s="54">
        <f t="shared" si="94"/>
        <v>2063.04</v>
      </c>
      <c r="FS65" s="58" t="e">
        <v>#REF!</v>
      </c>
      <c r="FT65" s="56" t="e">
        <f t="shared" si="95"/>
        <v>#REF!</v>
      </c>
      <c r="FU65" s="76"/>
      <c r="FV65" s="75"/>
      <c r="FW65" s="58">
        <v>108.75</v>
      </c>
      <c r="FX65" s="56">
        <f t="shared" si="96"/>
        <v>108</v>
      </c>
      <c r="FY65" s="76"/>
      <c r="FZ65" s="75"/>
      <c r="GA65" s="82">
        <v>137.5</v>
      </c>
      <c r="GB65" s="56">
        <f t="shared" si="97"/>
        <v>137</v>
      </c>
      <c r="GC65" s="76"/>
      <c r="GD65" s="75"/>
      <c r="GE65" s="82">
        <v>137.5</v>
      </c>
      <c r="GF65" s="56">
        <f t="shared" si="98"/>
        <v>137</v>
      </c>
      <c r="GG65" s="76"/>
      <c r="GH65" s="75"/>
      <c r="GI65" s="82">
        <v>137.5</v>
      </c>
      <c r="GJ65" s="56">
        <f t="shared" si="99"/>
        <v>137</v>
      </c>
      <c r="GK65" s="77"/>
      <c r="GL65" s="75"/>
      <c r="GM65" s="82">
        <v>137.5</v>
      </c>
      <c r="GN65" s="56">
        <f t="shared" si="100"/>
        <v>137</v>
      </c>
      <c r="GO65" s="77"/>
      <c r="GP65" s="62"/>
      <c r="GQ65" s="82">
        <v>137.5</v>
      </c>
      <c r="GR65" s="56">
        <f t="shared" si="101"/>
        <v>137</v>
      </c>
      <c r="GS65" s="77"/>
      <c r="GT65" s="48"/>
      <c r="GU65" s="82">
        <v>137.5</v>
      </c>
      <c r="GV65" s="56">
        <f t="shared" si="102"/>
        <v>137</v>
      </c>
      <c r="GW65" s="77"/>
      <c r="GX65" s="48"/>
      <c r="GY65" s="82">
        <v>137.5</v>
      </c>
      <c r="GZ65" s="56">
        <f t="shared" si="103"/>
        <v>137</v>
      </c>
      <c r="HA65" s="77"/>
      <c r="HB65" s="48"/>
      <c r="HC65" s="82">
        <v>137.5</v>
      </c>
      <c r="HD65" s="56">
        <f t="shared" si="104"/>
        <v>137</v>
      </c>
      <c r="HE65" s="77"/>
      <c r="HF65" s="48"/>
      <c r="HG65" s="82">
        <v>137.5</v>
      </c>
      <c r="HH65" s="56">
        <f t="shared" si="105"/>
        <v>137</v>
      </c>
      <c r="HI65" s="80"/>
      <c r="HJ65" s="48"/>
      <c r="HK65" s="82">
        <v>137.5</v>
      </c>
      <c r="HL65" s="56">
        <f t="shared" si="106"/>
        <v>137</v>
      </c>
      <c r="HM65" s="81"/>
      <c r="HN65" s="48"/>
      <c r="HO65" s="54" t="e">
        <f t="shared" si="107"/>
        <v>#REF!</v>
      </c>
      <c r="HP65" s="54" t="e">
        <f t="shared" si="108"/>
        <v>#REF!</v>
      </c>
      <c r="HQ65" s="82">
        <v>137.5</v>
      </c>
      <c r="HR65" s="56">
        <f t="shared" si="109"/>
        <v>137</v>
      </c>
      <c r="HS65" s="76"/>
      <c r="HT65" s="75"/>
      <c r="HU65" s="82">
        <v>137.5</v>
      </c>
      <c r="HV65" s="56">
        <f t="shared" si="110"/>
        <v>137</v>
      </c>
      <c r="HW65" s="76"/>
      <c r="HX65" s="75"/>
      <c r="HY65" s="82">
        <v>137.5</v>
      </c>
      <c r="HZ65" s="56">
        <f t="shared" si="111"/>
        <v>137</v>
      </c>
      <c r="IA65" s="76"/>
      <c r="IB65" s="75"/>
      <c r="IC65" s="82">
        <v>137.5</v>
      </c>
      <c r="ID65" s="56">
        <f t="shared" si="112"/>
        <v>137</v>
      </c>
      <c r="IE65" s="76"/>
      <c r="IF65" s="75"/>
      <c r="IG65" s="82">
        <v>137.5</v>
      </c>
      <c r="IH65" s="56">
        <f t="shared" si="113"/>
        <v>137</v>
      </c>
      <c r="II65" s="77"/>
      <c r="IJ65" s="75"/>
      <c r="IK65" s="82">
        <v>137.5</v>
      </c>
      <c r="IL65" s="56">
        <f t="shared" si="114"/>
        <v>137</v>
      </c>
      <c r="IM65" s="77"/>
      <c r="IN65" s="62"/>
      <c r="IO65" s="82">
        <v>137.5</v>
      </c>
      <c r="IP65" s="56">
        <f t="shared" si="115"/>
        <v>137</v>
      </c>
      <c r="IQ65" s="77"/>
      <c r="IR65" s="48"/>
      <c r="IS65" s="82">
        <v>137.5</v>
      </c>
      <c r="IT65" s="56">
        <f t="shared" si="116"/>
        <v>137</v>
      </c>
      <c r="IU65" s="77"/>
      <c r="IV65" s="48"/>
      <c r="IW65" s="82">
        <v>137.5</v>
      </c>
      <c r="IX65" s="56">
        <f t="shared" si="117"/>
        <v>137</v>
      </c>
      <c r="IY65" s="77"/>
      <c r="IZ65" s="48"/>
      <c r="JA65" s="82">
        <v>137.5</v>
      </c>
      <c r="JB65" s="56">
        <f t="shared" si="118"/>
        <v>137</v>
      </c>
      <c r="JC65" s="77"/>
      <c r="JD65" s="48"/>
      <c r="JE65" s="82">
        <v>137.5</v>
      </c>
      <c r="JF65" s="56">
        <f t="shared" si="119"/>
        <v>137</v>
      </c>
      <c r="JG65" s="80"/>
      <c r="JH65" s="48"/>
      <c r="JI65" s="82">
        <v>137.5</v>
      </c>
      <c r="JJ65" s="56">
        <f t="shared" si="120"/>
        <v>137</v>
      </c>
      <c r="JK65" s="81"/>
      <c r="JL65" s="48"/>
      <c r="JM65" s="54">
        <f t="shared" si="121"/>
        <v>1650</v>
      </c>
      <c r="JN65" s="54">
        <f t="shared" si="122"/>
        <v>70917</v>
      </c>
    </row>
    <row r="66" spans="1:274">
      <c r="A66" s="249"/>
      <c r="B66" s="60"/>
      <c r="C66" s="60"/>
      <c r="D66" s="249"/>
      <c r="E66" s="36">
        <v>61</v>
      </c>
      <c r="F66" s="103"/>
      <c r="G66" s="104" t="s">
        <v>104</v>
      </c>
      <c r="H66" s="105" t="s">
        <v>105</v>
      </c>
      <c r="I66" s="220">
        <v>625</v>
      </c>
      <c r="J66" s="36"/>
      <c r="K66" s="36"/>
      <c r="L66" s="36"/>
      <c r="M66" s="223"/>
      <c r="N66" s="48"/>
      <c r="O66" s="88"/>
      <c r="P66" s="89"/>
      <c r="Q66" s="74"/>
      <c r="R66" s="48"/>
      <c r="S66" s="88"/>
      <c r="T66" s="89"/>
      <c r="U66" s="74"/>
      <c r="V66" s="48"/>
      <c r="W66" s="88"/>
      <c r="X66" s="89"/>
      <c r="Y66" s="74"/>
      <c r="Z66" s="48"/>
      <c r="AA66" s="76"/>
      <c r="AB66" s="89"/>
      <c r="AC66" s="74"/>
      <c r="AD66" s="48"/>
      <c r="AE66" s="88"/>
      <c r="AF66" s="89"/>
      <c r="AG66" s="74"/>
      <c r="AH66" s="48"/>
      <c r="AI66" s="76"/>
      <c r="AJ66" s="89"/>
      <c r="AK66" s="74"/>
      <c r="AL66" s="42"/>
      <c r="AM66" s="77"/>
      <c r="AN66" s="48"/>
      <c r="AO66" s="74"/>
      <c r="AP66" s="42"/>
      <c r="AQ66" s="43"/>
      <c r="AR66" s="79"/>
      <c r="AS66" s="74"/>
      <c r="AT66" s="75"/>
      <c r="AU66" s="77"/>
      <c r="AV66" s="48"/>
      <c r="AW66" s="74"/>
      <c r="AX66" s="75"/>
      <c r="AY66" s="77"/>
      <c r="AZ66" s="48"/>
      <c r="BA66" s="74"/>
      <c r="BB66" s="75"/>
      <c r="BC66" s="80"/>
      <c r="BD66" s="48"/>
      <c r="BE66" s="74"/>
      <c r="BF66" s="75"/>
      <c r="BG66" s="81"/>
      <c r="BH66" s="48"/>
      <c r="BI66" s="84"/>
      <c r="BJ66" s="54"/>
      <c r="BK66" s="74"/>
      <c r="BL66" s="107"/>
      <c r="BM66" s="108"/>
      <c r="BN66" s="76"/>
      <c r="BO66" s="75"/>
      <c r="BP66" s="74"/>
      <c r="BQ66" s="107"/>
      <c r="BR66" s="108"/>
      <c r="BS66" s="76"/>
      <c r="BT66" s="75"/>
      <c r="BU66" s="74"/>
      <c r="BV66" s="107"/>
      <c r="BW66" s="108"/>
      <c r="BX66" s="76"/>
      <c r="BY66" s="75"/>
      <c r="BZ66" s="74"/>
      <c r="CA66" s="107"/>
      <c r="CB66" s="108"/>
      <c r="CC66" s="76">
        <v>0</v>
      </c>
      <c r="CD66" s="75"/>
      <c r="CE66" s="74"/>
      <c r="CF66" s="107"/>
      <c r="CG66" s="108">
        <v>5</v>
      </c>
      <c r="CH66" s="77">
        <v>0</v>
      </c>
      <c r="CI66" s="75"/>
      <c r="CJ66" s="74"/>
      <c r="CK66" s="107"/>
      <c r="CL66" s="108">
        <v>5</v>
      </c>
      <c r="CM66" s="77"/>
      <c r="CN66" s="62"/>
      <c r="CO66" s="74"/>
      <c r="CP66" s="107"/>
      <c r="CQ66" s="108">
        <v>5</v>
      </c>
      <c r="CR66" s="77">
        <v>5</v>
      </c>
      <c r="CS66" s="48"/>
      <c r="CT66" s="74"/>
      <c r="CU66" s="107"/>
      <c r="CV66" s="108">
        <v>5</v>
      </c>
      <c r="CW66" s="77"/>
      <c r="CX66" s="48"/>
      <c r="CY66" s="74"/>
      <c r="CZ66" s="107"/>
      <c r="DA66" s="108">
        <v>5</v>
      </c>
      <c r="DB66" s="77"/>
      <c r="DC66" s="48"/>
      <c r="DD66" s="74"/>
      <c r="DE66" s="107"/>
      <c r="DF66" s="108">
        <v>5</v>
      </c>
      <c r="DG66" s="77"/>
      <c r="DH66" s="48"/>
      <c r="DI66" s="74"/>
      <c r="DJ66" s="107"/>
      <c r="DK66" s="108">
        <v>5</v>
      </c>
      <c r="DL66" s="80"/>
      <c r="DM66" s="48"/>
      <c r="DN66" s="74"/>
      <c r="DO66" s="107"/>
      <c r="DP66" s="108">
        <v>5</v>
      </c>
      <c r="DQ66" s="81"/>
      <c r="DR66" s="48"/>
      <c r="DS66" s="54"/>
      <c r="DT66" s="54"/>
      <c r="DU66" s="41">
        <v>1</v>
      </c>
      <c r="DV66" s="56">
        <f t="shared" si="132"/>
        <v>1</v>
      </c>
      <c r="DW66" s="76">
        <v>2</v>
      </c>
      <c r="DX66" s="75"/>
      <c r="DY66" s="41">
        <v>1</v>
      </c>
      <c r="DZ66" s="56">
        <f t="shared" si="133"/>
        <v>1</v>
      </c>
      <c r="EA66" s="76"/>
      <c r="EB66" s="75"/>
      <c r="EC66" s="41">
        <v>1</v>
      </c>
      <c r="ED66" s="56">
        <f t="shared" si="134"/>
        <v>1</v>
      </c>
      <c r="EE66" s="76"/>
      <c r="EF66" s="75"/>
      <c r="EG66" s="41">
        <v>1</v>
      </c>
      <c r="EH66" s="56">
        <f>ROUNDDOWN(EG66,0)</f>
        <v>1</v>
      </c>
      <c r="EI66" s="76"/>
      <c r="EJ66" s="75"/>
      <c r="EK66" s="41">
        <v>1</v>
      </c>
      <c r="EL66" s="56">
        <f>ROUNDDOWN(EK66,0)</f>
        <v>1</v>
      </c>
      <c r="EM66" s="77"/>
      <c r="EN66" s="75"/>
      <c r="EO66" s="41">
        <v>1</v>
      </c>
      <c r="EP66" s="56">
        <f>ROUNDDOWN(EO66,0)</f>
        <v>1</v>
      </c>
      <c r="EQ66" s="77"/>
      <c r="ER66" s="62"/>
      <c r="ES66" s="41">
        <v>1</v>
      </c>
      <c r="ET66" s="56">
        <f>ROUNDDOWN(ES66,0)</f>
        <v>1</v>
      </c>
      <c r="EU66" s="77"/>
      <c r="EV66" s="48"/>
      <c r="EW66" s="41">
        <v>1</v>
      </c>
      <c r="EX66" s="56">
        <f>ROUNDDOWN(EW66,0)</f>
        <v>1</v>
      </c>
      <c r="EY66" s="77"/>
      <c r="EZ66" s="48"/>
      <c r="FA66" s="41">
        <v>1</v>
      </c>
      <c r="FB66" s="56">
        <f>ROUNDDOWN(FA66,0)</f>
        <v>1</v>
      </c>
      <c r="FC66" s="77"/>
      <c r="FD66" s="48"/>
      <c r="FE66" s="41">
        <v>1</v>
      </c>
      <c r="FF66" s="56">
        <f>ROUNDDOWN(FE66,0)</f>
        <v>1</v>
      </c>
      <c r="FG66" s="77"/>
      <c r="FH66" s="48"/>
      <c r="FI66" s="41">
        <v>1</v>
      </c>
      <c r="FJ66" s="241">
        <f>ROUNDDOWN(FI66,0)</f>
        <v>1</v>
      </c>
      <c r="FK66" s="80"/>
      <c r="FL66" s="48"/>
      <c r="FM66" s="41">
        <v>1</v>
      </c>
      <c r="FN66" s="241">
        <f>ROUNDDOWN(FM66,0)</f>
        <v>1</v>
      </c>
      <c r="FO66" s="81"/>
      <c r="FP66" s="48"/>
      <c r="FQ66" s="54">
        <f t="shared" si="93"/>
        <v>12</v>
      </c>
      <c r="FR66" s="54">
        <f t="shared" si="94"/>
        <v>7500</v>
      </c>
      <c r="FS66" s="58" t="e">
        <v>#REF!</v>
      </c>
      <c r="FT66" s="56" t="e">
        <f t="shared" si="95"/>
        <v>#REF!</v>
      </c>
      <c r="FU66" s="76"/>
      <c r="FV66" s="75"/>
      <c r="FW66" s="58">
        <v>4.3499999999999996</v>
      </c>
      <c r="FX66" s="56">
        <f t="shared" si="96"/>
        <v>4</v>
      </c>
      <c r="FY66" s="76"/>
      <c r="FZ66" s="75"/>
      <c r="GA66" s="82">
        <v>5.5</v>
      </c>
      <c r="GB66" s="56">
        <f t="shared" si="97"/>
        <v>5</v>
      </c>
      <c r="GC66" s="76"/>
      <c r="GD66" s="75"/>
      <c r="GE66" s="82">
        <v>5.5</v>
      </c>
      <c r="GF66" s="56">
        <f t="shared" si="98"/>
        <v>5</v>
      </c>
      <c r="GG66" s="76"/>
      <c r="GH66" s="75"/>
      <c r="GI66" s="82">
        <v>5.5</v>
      </c>
      <c r="GJ66" s="56">
        <f t="shared" si="99"/>
        <v>5</v>
      </c>
      <c r="GK66" s="77"/>
      <c r="GL66" s="75"/>
      <c r="GM66" s="82">
        <v>5.5</v>
      </c>
      <c r="GN66" s="56">
        <f t="shared" si="100"/>
        <v>5</v>
      </c>
      <c r="GO66" s="77"/>
      <c r="GP66" s="62"/>
      <c r="GQ66" s="82">
        <v>5.5</v>
      </c>
      <c r="GR66" s="56">
        <f t="shared" si="101"/>
        <v>5</v>
      </c>
      <c r="GS66" s="77"/>
      <c r="GT66" s="48"/>
      <c r="GU66" s="82">
        <v>5.5</v>
      </c>
      <c r="GV66" s="56">
        <f t="shared" si="102"/>
        <v>5</v>
      </c>
      <c r="GW66" s="77"/>
      <c r="GX66" s="48"/>
      <c r="GY66" s="82">
        <v>5.5</v>
      </c>
      <c r="GZ66" s="56">
        <f t="shared" si="103"/>
        <v>5</v>
      </c>
      <c r="HA66" s="77"/>
      <c r="HB66" s="48"/>
      <c r="HC66" s="82">
        <v>5.5</v>
      </c>
      <c r="HD66" s="56">
        <f t="shared" si="104"/>
        <v>5</v>
      </c>
      <c r="HE66" s="77"/>
      <c r="HF66" s="48"/>
      <c r="HG66" s="82">
        <v>5.5</v>
      </c>
      <c r="HH66" s="56">
        <f t="shared" si="105"/>
        <v>5</v>
      </c>
      <c r="HI66" s="80"/>
      <c r="HJ66" s="48"/>
      <c r="HK66" s="82">
        <v>5.5</v>
      </c>
      <c r="HL66" s="56">
        <f t="shared" si="106"/>
        <v>5</v>
      </c>
      <c r="HM66" s="81"/>
      <c r="HN66" s="48"/>
      <c r="HO66" s="54" t="e">
        <f t="shared" si="107"/>
        <v>#REF!</v>
      </c>
      <c r="HP66" s="54" t="e">
        <f t="shared" si="108"/>
        <v>#REF!</v>
      </c>
      <c r="HQ66" s="82">
        <v>5.5</v>
      </c>
      <c r="HR66" s="56">
        <f t="shared" si="109"/>
        <v>5</v>
      </c>
      <c r="HS66" s="76"/>
      <c r="HT66" s="75"/>
      <c r="HU66" s="82">
        <v>5.5</v>
      </c>
      <c r="HV66" s="56">
        <f t="shared" si="110"/>
        <v>5</v>
      </c>
      <c r="HW66" s="76"/>
      <c r="HX66" s="75"/>
      <c r="HY66" s="82">
        <v>5.5</v>
      </c>
      <c r="HZ66" s="56">
        <f t="shared" si="111"/>
        <v>5</v>
      </c>
      <c r="IA66" s="76"/>
      <c r="IB66" s="75"/>
      <c r="IC66" s="82">
        <v>5.5</v>
      </c>
      <c r="ID66" s="56">
        <f t="shared" si="112"/>
        <v>5</v>
      </c>
      <c r="IE66" s="76"/>
      <c r="IF66" s="75"/>
      <c r="IG66" s="82">
        <v>5.5</v>
      </c>
      <c r="IH66" s="56">
        <f t="shared" si="113"/>
        <v>5</v>
      </c>
      <c r="II66" s="77"/>
      <c r="IJ66" s="75"/>
      <c r="IK66" s="82">
        <v>5.5</v>
      </c>
      <c r="IL66" s="56">
        <f t="shared" si="114"/>
        <v>5</v>
      </c>
      <c r="IM66" s="77"/>
      <c r="IN66" s="62"/>
      <c r="IO66" s="82">
        <v>5.5</v>
      </c>
      <c r="IP66" s="56">
        <f t="shared" si="115"/>
        <v>5</v>
      </c>
      <c r="IQ66" s="77"/>
      <c r="IR66" s="48"/>
      <c r="IS66" s="82">
        <v>5.5</v>
      </c>
      <c r="IT66" s="56">
        <f t="shared" si="116"/>
        <v>5</v>
      </c>
      <c r="IU66" s="77"/>
      <c r="IV66" s="48"/>
      <c r="IW66" s="82">
        <v>5.5</v>
      </c>
      <c r="IX66" s="56">
        <f t="shared" si="117"/>
        <v>5</v>
      </c>
      <c r="IY66" s="77"/>
      <c r="IZ66" s="48"/>
      <c r="JA66" s="82">
        <v>5.5</v>
      </c>
      <c r="JB66" s="56">
        <f t="shared" si="118"/>
        <v>5</v>
      </c>
      <c r="JC66" s="77"/>
      <c r="JD66" s="48"/>
      <c r="JE66" s="82">
        <v>5.5</v>
      </c>
      <c r="JF66" s="56">
        <f t="shared" si="119"/>
        <v>5</v>
      </c>
      <c r="JG66" s="80"/>
      <c r="JH66" s="48"/>
      <c r="JI66" s="82">
        <v>5.5</v>
      </c>
      <c r="JJ66" s="56">
        <f t="shared" si="120"/>
        <v>5</v>
      </c>
      <c r="JK66" s="81"/>
      <c r="JL66" s="48"/>
      <c r="JM66" s="54">
        <f t="shared" si="121"/>
        <v>66</v>
      </c>
      <c r="JN66" s="54">
        <f t="shared" si="122"/>
        <v>41250</v>
      </c>
    </row>
    <row r="67" spans="1:274">
      <c r="A67" s="249"/>
      <c r="B67" s="60"/>
      <c r="C67" s="60"/>
      <c r="D67" s="249"/>
      <c r="E67" s="36">
        <v>62</v>
      </c>
      <c r="F67" s="103"/>
      <c r="G67" s="104" t="s">
        <v>106</v>
      </c>
      <c r="H67" s="105" t="s">
        <v>107</v>
      </c>
      <c r="I67" s="220">
        <v>640</v>
      </c>
      <c r="J67" s="36"/>
      <c r="K67" s="36"/>
      <c r="L67" s="36"/>
      <c r="M67" s="223"/>
      <c r="N67" s="48"/>
      <c r="O67" s="88"/>
      <c r="P67" s="89"/>
      <c r="Q67" s="74"/>
      <c r="R67" s="48"/>
      <c r="S67" s="88"/>
      <c r="T67" s="89"/>
      <c r="U67" s="74"/>
      <c r="V67" s="48"/>
      <c r="W67" s="88"/>
      <c r="X67" s="89"/>
      <c r="Y67" s="74"/>
      <c r="Z67" s="48"/>
      <c r="AA67" s="76"/>
      <c r="AB67" s="89"/>
      <c r="AC67" s="74"/>
      <c r="AD67" s="48"/>
      <c r="AE67" s="88"/>
      <c r="AF67" s="89"/>
      <c r="AG67" s="74"/>
      <c r="AH67" s="48"/>
      <c r="AI67" s="76"/>
      <c r="AJ67" s="89"/>
      <c r="AK67" s="74"/>
      <c r="AL67" s="42"/>
      <c r="AM67" s="77"/>
      <c r="AN67" s="48"/>
      <c r="AO67" s="74"/>
      <c r="AP67" s="42"/>
      <c r="AQ67" s="43"/>
      <c r="AR67" s="79"/>
      <c r="AS67" s="74"/>
      <c r="AT67" s="75"/>
      <c r="AU67" s="77"/>
      <c r="AV67" s="48"/>
      <c r="AW67" s="74"/>
      <c r="AX67" s="75"/>
      <c r="AY67" s="77"/>
      <c r="AZ67" s="48"/>
      <c r="BA67" s="74"/>
      <c r="BB67" s="75"/>
      <c r="BC67" s="80"/>
      <c r="BD67" s="48"/>
      <c r="BE67" s="74"/>
      <c r="BF67" s="75"/>
      <c r="BG67" s="81"/>
      <c r="BH67" s="48"/>
      <c r="BI67" s="84"/>
      <c r="BJ67" s="54"/>
      <c r="BK67" s="74"/>
      <c r="BL67" s="107"/>
      <c r="BM67" s="108"/>
      <c r="BN67" s="76"/>
      <c r="BO67" s="75"/>
      <c r="BP67" s="74"/>
      <c r="BQ67" s="107"/>
      <c r="BR67" s="108"/>
      <c r="BS67" s="76"/>
      <c r="BT67" s="75"/>
      <c r="BU67" s="74"/>
      <c r="BV67" s="107"/>
      <c r="BW67" s="108"/>
      <c r="BX67" s="76"/>
      <c r="BY67" s="75"/>
      <c r="BZ67" s="74"/>
      <c r="CA67" s="107"/>
      <c r="CB67" s="108"/>
      <c r="CC67" s="76">
        <v>0</v>
      </c>
      <c r="CD67" s="75"/>
      <c r="CE67" s="74"/>
      <c r="CF67" s="107"/>
      <c r="CG67" s="108">
        <v>5</v>
      </c>
      <c r="CH67" s="77">
        <v>0</v>
      </c>
      <c r="CI67" s="75"/>
      <c r="CJ67" s="74"/>
      <c r="CK67" s="107"/>
      <c r="CL67" s="108">
        <v>5</v>
      </c>
      <c r="CM67" s="77"/>
      <c r="CN67" s="62"/>
      <c r="CO67" s="74"/>
      <c r="CP67" s="107"/>
      <c r="CQ67" s="108">
        <v>5</v>
      </c>
      <c r="CR67" s="77">
        <v>1</v>
      </c>
      <c r="CS67" s="48"/>
      <c r="CT67" s="74"/>
      <c r="CU67" s="107"/>
      <c r="CV67" s="108">
        <v>5</v>
      </c>
      <c r="CW67" s="77"/>
      <c r="CX67" s="48"/>
      <c r="CY67" s="74"/>
      <c r="CZ67" s="107"/>
      <c r="DA67" s="108">
        <v>5</v>
      </c>
      <c r="DB67" s="77"/>
      <c r="DC67" s="48"/>
      <c r="DD67" s="74"/>
      <c r="DE67" s="107"/>
      <c r="DF67" s="108">
        <v>5</v>
      </c>
      <c r="DG67" s="77"/>
      <c r="DH67" s="48"/>
      <c r="DI67" s="74"/>
      <c r="DJ67" s="107"/>
      <c r="DK67" s="108">
        <v>5</v>
      </c>
      <c r="DL67" s="80"/>
      <c r="DM67" s="48"/>
      <c r="DN67" s="74"/>
      <c r="DO67" s="107"/>
      <c r="DP67" s="108">
        <v>15</v>
      </c>
      <c r="DQ67" s="81">
        <v>15</v>
      </c>
      <c r="DR67" s="48"/>
      <c r="DS67" s="54"/>
      <c r="DT67" s="54"/>
      <c r="DU67" s="41">
        <v>1</v>
      </c>
      <c r="DV67" s="56">
        <v>5</v>
      </c>
      <c r="DW67" s="76"/>
      <c r="DX67" s="75"/>
      <c r="DY67" s="41">
        <v>1</v>
      </c>
      <c r="DZ67" s="56">
        <v>20</v>
      </c>
      <c r="EA67" s="76">
        <v>13</v>
      </c>
      <c r="EB67" s="75"/>
      <c r="EC67" s="41">
        <v>1</v>
      </c>
      <c r="ED67" s="56">
        <v>20</v>
      </c>
      <c r="EE67" s="76">
        <v>20</v>
      </c>
      <c r="EF67" s="75"/>
      <c r="EG67" s="41">
        <v>1</v>
      </c>
      <c r="EH67" s="56">
        <v>0</v>
      </c>
      <c r="EI67" s="76">
        <v>20</v>
      </c>
      <c r="EJ67" s="75"/>
      <c r="EK67" s="41">
        <v>1</v>
      </c>
      <c r="EL67" s="56">
        <v>30</v>
      </c>
      <c r="EM67" s="77">
        <v>3</v>
      </c>
      <c r="EN67" s="75"/>
      <c r="EO67" s="41">
        <v>20</v>
      </c>
      <c r="EP67" s="56">
        <v>0</v>
      </c>
      <c r="EQ67" s="77"/>
      <c r="ER67" s="62"/>
      <c r="ES67" s="41">
        <v>1</v>
      </c>
      <c r="ET67" s="56">
        <v>0</v>
      </c>
      <c r="EU67" s="77"/>
      <c r="EV67" s="48"/>
      <c r="EW67" s="41">
        <v>1</v>
      </c>
      <c r="EX67" s="56">
        <v>30</v>
      </c>
      <c r="EY67" s="77"/>
      <c r="EZ67" s="48"/>
      <c r="FA67" s="41">
        <v>1</v>
      </c>
      <c r="FB67" s="56">
        <v>30</v>
      </c>
      <c r="FC67" s="77"/>
      <c r="FD67" s="48"/>
      <c r="FE67" s="41">
        <v>1</v>
      </c>
      <c r="FF67" s="56">
        <v>30</v>
      </c>
      <c r="FG67" s="77"/>
      <c r="FH67" s="48"/>
      <c r="FI67" s="41">
        <v>1</v>
      </c>
      <c r="FJ67" s="241">
        <v>30</v>
      </c>
      <c r="FK67" s="80"/>
      <c r="FL67" s="48"/>
      <c r="FM67" s="41">
        <v>1</v>
      </c>
      <c r="FN67" s="241">
        <v>30</v>
      </c>
      <c r="FO67" s="81"/>
      <c r="FP67" s="48"/>
      <c r="FQ67" s="54">
        <f t="shared" si="93"/>
        <v>31</v>
      </c>
      <c r="FR67" s="54">
        <f t="shared" si="94"/>
        <v>19840</v>
      </c>
      <c r="FS67" s="58" t="e">
        <v>#REF!</v>
      </c>
      <c r="FT67" s="56" t="e">
        <f t="shared" si="95"/>
        <v>#REF!</v>
      </c>
      <c r="FU67" s="76"/>
      <c r="FV67" s="75"/>
      <c r="FW67" s="58">
        <v>4.3499999999999996</v>
      </c>
      <c r="FX67" s="56">
        <f t="shared" si="96"/>
        <v>4</v>
      </c>
      <c r="FY67" s="76"/>
      <c r="FZ67" s="75"/>
      <c r="GA67" s="82">
        <v>5.5</v>
      </c>
      <c r="GB67" s="56">
        <f t="shared" si="97"/>
        <v>5</v>
      </c>
      <c r="GC67" s="76"/>
      <c r="GD67" s="75"/>
      <c r="GE67" s="82">
        <v>5.5</v>
      </c>
      <c r="GF67" s="56">
        <f t="shared" si="98"/>
        <v>5</v>
      </c>
      <c r="GG67" s="76"/>
      <c r="GH67" s="75"/>
      <c r="GI67" s="82">
        <v>5.5</v>
      </c>
      <c r="GJ67" s="56">
        <f t="shared" si="99"/>
        <v>5</v>
      </c>
      <c r="GK67" s="77"/>
      <c r="GL67" s="75"/>
      <c r="GM67" s="82">
        <v>5.5</v>
      </c>
      <c r="GN67" s="56">
        <f t="shared" si="100"/>
        <v>5</v>
      </c>
      <c r="GO67" s="77"/>
      <c r="GP67" s="62"/>
      <c r="GQ67" s="82">
        <v>5.5</v>
      </c>
      <c r="GR67" s="56">
        <f t="shared" si="101"/>
        <v>5</v>
      </c>
      <c r="GS67" s="77"/>
      <c r="GT67" s="48"/>
      <c r="GU67" s="82">
        <v>5.5</v>
      </c>
      <c r="GV67" s="56">
        <f t="shared" si="102"/>
        <v>5</v>
      </c>
      <c r="GW67" s="77"/>
      <c r="GX67" s="48"/>
      <c r="GY67" s="82">
        <v>5.5</v>
      </c>
      <c r="GZ67" s="56">
        <f t="shared" si="103"/>
        <v>5</v>
      </c>
      <c r="HA67" s="77"/>
      <c r="HB67" s="48"/>
      <c r="HC67" s="82">
        <v>5.5</v>
      </c>
      <c r="HD67" s="56">
        <f t="shared" si="104"/>
        <v>5</v>
      </c>
      <c r="HE67" s="77"/>
      <c r="HF67" s="48"/>
      <c r="HG67" s="82">
        <v>5.5</v>
      </c>
      <c r="HH67" s="56">
        <f t="shared" si="105"/>
        <v>5</v>
      </c>
      <c r="HI67" s="80"/>
      <c r="HJ67" s="48"/>
      <c r="HK67" s="82">
        <v>5.5</v>
      </c>
      <c r="HL67" s="56">
        <f t="shared" si="106"/>
        <v>5</v>
      </c>
      <c r="HM67" s="81"/>
      <c r="HN67" s="48"/>
      <c r="HO67" s="54" t="e">
        <f t="shared" si="107"/>
        <v>#REF!</v>
      </c>
      <c r="HP67" s="54" t="e">
        <f t="shared" si="108"/>
        <v>#REF!</v>
      </c>
      <c r="HQ67" s="82">
        <v>5.5</v>
      </c>
      <c r="HR67" s="56">
        <f t="shared" si="109"/>
        <v>5</v>
      </c>
      <c r="HS67" s="76"/>
      <c r="HT67" s="75"/>
      <c r="HU67" s="82">
        <v>5.5</v>
      </c>
      <c r="HV67" s="56">
        <f t="shared" si="110"/>
        <v>5</v>
      </c>
      <c r="HW67" s="76"/>
      <c r="HX67" s="75"/>
      <c r="HY67" s="82">
        <v>5.5</v>
      </c>
      <c r="HZ67" s="56">
        <f t="shared" si="111"/>
        <v>5</v>
      </c>
      <c r="IA67" s="76"/>
      <c r="IB67" s="75"/>
      <c r="IC67" s="82">
        <v>5.5</v>
      </c>
      <c r="ID67" s="56">
        <f t="shared" si="112"/>
        <v>5</v>
      </c>
      <c r="IE67" s="76"/>
      <c r="IF67" s="75"/>
      <c r="IG67" s="82">
        <v>5.5</v>
      </c>
      <c r="IH67" s="56">
        <f t="shared" si="113"/>
        <v>5</v>
      </c>
      <c r="II67" s="77"/>
      <c r="IJ67" s="75"/>
      <c r="IK67" s="82">
        <v>5.5</v>
      </c>
      <c r="IL67" s="56">
        <f t="shared" si="114"/>
        <v>5</v>
      </c>
      <c r="IM67" s="77"/>
      <c r="IN67" s="62"/>
      <c r="IO67" s="82">
        <v>5.5</v>
      </c>
      <c r="IP67" s="56">
        <f t="shared" si="115"/>
        <v>5</v>
      </c>
      <c r="IQ67" s="77"/>
      <c r="IR67" s="48"/>
      <c r="IS67" s="82">
        <v>5.5</v>
      </c>
      <c r="IT67" s="56">
        <f t="shared" si="116"/>
        <v>5</v>
      </c>
      <c r="IU67" s="77"/>
      <c r="IV67" s="48"/>
      <c r="IW67" s="82">
        <v>5.5</v>
      </c>
      <c r="IX67" s="56">
        <f t="shared" si="117"/>
        <v>5</v>
      </c>
      <c r="IY67" s="77"/>
      <c r="IZ67" s="48"/>
      <c r="JA67" s="82">
        <v>5.5</v>
      </c>
      <c r="JB67" s="56">
        <f t="shared" si="118"/>
        <v>5</v>
      </c>
      <c r="JC67" s="77"/>
      <c r="JD67" s="48"/>
      <c r="JE67" s="82">
        <v>5.5</v>
      </c>
      <c r="JF67" s="56">
        <f t="shared" si="119"/>
        <v>5</v>
      </c>
      <c r="JG67" s="80"/>
      <c r="JH67" s="48"/>
      <c r="JI67" s="82">
        <v>5.5</v>
      </c>
      <c r="JJ67" s="56">
        <f t="shared" si="120"/>
        <v>5</v>
      </c>
      <c r="JK67" s="81"/>
      <c r="JL67" s="48"/>
      <c r="JM67" s="54">
        <f t="shared" si="121"/>
        <v>66</v>
      </c>
      <c r="JN67" s="54">
        <f t="shared" si="122"/>
        <v>42240</v>
      </c>
    </row>
    <row r="68" spans="1:274">
      <c r="A68" s="249"/>
      <c r="B68" s="60"/>
      <c r="C68" s="60"/>
      <c r="D68" s="249"/>
      <c r="E68" s="36">
        <v>63</v>
      </c>
      <c r="F68" s="103"/>
      <c r="G68" s="104" t="s">
        <v>108</v>
      </c>
      <c r="H68" s="105" t="s">
        <v>109</v>
      </c>
      <c r="I68" s="220">
        <v>135</v>
      </c>
      <c r="J68" s="36"/>
      <c r="K68" s="36"/>
      <c r="L68" s="36"/>
      <c r="M68" s="223"/>
      <c r="N68" s="48"/>
      <c r="O68" s="88"/>
      <c r="P68" s="89"/>
      <c r="Q68" s="74"/>
      <c r="R68" s="48"/>
      <c r="S68" s="88"/>
      <c r="T68" s="89"/>
      <c r="U68" s="74"/>
      <c r="V68" s="48"/>
      <c r="W68" s="88"/>
      <c r="X68" s="89"/>
      <c r="Y68" s="74"/>
      <c r="Z68" s="48"/>
      <c r="AA68" s="76"/>
      <c r="AB68" s="89"/>
      <c r="AC68" s="74"/>
      <c r="AD68" s="48"/>
      <c r="AE68" s="88"/>
      <c r="AF68" s="89"/>
      <c r="AG68" s="74"/>
      <c r="AH68" s="48"/>
      <c r="AI68" s="76"/>
      <c r="AJ68" s="89"/>
      <c r="AK68" s="74"/>
      <c r="AL68" s="42"/>
      <c r="AM68" s="77"/>
      <c r="AN68" s="48"/>
      <c r="AO68" s="74"/>
      <c r="AP68" s="42"/>
      <c r="AQ68" s="43"/>
      <c r="AR68" s="79"/>
      <c r="AS68" s="74"/>
      <c r="AT68" s="75"/>
      <c r="AU68" s="77"/>
      <c r="AV68" s="48"/>
      <c r="AW68" s="74"/>
      <c r="AX68" s="75"/>
      <c r="AY68" s="77"/>
      <c r="AZ68" s="48"/>
      <c r="BA68" s="74"/>
      <c r="BB68" s="75"/>
      <c r="BC68" s="80"/>
      <c r="BD68" s="48"/>
      <c r="BE68" s="74"/>
      <c r="BF68" s="75"/>
      <c r="BG68" s="81"/>
      <c r="BH68" s="48"/>
      <c r="BI68" s="84"/>
      <c r="BJ68" s="54"/>
      <c r="BK68" s="74"/>
      <c r="BL68" s="107"/>
      <c r="BM68" s="108"/>
      <c r="BN68" s="76"/>
      <c r="BO68" s="75"/>
      <c r="BP68" s="74"/>
      <c r="BQ68" s="107"/>
      <c r="BR68" s="108"/>
      <c r="BS68" s="76"/>
      <c r="BT68" s="75"/>
      <c r="BU68" s="74"/>
      <c r="BV68" s="107"/>
      <c r="BW68" s="108"/>
      <c r="BX68" s="76"/>
      <c r="BY68" s="75"/>
      <c r="BZ68" s="74"/>
      <c r="CA68" s="107"/>
      <c r="CB68" s="108"/>
      <c r="CC68" s="76">
        <v>0</v>
      </c>
      <c r="CD68" s="75"/>
      <c r="CE68" s="74"/>
      <c r="CF68" s="107"/>
      <c r="CG68" s="108">
        <v>5</v>
      </c>
      <c r="CH68" s="77">
        <v>5</v>
      </c>
      <c r="CI68" s="75"/>
      <c r="CJ68" s="74"/>
      <c r="CK68" s="107"/>
      <c r="CL68" s="108">
        <v>5</v>
      </c>
      <c r="CM68" s="77"/>
      <c r="CN68" s="62"/>
      <c r="CO68" s="74"/>
      <c r="CP68" s="107"/>
      <c r="CQ68" s="108">
        <v>5</v>
      </c>
      <c r="CR68" s="77">
        <v>2</v>
      </c>
      <c r="CS68" s="48"/>
      <c r="CT68" s="74"/>
      <c r="CU68" s="107"/>
      <c r="CV68" s="108">
        <v>5</v>
      </c>
      <c r="CW68" s="77"/>
      <c r="CX68" s="48"/>
      <c r="CY68" s="74"/>
      <c r="CZ68" s="107"/>
      <c r="DA68" s="108">
        <v>5</v>
      </c>
      <c r="DB68" s="77"/>
      <c r="DC68" s="48"/>
      <c r="DD68" s="74"/>
      <c r="DE68" s="107"/>
      <c r="DF68" s="108">
        <v>5</v>
      </c>
      <c r="DG68" s="77">
        <v>1</v>
      </c>
      <c r="DH68" s="48"/>
      <c r="DI68" s="74"/>
      <c r="DJ68" s="107"/>
      <c r="DK68" s="108">
        <v>5</v>
      </c>
      <c r="DL68" s="80"/>
      <c r="DM68" s="48"/>
      <c r="DN68" s="74"/>
      <c r="DO68" s="107"/>
      <c r="DP68" s="108">
        <v>5</v>
      </c>
      <c r="DQ68" s="81"/>
      <c r="DR68" s="48"/>
      <c r="DS68" s="54"/>
      <c r="DT68" s="54"/>
      <c r="DU68" s="41">
        <v>1</v>
      </c>
      <c r="DV68" s="56">
        <f>ROUNDDOWN(DU68,0)</f>
        <v>1</v>
      </c>
      <c r="DW68" s="76"/>
      <c r="DX68" s="75"/>
      <c r="DY68" s="41">
        <v>1</v>
      </c>
      <c r="DZ68" s="56">
        <v>100</v>
      </c>
      <c r="EA68" s="76">
        <v>2</v>
      </c>
      <c r="EB68" s="75"/>
      <c r="EC68" s="41">
        <v>1</v>
      </c>
      <c r="ED68" s="56">
        <f>ROUNDDOWN(EC68,0)</f>
        <v>1</v>
      </c>
      <c r="EE68" s="76">
        <v>100</v>
      </c>
      <c r="EF68" s="75"/>
      <c r="EG68" s="41">
        <v>1</v>
      </c>
      <c r="EH68" s="56">
        <v>10</v>
      </c>
      <c r="EI68" s="76"/>
      <c r="EJ68" s="75"/>
      <c r="EK68" s="41">
        <v>1</v>
      </c>
      <c r="EL68" s="56">
        <v>10</v>
      </c>
      <c r="EM68" s="77">
        <v>9</v>
      </c>
      <c r="EN68" s="75"/>
      <c r="EO68" s="41">
        <v>1</v>
      </c>
      <c r="EP68" s="56">
        <v>10</v>
      </c>
      <c r="EQ68" s="77"/>
      <c r="ER68" s="62"/>
      <c r="ES68" s="41">
        <v>1</v>
      </c>
      <c r="ET68" s="56">
        <v>10</v>
      </c>
      <c r="EU68" s="77"/>
      <c r="EV68" s="48"/>
      <c r="EW68" s="41">
        <v>1</v>
      </c>
      <c r="EX68" s="56">
        <v>10</v>
      </c>
      <c r="EY68" s="77"/>
      <c r="EZ68" s="48"/>
      <c r="FA68" s="41">
        <v>1</v>
      </c>
      <c r="FB68" s="56">
        <v>10</v>
      </c>
      <c r="FC68" s="77"/>
      <c r="FD68" s="48"/>
      <c r="FE68" s="41">
        <v>1</v>
      </c>
      <c r="FF68" s="56">
        <v>10</v>
      </c>
      <c r="FG68" s="77"/>
      <c r="FH68" s="48"/>
      <c r="FI68" s="41">
        <v>1</v>
      </c>
      <c r="FJ68" s="241">
        <v>10</v>
      </c>
      <c r="FK68" s="80"/>
      <c r="FL68" s="48"/>
      <c r="FM68" s="41">
        <v>1</v>
      </c>
      <c r="FN68" s="241">
        <v>10</v>
      </c>
      <c r="FO68" s="81"/>
      <c r="FP68" s="48"/>
      <c r="FQ68" s="54">
        <f t="shared" si="93"/>
        <v>12</v>
      </c>
      <c r="FR68" s="54">
        <f t="shared" si="94"/>
        <v>1620</v>
      </c>
      <c r="FS68" s="58" t="e">
        <v>#REF!</v>
      </c>
      <c r="FT68" s="56" t="e">
        <f t="shared" si="95"/>
        <v>#REF!</v>
      </c>
      <c r="FU68" s="76"/>
      <c r="FV68" s="75"/>
      <c r="FW68" s="58">
        <v>4.3499999999999996</v>
      </c>
      <c r="FX68" s="56">
        <f t="shared" si="96"/>
        <v>4</v>
      </c>
      <c r="FY68" s="76"/>
      <c r="FZ68" s="75"/>
      <c r="GA68" s="82">
        <v>5.5</v>
      </c>
      <c r="GB68" s="56">
        <f t="shared" si="97"/>
        <v>5</v>
      </c>
      <c r="GC68" s="76"/>
      <c r="GD68" s="75"/>
      <c r="GE68" s="82">
        <v>5.5</v>
      </c>
      <c r="GF68" s="56">
        <f t="shared" si="98"/>
        <v>5</v>
      </c>
      <c r="GG68" s="76"/>
      <c r="GH68" s="75"/>
      <c r="GI68" s="82">
        <v>5.5</v>
      </c>
      <c r="GJ68" s="56">
        <f t="shared" si="99"/>
        <v>5</v>
      </c>
      <c r="GK68" s="77"/>
      <c r="GL68" s="75"/>
      <c r="GM68" s="82">
        <v>5.5</v>
      </c>
      <c r="GN68" s="56">
        <f t="shared" si="100"/>
        <v>5</v>
      </c>
      <c r="GO68" s="77"/>
      <c r="GP68" s="62"/>
      <c r="GQ68" s="82">
        <v>5.5</v>
      </c>
      <c r="GR68" s="56">
        <f t="shared" si="101"/>
        <v>5</v>
      </c>
      <c r="GS68" s="77"/>
      <c r="GT68" s="48"/>
      <c r="GU68" s="82">
        <v>5.5</v>
      </c>
      <c r="GV68" s="56">
        <f t="shared" si="102"/>
        <v>5</v>
      </c>
      <c r="GW68" s="77"/>
      <c r="GX68" s="48"/>
      <c r="GY68" s="82">
        <v>5.5</v>
      </c>
      <c r="GZ68" s="56">
        <f t="shared" si="103"/>
        <v>5</v>
      </c>
      <c r="HA68" s="77"/>
      <c r="HB68" s="48"/>
      <c r="HC68" s="82">
        <v>5.5</v>
      </c>
      <c r="HD68" s="56">
        <f t="shared" si="104"/>
        <v>5</v>
      </c>
      <c r="HE68" s="77"/>
      <c r="HF68" s="48"/>
      <c r="HG68" s="82">
        <v>5.5</v>
      </c>
      <c r="HH68" s="56">
        <f t="shared" si="105"/>
        <v>5</v>
      </c>
      <c r="HI68" s="80"/>
      <c r="HJ68" s="48"/>
      <c r="HK68" s="82">
        <v>5.5</v>
      </c>
      <c r="HL68" s="56">
        <f t="shared" si="106"/>
        <v>5</v>
      </c>
      <c r="HM68" s="81"/>
      <c r="HN68" s="48"/>
      <c r="HO68" s="54" t="e">
        <f t="shared" si="107"/>
        <v>#REF!</v>
      </c>
      <c r="HP68" s="54" t="e">
        <f t="shared" si="108"/>
        <v>#REF!</v>
      </c>
      <c r="HQ68" s="82">
        <v>5.5</v>
      </c>
      <c r="HR68" s="56">
        <f t="shared" si="109"/>
        <v>5</v>
      </c>
      <c r="HS68" s="76"/>
      <c r="HT68" s="75"/>
      <c r="HU68" s="82">
        <v>5.5</v>
      </c>
      <c r="HV68" s="56">
        <f t="shared" si="110"/>
        <v>5</v>
      </c>
      <c r="HW68" s="76"/>
      <c r="HX68" s="75"/>
      <c r="HY68" s="82">
        <v>5.5</v>
      </c>
      <c r="HZ68" s="56">
        <f t="shared" si="111"/>
        <v>5</v>
      </c>
      <c r="IA68" s="76"/>
      <c r="IB68" s="75"/>
      <c r="IC68" s="82">
        <v>5.5</v>
      </c>
      <c r="ID68" s="56">
        <f t="shared" si="112"/>
        <v>5</v>
      </c>
      <c r="IE68" s="76"/>
      <c r="IF68" s="75"/>
      <c r="IG68" s="82">
        <v>5.5</v>
      </c>
      <c r="IH68" s="56">
        <f t="shared" si="113"/>
        <v>5</v>
      </c>
      <c r="II68" s="77"/>
      <c r="IJ68" s="75"/>
      <c r="IK68" s="82">
        <v>5.5</v>
      </c>
      <c r="IL68" s="56">
        <f t="shared" si="114"/>
        <v>5</v>
      </c>
      <c r="IM68" s="77"/>
      <c r="IN68" s="62"/>
      <c r="IO68" s="82">
        <v>5.5</v>
      </c>
      <c r="IP68" s="56">
        <f t="shared" si="115"/>
        <v>5</v>
      </c>
      <c r="IQ68" s="77"/>
      <c r="IR68" s="48"/>
      <c r="IS68" s="82">
        <v>5.5</v>
      </c>
      <c r="IT68" s="56">
        <f t="shared" si="116"/>
        <v>5</v>
      </c>
      <c r="IU68" s="77"/>
      <c r="IV68" s="48"/>
      <c r="IW68" s="82">
        <v>5.5</v>
      </c>
      <c r="IX68" s="56">
        <f t="shared" si="117"/>
        <v>5</v>
      </c>
      <c r="IY68" s="77"/>
      <c r="IZ68" s="48"/>
      <c r="JA68" s="82">
        <v>5.5</v>
      </c>
      <c r="JB68" s="56">
        <f t="shared" si="118"/>
        <v>5</v>
      </c>
      <c r="JC68" s="77"/>
      <c r="JD68" s="48"/>
      <c r="JE68" s="82">
        <v>5.5</v>
      </c>
      <c r="JF68" s="56">
        <f t="shared" si="119"/>
        <v>5</v>
      </c>
      <c r="JG68" s="80"/>
      <c r="JH68" s="48"/>
      <c r="JI68" s="82">
        <v>5.5</v>
      </c>
      <c r="JJ68" s="56">
        <f t="shared" si="120"/>
        <v>5</v>
      </c>
      <c r="JK68" s="81"/>
      <c r="JL68" s="48"/>
      <c r="JM68" s="54">
        <f t="shared" si="121"/>
        <v>66</v>
      </c>
      <c r="JN68" s="54">
        <f t="shared" si="122"/>
        <v>8910</v>
      </c>
    </row>
    <row r="69" spans="1:274">
      <c r="A69" s="249"/>
      <c r="B69" s="60"/>
      <c r="C69" s="60"/>
      <c r="D69" s="249"/>
      <c r="E69" s="36">
        <v>64</v>
      </c>
      <c r="F69" s="103"/>
      <c r="G69" s="109" t="s">
        <v>110</v>
      </c>
      <c r="H69" s="105" t="s">
        <v>111</v>
      </c>
      <c r="I69" s="220">
        <v>75</v>
      </c>
      <c r="J69" s="36"/>
      <c r="K69" s="36"/>
      <c r="L69" s="36"/>
      <c r="M69" s="223"/>
      <c r="N69" s="48"/>
      <c r="O69" s="88"/>
      <c r="P69" s="89"/>
      <c r="Q69" s="74"/>
      <c r="R69" s="48"/>
      <c r="S69" s="88"/>
      <c r="T69" s="89"/>
      <c r="U69" s="74"/>
      <c r="V69" s="48"/>
      <c r="W69" s="88"/>
      <c r="X69" s="89"/>
      <c r="Y69" s="74"/>
      <c r="Z69" s="48"/>
      <c r="AA69" s="76"/>
      <c r="AB69" s="89"/>
      <c r="AC69" s="74"/>
      <c r="AD69" s="48"/>
      <c r="AE69" s="88"/>
      <c r="AF69" s="89"/>
      <c r="AG69" s="74"/>
      <c r="AH69" s="48"/>
      <c r="AI69" s="76"/>
      <c r="AJ69" s="89"/>
      <c r="AK69" s="74"/>
      <c r="AL69" s="42"/>
      <c r="AM69" s="77"/>
      <c r="AN69" s="48"/>
      <c r="AO69" s="74"/>
      <c r="AP69" s="42"/>
      <c r="AQ69" s="43"/>
      <c r="AR69" s="79"/>
      <c r="AS69" s="74"/>
      <c r="AT69" s="75"/>
      <c r="AU69" s="77"/>
      <c r="AV69" s="48"/>
      <c r="AW69" s="74"/>
      <c r="AX69" s="75"/>
      <c r="AY69" s="77"/>
      <c r="AZ69" s="48"/>
      <c r="BA69" s="74"/>
      <c r="BB69" s="75"/>
      <c r="BC69" s="80"/>
      <c r="BD69" s="48"/>
      <c r="BE69" s="74"/>
      <c r="BF69" s="75"/>
      <c r="BG69" s="81"/>
      <c r="BH69" s="48"/>
      <c r="BI69" s="84"/>
      <c r="BJ69" s="54"/>
      <c r="BK69" s="74"/>
      <c r="BL69" s="107"/>
      <c r="BM69" s="108"/>
      <c r="BN69" s="76"/>
      <c r="BO69" s="75"/>
      <c r="BP69" s="74"/>
      <c r="BQ69" s="107"/>
      <c r="BR69" s="108"/>
      <c r="BS69" s="76"/>
      <c r="BT69" s="75"/>
      <c r="BU69" s="74"/>
      <c r="BV69" s="107"/>
      <c r="BW69" s="108"/>
      <c r="BX69" s="76"/>
      <c r="BY69" s="75"/>
      <c r="BZ69" s="74"/>
      <c r="CA69" s="107"/>
      <c r="CB69" s="108"/>
      <c r="CC69" s="76"/>
      <c r="CD69" s="75"/>
      <c r="CE69" s="74"/>
      <c r="CF69" s="107"/>
      <c r="CG69" s="108"/>
      <c r="CH69" s="77"/>
      <c r="CI69" s="75"/>
      <c r="CJ69" s="74"/>
      <c r="CK69" s="107"/>
      <c r="CL69" s="108"/>
      <c r="CM69" s="77"/>
      <c r="CN69" s="62"/>
      <c r="CO69" s="74"/>
      <c r="CP69" s="107"/>
      <c r="CQ69" s="108"/>
      <c r="CR69" s="77"/>
      <c r="CS69" s="48"/>
      <c r="CT69" s="74"/>
      <c r="CU69" s="107"/>
      <c r="CV69" s="108"/>
      <c r="CW69" s="77"/>
      <c r="CX69" s="48"/>
      <c r="CY69" s="74"/>
      <c r="CZ69" s="107"/>
      <c r="DA69" s="108">
        <v>220</v>
      </c>
      <c r="DB69" s="77">
        <v>220</v>
      </c>
      <c r="DC69" s="48"/>
      <c r="DD69" s="74"/>
      <c r="DE69" s="107"/>
      <c r="DF69" s="108"/>
      <c r="DG69" s="77"/>
      <c r="DH69" s="48"/>
      <c r="DI69" s="74"/>
      <c r="DJ69" s="107"/>
      <c r="DK69" s="108">
        <v>222</v>
      </c>
      <c r="DL69" s="80">
        <v>222</v>
      </c>
      <c r="DM69" s="48"/>
      <c r="DN69" s="74"/>
      <c r="DO69" s="107"/>
      <c r="DP69" s="108"/>
      <c r="DQ69" s="81"/>
      <c r="DR69" s="48"/>
      <c r="DS69" s="54"/>
      <c r="DT69" s="54"/>
      <c r="DU69" s="41">
        <v>0</v>
      </c>
      <c r="DV69" s="56">
        <v>250</v>
      </c>
      <c r="DW69" s="76">
        <v>402</v>
      </c>
      <c r="DX69" s="75"/>
      <c r="DY69" s="41">
        <v>0</v>
      </c>
      <c r="DZ69" s="56"/>
      <c r="EA69" s="76"/>
      <c r="EB69" s="75"/>
      <c r="EC69" s="41">
        <v>0</v>
      </c>
      <c r="ED69" s="56">
        <v>100</v>
      </c>
      <c r="EE69" s="76">
        <v>104</v>
      </c>
      <c r="EF69" s="75"/>
      <c r="EG69" s="41">
        <v>0</v>
      </c>
      <c r="EH69" s="56">
        <v>50</v>
      </c>
      <c r="EI69" s="76">
        <v>50</v>
      </c>
      <c r="EJ69" s="75"/>
      <c r="EK69" s="41">
        <v>0</v>
      </c>
      <c r="EL69" s="56">
        <v>50</v>
      </c>
      <c r="EM69" s="77">
        <v>17</v>
      </c>
      <c r="EN69" s="75"/>
      <c r="EO69" s="41">
        <v>0</v>
      </c>
      <c r="EP69" s="56">
        <v>50</v>
      </c>
      <c r="EQ69" s="77"/>
      <c r="ER69" s="62"/>
      <c r="ES69" s="41">
        <v>0</v>
      </c>
      <c r="ET69" s="56">
        <v>50</v>
      </c>
      <c r="EU69" s="77"/>
      <c r="EV69" s="48"/>
      <c r="EW69" s="41">
        <v>0</v>
      </c>
      <c r="EX69" s="56">
        <v>50</v>
      </c>
      <c r="EY69" s="77"/>
      <c r="EZ69" s="48"/>
      <c r="FA69" s="41">
        <v>0</v>
      </c>
      <c r="FB69" s="56">
        <v>50</v>
      </c>
      <c r="FC69" s="77"/>
      <c r="FD69" s="48"/>
      <c r="FE69" s="41">
        <v>0</v>
      </c>
      <c r="FF69" s="56">
        <v>50</v>
      </c>
      <c r="FG69" s="77"/>
      <c r="FH69" s="48"/>
      <c r="FI69" s="41">
        <v>0</v>
      </c>
      <c r="FJ69" s="241">
        <v>50</v>
      </c>
      <c r="FK69" s="80"/>
      <c r="FL69" s="48"/>
      <c r="FM69" s="41">
        <v>0</v>
      </c>
      <c r="FN69" s="241">
        <v>50</v>
      </c>
      <c r="FO69" s="81"/>
      <c r="FP69" s="48"/>
      <c r="FQ69" s="54"/>
      <c r="FR69" s="54"/>
      <c r="FS69" s="58" t="e">
        <v>#REF!</v>
      </c>
      <c r="FT69" s="56"/>
      <c r="FU69" s="76"/>
      <c r="FV69" s="75"/>
      <c r="FW69" s="58"/>
      <c r="FX69" s="56"/>
      <c r="FY69" s="76"/>
      <c r="FZ69" s="75"/>
      <c r="GA69" s="82"/>
      <c r="GB69" s="56"/>
      <c r="GC69" s="76"/>
      <c r="GD69" s="75"/>
      <c r="GE69" s="82"/>
      <c r="GF69" s="56"/>
      <c r="GG69" s="76"/>
      <c r="GH69" s="75"/>
      <c r="GI69" s="82"/>
      <c r="GJ69" s="56"/>
      <c r="GK69" s="77"/>
      <c r="GL69" s="75"/>
      <c r="GM69" s="82"/>
      <c r="GN69" s="56"/>
      <c r="GO69" s="77"/>
      <c r="GP69" s="62"/>
      <c r="GQ69" s="82"/>
      <c r="GR69" s="56"/>
      <c r="GS69" s="77"/>
      <c r="GT69" s="48"/>
      <c r="GU69" s="82"/>
      <c r="GV69" s="56"/>
      <c r="GW69" s="77"/>
      <c r="GX69" s="48"/>
      <c r="GY69" s="82"/>
      <c r="GZ69" s="56"/>
      <c r="HA69" s="77"/>
      <c r="HB69" s="48"/>
      <c r="HC69" s="82"/>
      <c r="HD69" s="56"/>
      <c r="HE69" s="77"/>
      <c r="HF69" s="48"/>
      <c r="HG69" s="82"/>
      <c r="HH69" s="56"/>
      <c r="HI69" s="80"/>
      <c r="HJ69" s="48"/>
      <c r="HK69" s="82"/>
      <c r="HL69" s="56"/>
      <c r="HM69" s="81"/>
      <c r="HN69" s="48"/>
      <c r="HO69" s="54"/>
      <c r="HP69" s="54"/>
      <c r="HQ69" s="82"/>
      <c r="HR69" s="56"/>
      <c r="HS69" s="76"/>
      <c r="HT69" s="75"/>
      <c r="HU69" s="82"/>
      <c r="HV69" s="56"/>
      <c r="HW69" s="76"/>
      <c r="HX69" s="75"/>
      <c r="HY69" s="82"/>
      <c r="HZ69" s="56"/>
      <c r="IA69" s="76"/>
      <c r="IB69" s="75"/>
      <c r="IC69" s="82"/>
      <c r="ID69" s="56"/>
      <c r="IE69" s="76"/>
      <c r="IF69" s="75"/>
      <c r="IG69" s="82"/>
      <c r="IH69" s="56"/>
      <c r="II69" s="77"/>
      <c r="IJ69" s="75"/>
      <c r="IK69" s="82"/>
      <c r="IL69" s="56"/>
      <c r="IM69" s="77"/>
      <c r="IN69" s="62"/>
      <c r="IO69" s="82"/>
      <c r="IP69" s="56"/>
      <c r="IQ69" s="77"/>
      <c r="IR69" s="48"/>
      <c r="IS69" s="82"/>
      <c r="IT69" s="56"/>
      <c r="IU69" s="77"/>
      <c r="IV69" s="48"/>
      <c r="IW69" s="82"/>
      <c r="IX69" s="56"/>
      <c r="IY69" s="77"/>
      <c r="IZ69" s="48"/>
      <c r="JA69" s="82"/>
      <c r="JB69" s="56"/>
      <c r="JC69" s="77"/>
      <c r="JD69" s="48"/>
      <c r="JE69" s="82"/>
      <c r="JF69" s="56"/>
      <c r="JG69" s="80"/>
      <c r="JH69" s="48"/>
      <c r="JI69" s="82"/>
      <c r="JJ69" s="56"/>
      <c r="JK69" s="81"/>
      <c r="JL69" s="48"/>
      <c r="JM69" s="54"/>
      <c r="JN69" s="54"/>
    </row>
    <row r="70" spans="1:274">
      <c r="A70" s="249"/>
      <c r="B70" s="60"/>
      <c r="C70" s="60"/>
      <c r="D70" s="249"/>
      <c r="E70" s="36">
        <v>65</v>
      </c>
      <c r="F70" s="216" t="s">
        <v>150</v>
      </c>
      <c r="G70" s="201">
        <v>4463010120</v>
      </c>
      <c r="H70" s="202" t="s">
        <v>149</v>
      </c>
      <c r="I70" s="221">
        <v>1700</v>
      </c>
      <c r="J70" s="225"/>
      <c r="K70" s="225"/>
      <c r="L70" s="225"/>
      <c r="M70" s="224"/>
      <c r="N70" s="89"/>
      <c r="O70" s="88"/>
      <c r="P70" s="89"/>
      <c r="Q70" s="203"/>
      <c r="R70" s="89"/>
      <c r="S70" s="88"/>
      <c r="T70" s="89"/>
      <c r="U70" s="203"/>
      <c r="V70" s="89"/>
      <c r="W70" s="88"/>
      <c r="X70" s="89"/>
      <c r="Y70" s="203"/>
      <c r="Z70" s="89"/>
      <c r="AA70" s="88"/>
      <c r="AB70" s="89"/>
      <c r="AC70" s="203"/>
      <c r="AD70" s="89"/>
      <c r="AE70" s="88"/>
      <c r="AF70" s="89"/>
      <c r="AG70" s="203"/>
      <c r="AH70" s="89"/>
      <c r="AI70" s="88"/>
      <c r="AJ70" s="89"/>
      <c r="AK70" s="203"/>
      <c r="AL70" s="197"/>
      <c r="AM70" s="204"/>
      <c r="AN70" s="89"/>
      <c r="AO70" s="203"/>
      <c r="AP70" s="197"/>
      <c r="AQ70" s="205"/>
      <c r="AR70" s="206"/>
      <c r="AS70" s="203"/>
      <c r="AT70" s="207"/>
      <c r="AU70" s="204"/>
      <c r="AV70" s="89"/>
      <c r="AW70" s="203"/>
      <c r="AX70" s="207"/>
      <c r="AY70" s="204"/>
      <c r="AZ70" s="89"/>
      <c r="BA70" s="203"/>
      <c r="BB70" s="207"/>
      <c r="BC70" s="208"/>
      <c r="BD70" s="89"/>
      <c r="BE70" s="203"/>
      <c r="BF70" s="207"/>
      <c r="BG70" s="209"/>
      <c r="BH70" s="89"/>
      <c r="BI70" s="210"/>
      <c r="BJ70" s="211"/>
      <c r="BK70" s="203"/>
      <c r="BL70" s="212"/>
      <c r="BM70" s="213"/>
      <c r="BN70" s="88"/>
      <c r="BO70" s="207"/>
      <c r="BP70" s="203"/>
      <c r="BQ70" s="212"/>
      <c r="BR70" s="213"/>
      <c r="BS70" s="88"/>
      <c r="BT70" s="207"/>
      <c r="BU70" s="203"/>
      <c r="BV70" s="212"/>
      <c r="BW70" s="213"/>
      <c r="BX70" s="88"/>
      <c r="BY70" s="207"/>
      <c r="BZ70" s="203"/>
      <c r="CA70" s="212"/>
      <c r="CB70" s="213"/>
      <c r="CC70" s="88"/>
      <c r="CD70" s="207"/>
      <c r="CE70" s="203"/>
      <c r="CF70" s="212"/>
      <c r="CG70" s="213"/>
      <c r="CH70" s="204"/>
      <c r="CI70" s="207"/>
      <c r="CJ70" s="203"/>
      <c r="CK70" s="212"/>
      <c r="CL70" s="213"/>
      <c r="CM70" s="204"/>
      <c r="CN70" s="148"/>
      <c r="CO70" s="203"/>
      <c r="CP70" s="212"/>
      <c r="CQ70" s="213"/>
      <c r="CR70" s="204"/>
      <c r="CS70" s="89"/>
      <c r="CT70" s="203"/>
      <c r="CU70" s="212"/>
      <c r="CV70" s="213"/>
      <c r="CW70" s="204"/>
      <c r="CX70" s="89"/>
      <c r="CY70" s="203"/>
      <c r="CZ70" s="212"/>
      <c r="DA70" s="213"/>
      <c r="DB70" s="204"/>
      <c r="DC70" s="89"/>
      <c r="DD70" s="203"/>
      <c r="DE70" s="212"/>
      <c r="DF70" s="213"/>
      <c r="DG70" s="204"/>
      <c r="DH70" s="89"/>
      <c r="DI70" s="203"/>
      <c r="DJ70" s="212"/>
      <c r="DK70" s="213"/>
      <c r="DL70" s="208"/>
      <c r="DM70" s="89"/>
      <c r="DN70" s="203"/>
      <c r="DO70" s="212"/>
      <c r="DP70" s="213"/>
      <c r="DQ70" s="209"/>
      <c r="DR70" s="89"/>
      <c r="DS70" s="211"/>
      <c r="DT70" s="211"/>
      <c r="DU70" s="214"/>
      <c r="DV70" s="215"/>
      <c r="DW70" s="88"/>
      <c r="DX70" s="207"/>
      <c r="DY70" s="214"/>
      <c r="DZ70" s="215"/>
      <c r="EA70" s="88">
        <v>2</v>
      </c>
      <c r="EB70" s="207"/>
      <c r="EC70" s="214"/>
      <c r="ED70" s="215">
        <v>10</v>
      </c>
      <c r="EE70" s="88"/>
      <c r="EF70" s="207"/>
      <c r="EG70" s="214"/>
      <c r="EH70" s="215">
        <v>10</v>
      </c>
      <c r="EI70" s="88">
        <v>6</v>
      </c>
      <c r="EJ70" s="207"/>
      <c r="EK70" s="214"/>
      <c r="EL70" s="215">
        <v>10</v>
      </c>
      <c r="EM70" s="204"/>
      <c r="EN70" s="207"/>
      <c r="EO70" s="214"/>
      <c r="EP70" s="215">
        <v>43</v>
      </c>
      <c r="EQ70" s="204"/>
      <c r="ER70" s="148"/>
      <c r="ES70" s="214"/>
      <c r="ET70" s="215">
        <v>10</v>
      </c>
      <c r="EU70" s="204"/>
      <c r="EV70" s="89"/>
      <c r="EW70" s="214"/>
      <c r="EX70" s="215">
        <v>50</v>
      </c>
      <c r="EY70" s="204"/>
      <c r="EZ70" s="89"/>
      <c r="FA70" s="214"/>
      <c r="FB70" s="215"/>
      <c r="FC70" s="204"/>
      <c r="FD70" s="89"/>
      <c r="FE70" s="214"/>
      <c r="FF70" s="215"/>
      <c r="FG70" s="204"/>
      <c r="FH70" s="89"/>
      <c r="FI70" s="214"/>
      <c r="FJ70" s="242"/>
      <c r="FK70" s="208"/>
      <c r="FL70" s="89"/>
      <c r="FM70" s="214"/>
      <c r="FN70" s="242"/>
      <c r="FO70" s="209"/>
      <c r="FP70" s="89"/>
      <c r="FQ70" s="211"/>
      <c r="FR70" s="211"/>
      <c r="FS70" s="58"/>
      <c r="FT70" s="56"/>
      <c r="FU70" s="76"/>
      <c r="FV70" s="75"/>
      <c r="FW70" s="58"/>
      <c r="FX70" s="56"/>
      <c r="FY70" s="76"/>
      <c r="FZ70" s="75"/>
      <c r="GA70" s="82"/>
      <c r="GB70" s="56"/>
      <c r="GC70" s="76"/>
      <c r="GD70" s="75"/>
      <c r="GE70" s="82"/>
      <c r="GF70" s="56"/>
      <c r="GG70" s="76"/>
      <c r="GH70" s="75"/>
      <c r="GI70" s="82"/>
      <c r="GJ70" s="56"/>
      <c r="GK70" s="77"/>
      <c r="GL70" s="75"/>
      <c r="GM70" s="82"/>
      <c r="GN70" s="56"/>
      <c r="GO70" s="77"/>
      <c r="GP70" s="62"/>
      <c r="GQ70" s="82"/>
      <c r="GR70" s="56"/>
      <c r="GS70" s="77"/>
      <c r="GT70" s="48"/>
      <c r="GU70" s="82"/>
      <c r="GV70" s="56"/>
      <c r="GW70" s="77"/>
      <c r="GX70" s="48"/>
      <c r="GY70" s="82"/>
      <c r="GZ70" s="56"/>
      <c r="HA70" s="77"/>
      <c r="HB70" s="48"/>
      <c r="HC70" s="82"/>
      <c r="HD70" s="56"/>
      <c r="HE70" s="77"/>
      <c r="HF70" s="48"/>
      <c r="HG70" s="82"/>
      <c r="HH70" s="56"/>
      <c r="HI70" s="80"/>
      <c r="HJ70" s="48"/>
      <c r="HK70" s="82"/>
      <c r="HL70" s="56"/>
      <c r="HM70" s="81"/>
      <c r="HN70" s="48"/>
      <c r="HO70" s="54"/>
      <c r="HP70" s="54"/>
      <c r="HQ70" s="82"/>
      <c r="HR70" s="56"/>
      <c r="HS70" s="76"/>
      <c r="HT70" s="75"/>
      <c r="HU70" s="82"/>
      <c r="HV70" s="56"/>
      <c r="HW70" s="76"/>
      <c r="HX70" s="75"/>
      <c r="HY70" s="82"/>
      <c r="HZ70" s="56"/>
      <c r="IA70" s="76"/>
      <c r="IB70" s="75"/>
      <c r="IC70" s="82"/>
      <c r="ID70" s="56"/>
      <c r="IE70" s="76"/>
      <c r="IF70" s="75"/>
      <c r="IG70" s="82"/>
      <c r="IH70" s="56"/>
      <c r="II70" s="77"/>
      <c r="IJ70" s="75"/>
      <c r="IK70" s="82"/>
      <c r="IL70" s="56"/>
      <c r="IM70" s="77"/>
      <c r="IN70" s="62"/>
      <c r="IO70" s="82"/>
      <c r="IP70" s="56"/>
      <c r="IQ70" s="77"/>
      <c r="IR70" s="48"/>
      <c r="IS70" s="82"/>
      <c r="IT70" s="56"/>
      <c r="IU70" s="77"/>
      <c r="IV70" s="48"/>
      <c r="IW70" s="82"/>
      <c r="IX70" s="56"/>
      <c r="IY70" s="77"/>
      <c r="IZ70" s="48"/>
      <c r="JA70" s="82"/>
      <c r="JB70" s="56"/>
      <c r="JC70" s="77"/>
      <c r="JD70" s="48"/>
      <c r="JE70" s="82"/>
      <c r="JF70" s="56"/>
      <c r="JG70" s="80"/>
      <c r="JH70" s="48"/>
      <c r="JI70" s="82"/>
      <c r="JJ70" s="56"/>
      <c r="JK70" s="81"/>
      <c r="JL70" s="48"/>
      <c r="JM70" s="54"/>
      <c r="JN70" s="54"/>
    </row>
    <row r="71" spans="1:274">
      <c r="A71" s="249"/>
      <c r="B71" s="60"/>
      <c r="C71" s="60"/>
      <c r="D71" s="249"/>
      <c r="E71" s="36">
        <v>66</v>
      </c>
      <c r="F71" s="198"/>
      <c r="G71" s="200" t="s">
        <v>146</v>
      </c>
      <c r="H71" s="217" t="s">
        <v>147</v>
      </c>
      <c r="I71" s="222">
        <v>0</v>
      </c>
      <c r="J71" s="36"/>
      <c r="K71" s="36"/>
      <c r="L71" s="36"/>
      <c r="M71" s="223"/>
      <c r="N71" s="48"/>
      <c r="O71" s="88"/>
      <c r="P71" s="89"/>
      <c r="Q71" s="74"/>
      <c r="R71" s="48"/>
      <c r="S71" s="88"/>
      <c r="T71" s="89"/>
      <c r="U71" s="74"/>
      <c r="V71" s="48"/>
      <c r="W71" s="88"/>
      <c r="X71" s="89"/>
      <c r="Y71" s="74"/>
      <c r="Z71" s="48"/>
      <c r="AA71" s="76"/>
      <c r="AB71" s="89"/>
      <c r="AC71" s="74"/>
      <c r="AD71" s="48"/>
      <c r="AE71" s="88"/>
      <c r="AF71" s="89"/>
      <c r="AG71" s="74"/>
      <c r="AH71" s="48"/>
      <c r="AI71" s="76"/>
      <c r="AJ71" s="89"/>
      <c r="AK71" s="74"/>
      <c r="AL71" s="42"/>
      <c r="AM71" s="77"/>
      <c r="AN71" s="48"/>
      <c r="AO71" s="74"/>
      <c r="AP71" s="42"/>
      <c r="AQ71" s="43"/>
      <c r="AR71" s="79"/>
      <c r="AS71" s="74"/>
      <c r="AT71" s="75"/>
      <c r="AU71" s="77"/>
      <c r="AV71" s="48"/>
      <c r="AW71" s="74"/>
      <c r="AX71" s="75"/>
      <c r="AY71" s="77"/>
      <c r="AZ71" s="48"/>
      <c r="BA71" s="74"/>
      <c r="BB71" s="75"/>
      <c r="BC71" s="80"/>
      <c r="BD71" s="48"/>
      <c r="BE71" s="74"/>
      <c r="BF71" s="75"/>
      <c r="BG71" s="81"/>
      <c r="BH71" s="48"/>
      <c r="BI71" s="84"/>
      <c r="BJ71" s="54"/>
      <c r="BK71" s="74"/>
      <c r="BL71" s="107"/>
      <c r="BM71" s="108"/>
      <c r="BN71" s="76"/>
      <c r="BO71" s="75"/>
      <c r="BP71" s="74"/>
      <c r="BQ71" s="107"/>
      <c r="BR71" s="108"/>
      <c r="BS71" s="76"/>
      <c r="BT71" s="75"/>
      <c r="BU71" s="74"/>
      <c r="BV71" s="107"/>
      <c r="BW71" s="108"/>
      <c r="BX71" s="76"/>
      <c r="BY71" s="75"/>
      <c r="BZ71" s="74"/>
      <c r="CA71" s="107"/>
      <c r="CB71" s="108"/>
      <c r="CC71" s="76"/>
      <c r="CD71" s="75"/>
      <c r="CE71" s="74"/>
      <c r="CF71" s="107"/>
      <c r="CG71" s="108"/>
      <c r="CH71" s="77"/>
      <c r="CI71" s="75"/>
      <c r="CJ71" s="74"/>
      <c r="CK71" s="107"/>
      <c r="CL71" s="108"/>
      <c r="CM71" s="77"/>
      <c r="CN71" s="62"/>
      <c r="CO71" s="74"/>
      <c r="CP71" s="107"/>
      <c r="CQ71" s="108"/>
      <c r="CR71" s="77"/>
      <c r="CS71" s="48"/>
      <c r="CT71" s="74"/>
      <c r="CU71" s="107"/>
      <c r="CV71" s="108"/>
      <c r="CW71" s="77"/>
      <c r="CX71" s="48"/>
      <c r="CY71" s="74"/>
      <c r="CZ71" s="107"/>
      <c r="DA71" s="108"/>
      <c r="DB71" s="77"/>
      <c r="DC71" s="48"/>
      <c r="DD71" s="74"/>
      <c r="DE71" s="107"/>
      <c r="DF71" s="108"/>
      <c r="DG71" s="77"/>
      <c r="DH71" s="48"/>
      <c r="DI71" s="74"/>
      <c r="DJ71" s="107"/>
      <c r="DK71" s="108"/>
      <c r="DL71" s="80"/>
      <c r="DM71" s="48"/>
      <c r="DN71" s="74"/>
      <c r="DO71" s="107"/>
      <c r="DP71" s="108"/>
      <c r="DQ71" s="81"/>
      <c r="DR71" s="48"/>
      <c r="DS71" s="54"/>
      <c r="DT71" s="54"/>
      <c r="DU71" s="41"/>
      <c r="DV71" s="56"/>
      <c r="DW71" s="76"/>
      <c r="DX71" s="75"/>
      <c r="DY71" s="41"/>
      <c r="DZ71" s="56"/>
      <c r="EA71" s="76"/>
      <c r="EB71" s="75"/>
      <c r="EC71" s="41"/>
      <c r="ED71" s="56">
        <v>10</v>
      </c>
      <c r="EE71" s="76"/>
      <c r="EF71" s="75"/>
      <c r="EG71" s="41"/>
      <c r="EH71" s="56">
        <v>10</v>
      </c>
      <c r="EI71" s="76"/>
      <c r="EJ71" s="75"/>
      <c r="EK71" s="41"/>
      <c r="EL71" s="56">
        <v>10</v>
      </c>
      <c r="EM71" s="77"/>
      <c r="EN71" s="75"/>
      <c r="EO71" s="41"/>
      <c r="EP71" s="56">
        <v>10</v>
      </c>
      <c r="EQ71" s="77"/>
      <c r="ER71" s="62"/>
      <c r="ES71" s="41"/>
      <c r="ET71" s="56">
        <v>10</v>
      </c>
      <c r="EU71" s="77"/>
      <c r="EV71" s="48"/>
      <c r="EW71" s="41"/>
      <c r="EX71" s="56"/>
      <c r="EY71" s="77"/>
      <c r="EZ71" s="48"/>
      <c r="FA71" s="41"/>
      <c r="FB71" s="56"/>
      <c r="FC71" s="77"/>
      <c r="FD71" s="48"/>
      <c r="FE71" s="41"/>
      <c r="FF71" s="56"/>
      <c r="FG71" s="77"/>
      <c r="FH71" s="48"/>
      <c r="FI71" s="41"/>
      <c r="FJ71" s="241"/>
      <c r="FK71" s="80"/>
      <c r="FL71" s="48"/>
      <c r="FM71" s="41"/>
      <c r="FN71" s="241"/>
      <c r="FO71" s="81"/>
      <c r="FP71" s="48"/>
      <c r="FQ71" s="54"/>
      <c r="FR71" s="54"/>
      <c r="FS71" s="58"/>
      <c r="FT71" s="56"/>
      <c r="FU71" s="76"/>
      <c r="FV71" s="75"/>
      <c r="FW71" s="58"/>
      <c r="FX71" s="56"/>
      <c r="FY71" s="76"/>
      <c r="FZ71" s="75"/>
      <c r="GA71" s="82"/>
      <c r="GB71" s="56"/>
      <c r="GC71" s="76"/>
      <c r="GD71" s="75"/>
      <c r="GE71" s="82"/>
      <c r="GF71" s="56"/>
      <c r="GG71" s="76"/>
      <c r="GH71" s="75"/>
      <c r="GI71" s="82"/>
      <c r="GJ71" s="56"/>
      <c r="GK71" s="77"/>
      <c r="GL71" s="75"/>
      <c r="GM71" s="82"/>
      <c r="GN71" s="56"/>
      <c r="GO71" s="77"/>
      <c r="GP71" s="62"/>
      <c r="GQ71" s="82"/>
      <c r="GR71" s="56"/>
      <c r="GS71" s="77"/>
      <c r="GT71" s="48"/>
      <c r="GU71" s="82"/>
      <c r="GV71" s="56"/>
      <c r="GW71" s="77"/>
      <c r="GX71" s="48"/>
      <c r="GY71" s="82"/>
      <c r="GZ71" s="56"/>
      <c r="HA71" s="77"/>
      <c r="HB71" s="48"/>
      <c r="HC71" s="82"/>
      <c r="HD71" s="56"/>
      <c r="HE71" s="77"/>
      <c r="HF71" s="48"/>
      <c r="HG71" s="82"/>
      <c r="HH71" s="56"/>
      <c r="HI71" s="80"/>
      <c r="HJ71" s="48"/>
      <c r="HK71" s="82"/>
      <c r="HL71" s="56"/>
      <c r="HM71" s="81"/>
      <c r="HN71" s="48"/>
      <c r="HO71" s="54"/>
      <c r="HP71" s="54"/>
      <c r="HQ71" s="82"/>
      <c r="HR71" s="56"/>
      <c r="HS71" s="76"/>
      <c r="HT71" s="75"/>
      <c r="HU71" s="82"/>
      <c r="HV71" s="56"/>
      <c r="HW71" s="76"/>
      <c r="HX71" s="75"/>
      <c r="HY71" s="82"/>
      <c r="HZ71" s="56"/>
      <c r="IA71" s="76"/>
      <c r="IB71" s="75"/>
      <c r="IC71" s="82"/>
      <c r="ID71" s="56"/>
      <c r="IE71" s="76"/>
      <c r="IF71" s="75"/>
      <c r="IG71" s="82"/>
      <c r="IH71" s="56"/>
      <c r="II71" s="77"/>
      <c r="IJ71" s="75"/>
      <c r="IK71" s="82"/>
      <c r="IL71" s="56"/>
      <c r="IM71" s="77"/>
      <c r="IN71" s="62"/>
      <c r="IO71" s="82"/>
      <c r="IP71" s="56"/>
      <c r="IQ71" s="77"/>
      <c r="IR71" s="48"/>
      <c r="IS71" s="82"/>
      <c r="IT71" s="56"/>
      <c r="IU71" s="77"/>
      <c r="IV71" s="48"/>
      <c r="IW71" s="82"/>
      <c r="IX71" s="56"/>
      <c r="IY71" s="77"/>
      <c r="IZ71" s="48"/>
      <c r="JA71" s="82"/>
      <c r="JB71" s="56"/>
      <c r="JC71" s="77"/>
      <c r="JD71" s="48"/>
      <c r="JE71" s="82"/>
      <c r="JF71" s="56"/>
      <c r="JG71" s="80"/>
      <c r="JH71" s="48"/>
      <c r="JI71" s="82"/>
      <c r="JJ71" s="56"/>
      <c r="JK71" s="81"/>
      <c r="JL71" s="48"/>
      <c r="JM71" s="54"/>
      <c r="JN71" s="54"/>
    </row>
    <row r="72" spans="1:274">
      <c r="A72" s="249"/>
      <c r="B72" s="60"/>
      <c r="C72" s="60"/>
      <c r="D72" s="249"/>
      <c r="E72" s="36">
        <v>67</v>
      </c>
      <c r="F72" s="198"/>
      <c r="G72" s="200">
        <v>4463003460</v>
      </c>
      <c r="H72" s="217" t="s">
        <v>148</v>
      </c>
      <c r="I72" s="222">
        <v>0</v>
      </c>
      <c r="J72" s="36"/>
      <c r="K72" s="36"/>
      <c r="L72" s="36"/>
      <c r="M72" s="223"/>
      <c r="N72" s="48"/>
      <c r="O72" s="88"/>
      <c r="P72" s="89"/>
      <c r="Q72" s="74"/>
      <c r="R72" s="48"/>
      <c r="S72" s="88"/>
      <c r="T72" s="89"/>
      <c r="U72" s="74"/>
      <c r="V72" s="48"/>
      <c r="W72" s="88"/>
      <c r="X72" s="89"/>
      <c r="Y72" s="74"/>
      <c r="Z72" s="48"/>
      <c r="AA72" s="76"/>
      <c r="AB72" s="89"/>
      <c r="AC72" s="74"/>
      <c r="AD72" s="48"/>
      <c r="AE72" s="88"/>
      <c r="AF72" s="89"/>
      <c r="AG72" s="74"/>
      <c r="AH72" s="48"/>
      <c r="AI72" s="76"/>
      <c r="AJ72" s="89"/>
      <c r="AK72" s="74"/>
      <c r="AL72" s="42"/>
      <c r="AM72" s="77"/>
      <c r="AN72" s="48"/>
      <c r="AO72" s="74"/>
      <c r="AP72" s="42"/>
      <c r="AQ72" s="43"/>
      <c r="AR72" s="79"/>
      <c r="AS72" s="74"/>
      <c r="AT72" s="75"/>
      <c r="AU72" s="77"/>
      <c r="AV72" s="48"/>
      <c r="AW72" s="74"/>
      <c r="AX72" s="75"/>
      <c r="AY72" s="77"/>
      <c r="AZ72" s="48"/>
      <c r="BA72" s="74"/>
      <c r="BB72" s="75"/>
      <c r="BC72" s="80"/>
      <c r="BD72" s="48"/>
      <c r="BE72" s="74"/>
      <c r="BF72" s="75"/>
      <c r="BG72" s="81"/>
      <c r="BH72" s="48"/>
      <c r="BI72" s="84"/>
      <c r="BJ72" s="54"/>
      <c r="BK72" s="74"/>
      <c r="BL72" s="107"/>
      <c r="BM72" s="108"/>
      <c r="BN72" s="76"/>
      <c r="BO72" s="75"/>
      <c r="BP72" s="74"/>
      <c r="BQ72" s="107"/>
      <c r="BR72" s="108"/>
      <c r="BS72" s="76"/>
      <c r="BT72" s="75"/>
      <c r="BU72" s="74"/>
      <c r="BV72" s="107"/>
      <c r="BW72" s="108"/>
      <c r="BX72" s="76"/>
      <c r="BY72" s="75"/>
      <c r="BZ72" s="74"/>
      <c r="CA72" s="107"/>
      <c r="CB72" s="108"/>
      <c r="CC72" s="76"/>
      <c r="CD72" s="75"/>
      <c r="CE72" s="74"/>
      <c r="CF72" s="107"/>
      <c r="CG72" s="108"/>
      <c r="CH72" s="77"/>
      <c r="CI72" s="75"/>
      <c r="CJ72" s="74"/>
      <c r="CK72" s="107"/>
      <c r="CL72" s="108"/>
      <c r="CM72" s="77"/>
      <c r="CN72" s="62"/>
      <c r="CO72" s="74"/>
      <c r="CP72" s="107"/>
      <c r="CQ72" s="108"/>
      <c r="CR72" s="77"/>
      <c r="CS72" s="48"/>
      <c r="CT72" s="74"/>
      <c r="CU72" s="107"/>
      <c r="CV72" s="108"/>
      <c r="CW72" s="77"/>
      <c r="CX72" s="48"/>
      <c r="CY72" s="74"/>
      <c r="CZ72" s="107"/>
      <c r="DA72" s="108"/>
      <c r="DB72" s="77"/>
      <c r="DC72" s="48"/>
      <c r="DD72" s="74"/>
      <c r="DE72" s="107"/>
      <c r="DF72" s="108"/>
      <c r="DG72" s="77"/>
      <c r="DH72" s="48"/>
      <c r="DI72" s="74"/>
      <c r="DJ72" s="107"/>
      <c r="DK72" s="108"/>
      <c r="DL72" s="80"/>
      <c r="DM72" s="48"/>
      <c r="DN72" s="74"/>
      <c r="DO72" s="107"/>
      <c r="DP72" s="108"/>
      <c r="DQ72" s="81"/>
      <c r="DR72" s="48"/>
      <c r="DS72" s="54"/>
      <c r="DT72" s="54"/>
      <c r="DU72" s="41"/>
      <c r="DV72" s="56"/>
      <c r="DW72" s="76"/>
      <c r="DX72" s="75"/>
      <c r="DY72" s="41"/>
      <c r="DZ72" s="56"/>
      <c r="EA72" s="76">
        <v>1</v>
      </c>
      <c r="EB72" s="75"/>
      <c r="EC72" s="41"/>
      <c r="ED72" s="56">
        <v>10</v>
      </c>
      <c r="EE72" s="76">
        <v>8</v>
      </c>
      <c r="EF72" s="75"/>
      <c r="EG72" s="41"/>
      <c r="EH72" s="56">
        <v>10</v>
      </c>
      <c r="EI72" s="76"/>
      <c r="EJ72" s="75"/>
      <c r="EK72" s="41"/>
      <c r="EL72" s="56">
        <v>10</v>
      </c>
      <c r="EM72" s="77"/>
      <c r="EN72" s="75"/>
      <c r="EO72" s="41"/>
      <c r="EP72" s="56">
        <v>10</v>
      </c>
      <c r="EQ72" s="77"/>
      <c r="ER72" s="62"/>
      <c r="ES72" s="41"/>
      <c r="ET72" s="56">
        <v>10</v>
      </c>
      <c r="EU72" s="77"/>
      <c r="EV72" s="48"/>
      <c r="EW72" s="41"/>
      <c r="EX72" s="56"/>
      <c r="EY72" s="77"/>
      <c r="EZ72" s="48"/>
      <c r="FA72" s="41"/>
      <c r="FB72" s="56"/>
      <c r="FC72" s="77"/>
      <c r="FD72" s="48"/>
      <c r="FE72" s="41"/>
      <c r="FF72" s="56"/>
      <c r="FG72" s="77"/>
      <c r="FH72" s="48"/>
      <c r="FI72" s="41"/>
      <c r="FJ72" s="241"/>
      <c r="FK72" s="80"/>
      <c r="FL72" s="48"/>
      <c r="FM72" s="41"/>
      <c r="FN72" s="241"/>
      <c r="FO72" s="81"/>
      <c r="FP72" s="48"/>
      <c r="FQ72" s="54"/>
      <c r="FR72" s="54"/>
      <c r="FS72" s="58"/>
      <c r="FT72" s="56"/>
      <c r="FU72" s="76"/>
      <c r="FV72" s="75"/>
      <c r="FW72" s="58"/>
      <c r="FX72" s="56"/>
      <c r="FY72" s="76"/>
      <c r="FZ72" s="75"/>
      <c r="GA72" s="82"/>
      <c r="GB72" s="56"/>
      <c r="GC72" s="76"/>
      <c r="GD72" s="75"/>
      <c r="GE72" s="82"/>
      <c r="GF72" s="56"/>
      <c r="GG72" s="76"/>
      <c r="GH72" s="75"/>
      <c r="GI72" s="82"/>
      <c r="GJ72" s="56"/>
      <c r="GK72" s="77"/>
      <c r="GL72" s="75"/>
      <c r="GM72" s="82"/>
      <c r="GN72" s="56"/>
      <c r="GO72" s="77"/>
      <c r="GP72" s="62"/>
      <c r="GQ72" s="82"/>
      <c r="GR72" s="56"/>
      <c r="GS72" s="77"/>
      <c r="GT72" s="48"/>
      <c r="GU72" s="82"/>
      <c r="GV72" s="56"/>
      <c r="GW72" s="77"/>
      <c r="GX72" s="48"/>
      <c r="GY72" s="82"/>
      <c r="GZ72" s="56"/>
      <c r="HA72" s="77"/>
      <c r="HB72" s="48"/>
      <c r="HC72" s="82"/>
      <c r="HD72" s="56"/>
      <c r="HE72" s="77"/>
      <c r="HF72" s="48"/>
      <c r="HG72" s="82"/>
      <c r="HH72" s="56"/>
      <c r="HI72" s="80"/>
      <c r="HJ72" s="48"/>
      <c r="HK72" s="82"/>
      <c r="HL72" s="56"/>
      <c r="HM72" s="81"/>
      <c r="HN72" s="48"/>
      <c r="HO72" s="54"/>
      <c r="HP72" s="54"/>
      <c r="HQ72" s="82"/>
      <c r="HR72" s="56"/>
      <c r="HS72" s="76"/>
      <c r="HT72" s="75"/>
      <c r="HU72" s="82"/>
      <c r="HV72" s="56"/>
      <c r="HW72" s="76"/>
      <c r="HX72" s="75"/>
      <c r="HY72" s="82"/>
      <c r="HZ72" s="56"/>
      <c r="IA72" s="76"/>
      <c r="IB72" s="75"/>
      <c r="IC72" s="82"/>
      <c r="ID72" s="56"/>
      <c r="IE72" s="76"/>
      <c r="IF72" s="75"/>
      <c r="IG72" s="82"/>
      <c r="IH72" s="56"/>
      <c r="II72" s="77"/>
      <c r="IJ72" s="75"/>
      <c r="IK72" s="82"/>
      <c r="IL72" s="56"/>
      <c r="IM72" s="77"/>
      <c r="IN72" s="62"/>
      <c r="IO72" s="82"/>
      <c r="IP72" s="56"/>
      <c r="IQ72" s="77"/>
      <c r="IR72" s="48"/>
      <c r="IS72" s="82"/>
      <c r="IT72" s="56"/>
      <c r="IU72" s="77"/>
      <c r="IV72" s="48"/>
      <c r="IW72" s="82"/>
      <c r="IX72" s="56"/>
      <c r="IY72" s="77"/>
      <c r="IZ72" s="48"/>
      <c r="JA72" s="82"/>
      <c r="JB72" s="56"/>
      <c r="JC72" s="77"/>
      <c r="JD72" s="48"/>
      <c r="JE72" s="82"/>
      <c r="JF72" s="56"/>
      <c r="JG72" s="80"/>
      <c r="JH72" s="48"/>
      <c r="JI72" s="82"/>
      <c r="JJ72" s="56"/>
      <c r="JK72" s="81"/>
      <c r="JL72" s="48"/>
      <c r="JM72" s="54"/>
      <c r="JN72" s="54"/>
    </row>
    <row r="73" spans="1:274">
      <c r="A73" s="249"/>
      <c r="B73" s="60"/>
      <c r="C73" s="60"/>
      <c r="D73" s="249"/>
      <c r="E73" s="36">
        <v>68</v>
      </c>
      <c r="F73" s="103"/>
      <c r="G73" s="200" t="s">
        <v>146</v>
      </c>
      <c r="H73" s="199" t="s">
        <v>147</v>
      </c>
      <c r="I73" s="220">
        <v>1172</v>
      </c>
      <c r="J73" s="36"/>
      <c r="K73" s="36"/>
      <c r="L73" s="36"/>
      <c r="M73" s="223"/>
      <c r="N73" s="48"/>
      <c r="O73" s="88"/>
      <c r="P73" s="89"/>
      <c r="Q73" s="74"/>
      <c r="R73" s="48"/>
      <c r="S73" s="88"/>
      <c r="T73" s="89"/>
      <c r="U73" s="74"/>
      <c r="V73" s="48"/>
      <c r="W73" s="88"/>
      <c r="X73" s="89"/>
      <c r="Y73" s="74"/>
      <c r="Z73" s="48"/>
      <c r="AA73" s="76"/>
      <c r="AB73" s="89"/>
      <c r="AC73" s="74"/>
      <c r="AD73" s="48"/>
      <c r="AE73" s="88"/>
      <c r="AF73" s="89"/>
      <c r="AG73" s="74"/>
      <c r="AH73" s="48"/>
      <c r="AI73" s="76"/>
      <c r="AJ73" s="89"/>
      <c r="AK73" s="74"/>
      <c r="AL73" s="42"/>
      <c r="AM73" s="77"/>
      <c r="AN73" s="48"/>
      <c r="AO73" s="74"/>
      <c r="AP73" s="42"/>
      <c r="AQ73" s="43"/>
      <c r="AR73" s="79"/>
      <c r="AS73" s="74"/>
      <c r="AT73" s="75"/>
      <c r="AU73" s="77"/>
      <c r="AV73" s="48"/>
      <c r="AW73" s="74"/>
      <c r="AX73" s="75"/>
      <c r="AY73" s="77"/>
      <c r="AZ73" s="48"/>
      <c r="BA73" s="74"/>
      <c r="BB73" s="75"/>
      <c r="BC73" s="80"/>
      <c r="BD73" s="48"/>
      <c r="BE73" s="74"/>
      <c r="BF73" s="75"/>
      <c r="BG73" s="81"/>
      <c r="BH73" s="48"/>
      <c r="BI73" s="84"/>
      <c r="BJ73" s="54"/>
      <c r="BK73" s="74"/>
      <c r="BL73" s="107"/>
      <c r="BM73" s="108"/>
      <c r="BN73" s="76"/>
      <c r="BO73" s="75"/>
      <c r="BP73" s="74"/>
      <c r="BQ73" s="107"/>
      <c r="BR73" s="108"/>
      <c r="BS73" s="76"/>
      <c r="BT73" s="75"/>
      <c r="BU73" s="74"/>
      <c r="BV73" s="107"/>
      <c r="BW73" s="108"/>
      <c r="BX73" s="76"/>
      <c r="BY73" s="75"/>
      <c r="BZ73" s="74"/>
      <c r="CA73" s="107"/>
      <c r="CB73" s="108"/>
      <c r="CC73" s="76"/>
      <c r="CD73" s="75"/>
      <c r="CE73" s="74"/>
      <c r="CF73" s="107"/>
      <c r="CG73" s="108"/>
      <c r="CH73" s="77"/>
      <c r="CI73" s="75"/>
      <c r="CJ73" s="74"/>
      <c r="CK73" s="107"/>
      <c r="CL73" s="108"/>
      <c r="CM73" s="77"/>
      <c r="CN73" s="62"/>
      <c r="CO73" s="74"/>
      <c r="CP73" s="107"/>
      <c r="CQ73" s="108"/>
      <c r="CR73" s="77"/>
      <c r="CS73" s="48"/>
      <c r="CT73" s="74"/>
      <c r="CU73" s="107"/>
      <c r="CV73" s="108"/>
      <c r="CW73" s="77"/>
      <c r="CX73" s="48"/>
      <c r="CY73" s="74"/>
      <c r="CZ73" s="107"/>
      <c r="DA73" s="108"/>
      <c r="DB73" s="77"/>
      <c r="DC73" s="48"/>
      <c r="DD73" s="74"/>
      <c r="DE73" s="107"/>
      <c r="DF73" s="108"/>
      <c r="DG73" s="77"/>
      <c r="DH73" s="48"/>
      <c r="DI73" s="74"/>
      <c r="DJ73" s="107"/>
      <c r="DK73" s="108"/>
      <c r="DL73" s="80"/>
      <c r="DM73" s="48"/>
      <c r="DN73" s="74"/>
      <c r="DO73" s="107"/>
      <c r="DP73" s="108"/>
      <c r="DQ73" s="81"/>
      <c r="DR73" s="48"/>
      <c r="DS73" s="54"/>
      <c r="DT73" s="54"/>
      <c r="DU73" s="41"/>
      <c r="DV73" s="56">
        <v>0</v>
      </c>
      <c r="DW73" s="76"/>
      <c r="DX73" s="75"/>
      <c r="DY73" s="41"/>
      <c r="DZ73" s="56">
        <v>0</v>
      </c>
      <c r="EA73" s="76"/>
      <c r="EB73" s="75"/>
      <c r="EC73" s="41"/>
      <c r="ED73" s="56">
        <v>0</v>
      </c>
      <c r="EE73" s="76"/>
      <c r="EF73" s="75"/>
      <c r="EG73" s="41"/>
      <c r="EH73" s="56"/>
      <c r="EI73" s="76"/>
      <c r="EJ73" s="75"/>
      <c r="EK73" s="41"/>
      <c r="EL73" s="56"/>
      <c r="EM73" s="77"/>
      <c r="EN73" s="75"/>
      <c r="EO73" s="41"/>
      <c r="EP73" s="56"/>
      <c r="EQ73" s="77"/>
      <c r="ER73" s="62"/>
      <c r="ES73" s="41"/>
      <c r="ET73" s="56"/>
      <c r="EU73" s="77"/>
      <c r="EV73" s="48"/>
      <c r="EW73" s="41"/>
      <c r="EX73" s="56"/>
      <c r="EY73" s="77"/>
      <c r="EZ73" s="48"/>
      <c r="FA73" s="41"/>
      <c r="FB73" s="56"/>
      <c r="FC73" s="77"/>
      <c r="FD73" s="48"/>
      <c r="FE73" s="41"/>
      <c r="FF73" s="56"/>
      <c r="FG73" s="77"/>
      <c r="FH73" s="48"/>
      <c r="FI73" s="41"/>
      <c r="FJ73" s="241"/>
      <c r="FK73" s="80"/>
      <c r="FL73" s="48"/>
      <c r="FM73" s="41"/>
      <c r="FN73" s="241"/>
      <c r="FO73" s="81"/>
      <c r="FP73" s="48"/>
      <c r="FQ73" s="54"/>
      <c r="FR73" s="54"/>
      <c r="FS73" s="58"/>
      <c r="FT73" s="56"/>
      <c r="FU73" s="76"/>
      <c r="FV73" s="75"/>
      <c r="FW73" s="58"/>
      <c r="FX73" s="56"/>
      <c r="FY73" s="76"/>
      <c r="FZ73" s="75"/>
      <c r="GA73" s="82"/>
      <c r="GB73" s="56"/>
      <c r="GC73" s="76"/>
      <c r="GD73" s="75"/>
      <c r="GE73" s="82"/>
      <c r="GF73" s="56"/>
      <c r="GG73" s="76"/>
      <c r="GH73" s="75"/>
      <c r="GI73" s="82"/>
      <c r="GJ73" s="56"/>
      <c r="GK73" s="77"/>
      <c r="GL73" s="75"/>
      <c r="GM73" s="82"/>
      <c r="GN73" s="56"/>
      <c r="GO73" s="77"/>
      <c r="GP73" s="62"/>
      <c r="GQ73" s="82"/>
      <c r="GR73" s="56"/>
      <c r="GS73" s="77"/>
      <c r="GT73" s="48"/>
      <c r="GU73" s="82"/>
      <c r="GV73" s="56"/>
      <c r="GW73" s="77"/>
      <c r="GX73" s="48"/>
      <c r="GY73" s="82"/>
      <c r="GZ73" s="56"/>
      <c r="HA73" s="77"/>
      <c r="HB73" s="48"/>
      <c r="HC73" s="82"/>
      <c r="HD73" s="56"/>
      <c r="HE73" s="77"/>
      <c r="HF73" s="48"/>
      <c r="HG73" s="82"/>
      <c r="HH73" s="56"/>
      <c r="HI73" s="80"/>
      <c r="HJ73" s="48"/>
      <c r="HK73" s="82"/>
      <c r="HL73" s="56"/>
      <c r="HM73" s="81"/>
      <c r="HN73" s="48"/>
      <c r="HO73" s="54"/>
      <c r="HP73" s="54"/>
      <c r="HQ73" s="82"/>
      <c r="HR73" s="56"/>
      <c r="HS73" s="76"/>
      <c r="HT73" s="75"/>
      <c r="HU73" s="82"/>
      <c r="HV73" s="56"/>
      <c r="HW73" s="76"/>
      <c r="HX73" s="75"/>
      <c r="HY73" s="82"/>
      <c r="HZ73" s="56"/>
      <c r="IA73" s="76"/>
      <c r="IB73" s="75"/>
      <c r="IC73" s="82"/>
      <c r="ID73" s="56"/>
      <c r="IE73" s="76"/>
      <c r="IF73" s="75"/>
      <c r="IG73" s="82"/>
      <c r="IH73" s="56"/>
      <c r="II73" s="77"/>
      <c r="IJ73" s="75"/>
      <c r="IK73" s="82"/>
      <c r="IL73" s="56"/>
      <c r="IM73" s="77"/>
      <c r="IN73" s="62"/>
      <c r="IO73" s="82"/>
      <c r="IP73" s="56"/>
      <c r="IQ73" s="77"/>
      <c r="IR73" s="48"/>
      <c r="IS73" s="82"/>
      <c r="IT73" s="56"/>
      <c r="IU73" s="77"/>
      <c r="IV73" s="48"/>
      <c r="IW73" s="82"/>
      <c r="IX73" s="56"/>
      <c r="IY73" s="77"/>
      <c r="IZ73" s="48"/>
      <c r="JA73" s="82"/>
      <c r="JB73" s="56"/>
      <c r="JC73" s="77"/>
      <c r="JD73" s="48"/>
      <c r="JE73" s="82"/>
      <c r="JF73" s="56"/>
      <c r="JG73" s="80"/>
      <c r="JH73" s="48"/>
      <c r="JI73" s="82"/>
      <c r="JJ73" s="56"/>
      <c r="JK73" s="81"/>
      <c r="JL73" s="48"/>
      <c r="JM73" s="54"/>
      <c r="JN73" s="54"/>
    </row>
    <row r="74" spans="1:274">
      <c r="A74" s="249"/>
      <c r="B74" s="60"/>
      <c r="C74" s="60"/>
      <c r="D74" s="249"/>
      <c r="E74" s="36">
        <v>69</v>
      </c>
      <c r="F74" s="103"/>
      <c r="G74" s="200">
        <v>4463003460</v>
      </c>
      <c r="H74" s="199" t="s">
        <v>148</v>
      </c>
      <c r="I74" s="220">
        <v>364</v>
      </c>
      <c r="J74" s="36"/>
      <c r="K74" s="36"/>
      <c r="L74" s="36"/>
      <c r="M74" s="223"/>
      <c r="N74" s="48"/>
      <c r="O74" s="88"/>
      <c r="P74" s="89"/>
      <c r="Q74" s="74"/>
      <c r="R74" s="48"/>
      <c r="S74" s="88"/>
      <c r="T74" s="89"/>
      <c r="U74" s="74"/>
      <c r="V74" s="48"/>
      <c r="W74" s="88"/>
      <c r="X74" s="89"/>
      <c r="Y74" s="74"/>
      <c r="Z74" s="48"/>
      <c r="AA74" s="76"/>
      <c r="AB74" s="89"/>
      <c r="AC74" s="74"/>
      <c r="AD74" s="48"/>
      <c r="AE74" s="88"/>
      <c r="AF74" s="89"/>
      <c r="AG74" s="74"/>
      <c r="AH74" s="48"/>
      <c r="AI74" s="76"/>
      <c r="AJ74" s="89"/>
      <c r="AK74" s="74"/>
      <c r="AL74" s="42"/>
      <c r="AM74" s="77"/>
      <c r="AN74" s="48"/>
      <c r="AO74" s="74"/>
      <c r="AP74" s="42"/>
      <c r="AQ74" s="43"/>
      <c r="AR74" s="79"/>
      <c r="AS74" s="74"/>
      <c r="AT74" s="75"/>
      <c r="AU74" s="77"/>
      <c r="AV74" s="48"/>
      <c r="AW74" s="74"/>
      <c r="AX74" s="75"/>
      <c r="AY74" s="77"/>
      <c r="AZ74" s="48"/>
      <c r="BA74" s="74"/>
      <c r="BB74" s="75"/>
      <c r="BC74" s="80"/>
      <c r="BD74" s="48"/>
      <c r="BE74" s="74"/>
      <c r="BF74" s="75"/>
      <c r="BG74" s="81"/>
      <c r="BH74" s="48"/>
      <c r="BI74" s="84"/>
      <c r="BJ74" s="54"/>
      <c r="BK74" s="74"/>
      <c r="BL74" s="107"/>
      <c r="BM74" s="108"/>
      <c r="BN74" s="76"/>
      <c r="BO74" s="75"/>
      <c r="BP74" s="74"/>
      <c r="BQ74" s="107"/>
      <c r="BR74" s="108"/>
      <c r="BS74" s="76"/>
      <c r="BT74" s="75"/>
      <c r="BU74" s="74"/>
      <c r="BV74" s="107"/>
      <c r="BW74" s="108"/>
      <c r="BX74" s="76"/>
      <c r="BY74" s="75"/>
      <c r="BZ74" s="74"/>
      <c r="CA74" s="107"/>
      <c r="CB74" s="108"/>
      <c r="CC74" s="76"/>
      <c r="CD74" s="75"/>
      <c r="CE74" s="74"/>
      <c r="CF74" s="107"/>
      <c r="CG74" s="108"/>
      <c r="CH74" s="77"/>
      <c r="CI74" s="75"/>
      <c r="CJ74" s="74"/>
      <c r="CK74" s="107"/>
      <c r="CL74" s="108"/>
      <c r="CM74" s="77"/>
      <c r="CN74" s="62"/>
      <c r="CO74" s="74"/>
      <c r="CP74" s="107"/>
      <c r="CQ74" s="108"/>
      <c r="CR74" s="77"/>
      <c r="CS74" s="48"/>
      <c r="CT74" s="74"/>
      <c r="CU74" s="107"/>
      <c r="CV74" s="108"/>
      <c r="CW74" s="77"/>
      <c r="CX74" s="48"/>
      <c r="CY74" s="74"/>
      <c r="CZ74" s="107"/>
      <c r="DA74" s="108"/>
      <c r="DB74" s="77"/>
      <c r="DC74" s="48"/>
      <c r="DD74" s="74"/>
      <c r="DE74" s="107"/>
      <c r="DF74" s="108"/>
      <c r="DG74" s="77"/>
      <c r="DH74" s="48"/>
      <c r="DI74" s="74"/>
      <c r="DJ74" s="107"/>
      <c r="DK74" s="108"/>
      <c r="DL74" s="80"/>
      <c r="DM74" s="48"/>
      <c r="DN74" s="74"/>
      <c r="DO74" s="107"/>
      <c r="DP74" s="196">
        <v>19</v>
      </c>
      <c r="DQ74" s="81">
        <v>19</v>
      </c>
      <c r="DR74" s="48" t="s">
        <v>100</v>
      </c>
      <c r="DS74" s="54"/>
      <c r="DT74" s="54"/>
      <c r="DU74" s="41"/>
      <c r="DV74" s="56">
        <v>0</v>
      </c>
      <c r="DW74" s="76"/>
      <c r="DX74" s="75"/>
      <c r="DY74" s="41"/>
      <c r="DZ74" s="56">
        <v>0</v>
      </c>
      <c r="EA74" s="76"/>
      <c r="EB74" s="75"/>
      <c r="EC74" s="41"/>
      <c r="ED74" s="56">
        <v>0</v>
      </c>
      <c r="EE74" s="76"/>
      <c r="EF74" s="75"/>
      <c r="EG74" s="41"/>
      <c r="EH74" s="56"/>
      <c r="EI74" s="76">
        <v>2</v>
      </c>
      <c r="EJ74" s="75"/>
      <c r="EK74" s="41"/>
      <c r="EL74" s="56"/>
      <c r="EM74" s="77"/>
      <c r="EN74" s="75"/>
      <c r="EO74" s="41"/>
      <c r="EP74" s="56"/>
      <c r="EQ74" s="77"/>
      <c r="ER74" s="62"/>
      <c r="ES74" s="41"/>
      <c r="ET74" s="56"/>
      <c r="EU74" s="77"/>
      <c r="EV74" s="48"/>
      <c r="EW74" s="41"/>
      <c r="EX74" s="56"/>
      <c r="EY74" s="77"/>
      <c r="EZ74" s="48"/>
      <c r="FA74" s="41"/>
      <c r="FB74" s="56"/>
      <c r="FC74" s="77"/>
      <c r="FD74" s="48"/>
      <c r="FE74" s="41"/>
      <c r="FF74" s="56"/>
      <c r="FG74" s="77"/>
      <c r="FH74" s="48"/>
      <c r="FI74" s="41"/>
      <c r="FJ74" s="241"/>
      <c r="FK74" s="80"/>
      <c r="FL74" s="48"/>
      <c r="FM74" s="41"/>
      <c r="FN74" s="241"/>
      <c r="FO74" s="81"/>
      <c r="FP74" s="48"/>
      <c r="FQ74" s="54"/>
      <c r="FR74" s="54"/>
      <c r="FS74" s="58"/>
      <c r="FT74" s="56"/>
      <c r="FU74" s="76"/>
      <c r="FV74" s="75"/>
      <c r="FW74" s="58"/>
      <c r="FX74" s="56"/>
      <c r="FY74" s="76"/>
      <c r="FZ74" s="75"/>
      <c r="GA74" s="82"/>
      <c r="GB74" s="56"/>
      <c r="GC74" s="76"/>
      <c r="GD74" s="75"/>
      <c r="GE74" s="82"/>
      <c r="GF74" s="56"/>
      <c r="GG74" s="76"/>
      <c r="GH74" s="75"/>
      <c r="GI74" s="82"/>
      <c r="GJ74" s="56"/>
      <c r="GK74" s="77"/>
      <c r="GL74" s="75"/>
      <c r="GM74" s="82"/>
      <c r="GN74" s="56"/>
      <c r="GO74" s="77"/>
      <c r="GP74" s="62"/>
      <c r="GQ74" s="82"/>
      <c r="GR74" s="56"/>
      <c r="GS74" s="77"/>
      <c r="GT74" s="48"/>
      <c r="GU74" s="82"/>
      <c r="GV74" s="56"/>
      <c r="GW74" s="77"/>
      <c r="GX74" s="48"/>
      <c r="GY74" s="82"/>
      <c r="GZ74" s="56"/>
      <c r="HA74" s="77"/>
      <c r="HB74" s="48"/>
      <c r="HC74" s="82"/>
      <c r="HD74" s="56"/>
      <c r="HE74" s="77"/>
      <c r="HF74" s="48"/>
      <c r="HG74" s="82"/>
      <c r="HH74" s="56"/>
      <c r="HI74" s="80"/>
      <c r="HJ74" s="48"/>
      <c r="HK74" s="82"/>
      <c r="HL74" s="56"/>
      <c r="HM74" s="81"/>
      <c r="HN74" s="48"/>
      <c r="HO74" s="54"/>
      <c r="HP74" s="54"/>
      <c r="HQ74" s="82"/>
      <c r="HR74" s="56"/>
      <c r="HS74" s="76"/>
      <c r="HT74" s="75"/>
      <c r="HU74" s="82"/>
      <c r="HV74" s="56"/>
      <c r="HW74" s="76"/>
      <c r="HX74" s="75"/>
      <c r="HY74" s="82"/>
      <c r="HZ74" s="56"/>
      <c r="IA74" s="76"/>
      <c r="IB74" s="75"/>
      <c r="IC74" s="82"/>
      <c r="ID74" s="56"/>
      <c r="IE74" s="76"/>
      <c r="IF74" s="75"/>
      <c r="IG74" s="82"/>
      <c r="IH74" s="56"/>
      <c r="II74" s="77"/>
      <c r="IJ74" s="75"/>
      <c r="IK74" s="82"/>
      <c r="IL74" s="56"/>
      <c r="IM74" s="77"/>
      <c r="IN74" s="62"/>
      <c r="IO74" s="82"/>
      <c r="IP74" s="56"/>
      <c r="IQ74" s="77"/>
      <c r="IR74" s="48"/>
      <c r="IS74" s="82"/>
      <c r="IT74" s="56"/>
      <c r="IU74" s="77"/>
      <c r="IV74" s="48"/>
      <c r="IW74" s="82"/>
      <c r="IX74" s="56"/>
      <c r="IY74" s="77"/>
      <c r="IZ74" s="48"/>
      <c r="JA74" s="82"/>
      <c r="JB74" s="56"/>
      <c r="JC74" s="77"/>
      <c r="JD74" s="48"/>
      <c r="JE74" s="82"/>
      <c r="JF74" s="56"/>
      <c r="JG74" s="80"/>
      <c r="JH74" s="48"/>
      <c r="JI74" s="82"/>
      <c r="JJ74" s="56"/>
      <c r="JK74" s="81"/>
      <c r="JL74" s="48"/>
      <c r="JM74" s="54"/>
      <c r="JN74" s="54"/>
    </row>
    <row r="75" spans="1:274">
      <c r="A75" s="249"/>
      <c r="B75" s="60"/>
      <c r="C75" s="60"/>
      <c r="D75" s="249"/>
      <c r="E75" s="36">
        <v>70</v>
      </c>
      <c r="F75" s="103"/>
      <c r="G75" s="104">
        <v>9340990460</v>
      </c>
      <c r="H75" s="105" t="s">
        <v>112</v>
      </c>
      <c r="I75" s="220">
        <v>45</v>
      </c>
      <c r="J75" s="36"/>
      <c r="K75" s="36"/>
      <c r="L75" s="36"/>
      <c r="M75" s="223"/>
      <c r="N75" s="48"/>
      <c r="O75" s="88"/>
      <c r="P75" s="89"/>
      <c r="Q75" s="74"/>
      <c r="R75" s="48"/>
      <c r="S75" s="88"/>
      <c r="T75" s="89"/>
      <c r="U75" s="74"/>
      <c r="V75" s="48"/>
      <c r="W75" s="88"/>
      <c r="X75" s="89"/>
      <c r="Y75" s="74"/>
      <c r="Z75" s="48"/>
      <c r="AA75" s="76"/>
      <c r="AB75" s="89"/>
      <c r="AC75" s="74"/>
      <c r="AD75" s="48"/>
      <c r="AE75" s="88"/>
      <c r="AF75" s="89"/>
      <c r="AG75" s="74"/>
      <c r="AH75" s="48"/>
      <c r="AI75" s="76"/>
      <c r="AJ75" s="89"/>
      <c r="AK75" s="74"/>
      <c r="AL75" s="42"/>
      <c r="AM75" s="77"/>
      <c r="AN75" s="48"/>
      <c r="AO75" s="74"/>
      <c r="AP75" s="42"/>
      <c r="AQ75" s="43"/>
      <c r="AR75" s="79"/>
      <c r="AS75" s="74"/>
      <c r="AT75" s="75"/>
      <c r="AU75" s="77"/>
      <c r="AV75" s="48"/>
      <c r="AW75" s="74"/>
      <c r="AX75" s="75"/>
      <c r="AY75" s="77"/>
      <c r="AZ75" s="48"/>
      <c r="BA75" s="74"/>
      <c r="BB75" s="75"/>
      <c r="BC75" s="80"/>
      <c r="BD75" s="48"/>
      <c r="BE75" s="74"/>
      <c r="BF75" s="75"/>
      <c r="BG75" s="81"/>
      <c r="BH75" s="48"/>
      <c r="BI75" s="84"/>
      <c r="BJ75" s="54"/>
      <c r="BK75" s="74"/>
      <c r="BL75" s="107"/>
      <c r="BM75" s="108"/>
      <c r="BN75" s="76"/>
      <c r="BO75" s="75"/>
      <c r="BP75" s="74"/>
      <c r="BQ75" s="107"/>
      <c r="BR75" s="108"/>
      <c r="BS75" s="76"/>
      <c r="BT75" s="75"/>
      <c r="BU75" s="74"/>
      <c r="BV75" s="107"/>
      <c r="BW75" s="108"/>
      <c r="BX75" s="76"/>
      <c r="BY75" s="75"/>
      <c r="BZ75" s="74"/>
      <c r="CA75" s="107"/>
      <c r="CB75" s="108"/>
      <c r="CC75" s="76">
        <v>0</v>
      </c>
      <c r="CD75" s="75"/>
      <c r="CE75" s="74"/>
      <c r="CF75" s="107"/>
      <c r="CG75" s="108">
        <v>5</v>
      </c>
      <c r="CH75" s="77">
        <v>0</v>
      </c>
      <c r="CI75" s="75"/>
      <c r="CJ75" s="74"/>
      <c r="CK75" s="107"/>
      <c r="CL75" s="108">
        <v>5</v>
      </c>
      <c r="CM75" s="77"/>
      <c r="CN75" s="62"/>
      <c r="CO75" s="74"/>
      <c r="CP75" s="107"/>
      <c r="CQ75" s="108">
        <v>5</v>
      </c>
      <c r="CR75" s="77"/>
      <c r="CS75" s="48"/>
      <c r="CT75" s="74"/>
      <c r="CU75" s="107"/>
      <c r="CV75" s="108">
        <v>5</v>
      </c>
      <c r="CW75" s="77"/>
      <c r="CX75" s="48"/>
      <c r="CY75" s="74"/>
      <c r="CZ75" s="107"/>
      <c r="DA75" s="108">
        <v>5</v>
      </c>
      <c r="DB75" s="77"/>
      <c r="DC75" s="48"/>
      <c r="DD75" s="74"/>
      <c r="DE75" s="107"/>
      <c r="DF75" s="108">
        <v>5</v>
      </c>
      <c r="DG75" s="77"/>
      <c r="DH75" s="48"/>
      <c r="DI75" s="74"/>
      <c r="DJ75" s="107"/>
      <c r="DK75" s="108">
        <v>5</v>
      </c>
      <c r="DL75" s="80"/>
      <c r="DM75" s="48"/>
      <c r="DN75" s="74"/>
      <c r="DO75" s="107"/>
      <c r="DP75" s="108">
        <v>5</v>
      </c>
      <c r="DQ75" s="81"/>
      <c r="DR75" s="48"/>
      <c r="DS75" s="54"/>
      <c r="DT75" s="54"/>
      <c r="DU75" s="41">
        <v>5</v>
      </c>
      <c r="DV75" s="56">
        <f t="shared" ref="DV75:DV81" si="143">ROUNDDOWN(DU75,0)</f>
        <v>5</v>
      </c>
      <c r="DW75" s="76"/>
      <c r="DX75" s="75"/>
      <c r="DY75" s="41">
        <v>5</v>
      </c>
      <c r="DZ75" s="56">
        <f t="shared" ref="DZ75:DZ81" si="144">ROUNDDOWN(DY75,0)</f>
        <v>5</v>
      </c>
      <c r="EA75" s="76">
        <v>1</v>
      </c>
      <c r="EB75" s="75"/>
      <c r="EC75" s="41">
        <v>5</v>
      </c>
      <c r="ED75" s="56">
        <f t="shared" ref="ED75:ED81" si="145">ROUNDDOWN(EC75,0)</f>
        <v>5</v>
      </c>
      <c r="EE75" s="76"/>
      <c r="EF75" s="75"/>
      <c r="EG75" s="41">
        <v>5</v>
      </c>
      <c r="EH75" s="56">
        <f t="shared" ref="EH75:EH81" si="146">ROUNDDOWN(EG75,0)</f>
        <v>5</v>
      </c>
      <c r="EI75" s="76"/>
      <c r="EJ75" s="75"/>
      <c r="EK75" s="41">
        <v>5</v>
      </c>
      <c r="EL75" s="56">
        <f t="shared" ref="EL75:EL81" si="147">ROUNDDOWN(EK75,0)</f>
        <v>5</v>
      </c>
      <c r="EM75" s="77"/>
      <c r="EN75" s="75"/>
      <c r="EO75" s="41">
        <v>5</v>
      </c>
      <c r="EP75" s="56">
        <f t="shared" ref="EP75:EP81" si="148">ROUNDDOWN(EO75,0)</f>
        <v>5</v>
      </c>
      <c r="EQ75" s="77"/>
      <c r="ER75" s="62"/>
      <c r="ES75" s="41">
        <v>5</v>
      </c>
      <c r="ET75" s="56">
        <f t="shared" ref="ET75:ET81" si="149">ROUNDDOWN(ES75,0)</f>
        <v>5</v>
      </c>
      <c r="EU75" s="77"/>
      <c r="EV75" s="48"/>
      <c r="EW75" s="41">
        <v>5</v>
      </c>
      <c r="EX75" s="56">
        <f t="shared" ref="EX75:EX81" si="150">ROUNDDOWN(EW75,0)</f>
        <v>5</v>
      </c>
      <c r="EY75" s="77"/>
      <c r="EZ75" s="48"/>
      <c r="FA75" s="41">
        <v>5</v>
      </c>
      <c r="FB75" s="56">
        <f t="shared" ref="FB75:FB81" si="151">ROUNDDOWN(FA75,0)</f>
        <v>5</v>
      </c>
      <c r="FC75" s="77"/>
      <c r="FD75" s="48"/>
      <c r="FE75" s="41">
        <v>5</v>
      </c>
      <c r="FF75" s="56">
        <f t="shared" ref="FF75:FF81" si="152">ROUNDDOWN(FE75,0)</f>
        <v>5</v>
      </c>
      <c r="FG75" s="77"/>
      <c r="FH75" s="48"/>
      <c r="FI75" s="41">
        <v>5</v>
      </c>
      <c r="FJ75" s="241">
        <f t="shared" ref="FJ75:FJ81" si="153">ROUNDDOWN(FI75,0)</f>
        <v>5</v>
      </c>
      <c r="FK75" s="80"/>
      <c r="FL75" s="48"/>
      <c r="FM75" s="41">
        <v>5</v>
      </c>
      <c r="FN75" s="241">
        <f t="shared" ref="FN75:FN81" si="154">ROUNDDOWN(FM75,0)</f>
        <v>5</v>
      </c>
      <c r="FO75" s="81"/>
      <c r="FP75" s="48"/>
      <c r="FQ75" s="54">
        <f t="shared" ref="FQ75:FQ81" si="155">DU75+DY75+EC75+EG75+EK75+EO75+ES75+EW75+FA75+FE75+FI75+FM75</f>
        <v>60</v>
      </c>
      <c r="FR75" s="54">
        <f t="shared" ref="FR75:FR81" si="156">FQ75*$I75</f>
        <v>2700</v>
      </c>
      <c r="FS75" s="58" t="e">
        <v>#REF!</v>
      </c>
      <c r="FT75" s="56" t="e">
        <f t="shared" ref="FT75:FT81" si="157">ROUNDDOWN(FS75,0)</f>
        <v>#REF!</v>
      </c>
      <c r="FU75" s="76"/>
      <c r="FV75" s="75"/>
      <c r="FW75" s="58">
        <v>4.3499999999999996</v>
      </c>
      <c r="FX75" s="56">
        <f t="shared" ref="FX75:FX81" si="158">ROUNDDOWN(FW75,0)</f>
        <v>4</v>
      </c>
      <c r="FY75" s="76"/>
      <c r="FZ75" s="75"/>
      <c r="GA75" s="82">
        <v>5.5</v>
      </c>
      <c r="GB75" s="56">
        <f t="shared" ref="GB75:GB81" si="159">ROUNDDOWN(GA75,0)</f>
        <v>5</v>
      </c>
      <c r="GC75" s="76"/>
      <c r="GD75" s="75"/>
      <c r="GE75" s="82">
        <v>5.5</v>
      </c>
      <c r="GF75" s="56">
        <f t="shared" ref="GF75:GF81" si="160">ROUNDDOWN(GE75,0)</f>
        <v>5</v>
      </c>
      <c r="GG75" s="76"/>
      <c r="GH75" s="75"/>
      <c r="GI75" s="82">
        <v>5.5</v>
      </c>
      <c r="GJ75" s="56">
        <f t="shared" ref="GJ75:GJ81" si="161">ROUNDDOWN(GI75,0)</f>
        <v>5</v>
      </c>
      <c r="GK75" s="77"/>
      <c r="GL75" s="75"/>
      <c r="GM75" s="82">
        <v>5.5</v>
      </c>
      <c r="GN75" s="56">
        <f t="shared" ref="GN75:GN81" si="162">ROUNDDOWN(GM75,0)</f>
        <v>5</v>
      </c>
      <c r="GO75" s="77"/>
      <c r="GP75" s="62"/>
      <c r="GQ75" s="82">
        <v>5.5</v>
      </c>
      <c r="GR75" s="56">
        <f t="shared" ref="GR75:GR81" si="163">ROUNDDOWN(GQ75,0)</f>
        <v>5</v>
      </c>
      <c r="GS75" s="77"/>
      <c r="GT75" s="48"/>
      <c r="GU75" s="82">
        <v>5.5</v>
      </c>
      <c r="GV75" s="56">
        <f t="shared" ref="GV75:GV81" si="164">ROUNDDOWN(GU75,0)</f>
        <v>5</v>
      </c>
      <c r="GW75" s="77"/>
      <c r="GX75" s="48"/>
      <c r="GY75" s="82">
        <v>5.5</v>
      </c>
      <c r="GZ75" s="56">
        <f t="shared" ref="GZ75:GZ81" si="165">ROUNDDOWN(GY75,0)</f>
        <v>5</v>
      </c>
      <c r="HA75" s="77"/>
      <c r="HB75" s="48"/>
      <c r="HC75" s="82">
        <v>5.5</v>
      </c>
      <c r="HD75" s="56">
        <f t="shared" ref="HD75:HD81" si="166">ROUNDDOWN(HC75,0)</f>
        <v>5</v>
      </c>
      <c r="HE75" s="77"/>
      <c r="HF75" s="48"/>
      <c r="HG75" s="82">
        <v>5.5</v>
      </c>
      <c r="HH75" s="56">
        <f t="shared" ref="HH75:HH81" si="167">ROUNDDOWN(HG75,0)</f>
        <v>5</v>
      </c>
      <c r="HI75" s="80"/>
      <c r="HJ75" s="48"/>
      <c r="HK75" s="82">
        <v>5.5</v>
      </c>
      <c r="HL75" s="56">
        <f t="shared" ref="HL75:HL81" si="168">ROUNDDOWN(HK75,0)</f>
        <v>5</v>
      </c>
      <c r="HM75" s="81"/>
      <c r="HN75" s="48"/>
      <c r="HO75" s="54" t="e">
        <f t="shared" ref="HO75:HO81" si="169">FS75+FW75+GA75+GE75+GI75+GM75+GQ75+GU75+GY75+HC75+HG75+HK75</f>
        <v>#REF!</v>
      </c>
      <c r="HP75" s="54" t="e">
        <f t="shared" ref="HP75:HP81" si="170">HO75*$I75</f>
        <v>#REF!</v>
      </c>
      <c r="HQ75" s="82">
        <v>5.5</v>
      </c>
      <c r="HR75" s="56">
        <f t="shared" ref="HR75:HR81" si="171">ROUNDDOWN(HQ75,0)</f>
        <v>5</v>
      </c>
      <c r="HS75" s="76"/>
      <c r="HT75" s="75"/>
      <c r="HU75" s="82">
        <v>5.5</v>
      </c>
      <c r="HV75" s="56">
        <f t="shared" ref="HV75:HV81" si="172">ROUNDDOWN(HU75,0)</f>
        <v>5</v>
      </c>
      <c r="HW75" s="76"/>
      <c r="HX75" s="75"/>
      <c r="HY75" s="82">
        <v>5.5</v>
      </c>
      <c r="HZ75" s="56">
        <f t="shared" ref="HZ75:HZ81" si="173">ROUNDDOWN(HY75,0)</f>
        <v>5</v>
      </c>
      <c r="IA75" s="76"/>
      <c r="IB75" s="75"/>
      <c r="IC75" s="82">
        <v>5.5</v>
      </c>
      <c r="ID75" s="56">
        <f t="shared" ref="ID75:ID81" si="174">ROUNDDOWN(IC75,0)</f>
        <v>5</v>
      </c>
      <c r="IE75" s="76"/>
      <c r="IF75" s="75"/>
      <c r="IG75" s="82">
        <v>5.5</v>
      </c>
      <c r="IH75" s="56">
        <f t="shared" ref="IH75:IH81" si="175">ROUNDDOWN(IG75,0)</f>
        <v>5</v>
      </c>
      <c r="II75" s="77"/>
      <c r="IJ75" s="75"/>
      <c r="IK75" s="82">
        <v>5.5</v>
      </c>
      <c r="IL75" s="56">
        <f t="shared" ref="IL75:IL81" si="176">ROUNDDOWN(IK75,0)</f>
        <v>5</v>
      </c>
      <c r="IM75" s="77"/>
      <c r="IN75" s="62"/>
      <c r="IO75" s="82">
        <v>5.5</v>
      </c>
      <c r="IP75" s="56">
        <f t="shared" ref="IP75:IP81" si="177">ROUNDDOWN(IO75,0)</f>
        <v>5</v>
      </c>
      <c r="IQ75" s="77"/>
      <c r="IR75" s="48"/>
      <c r="IS75" s="82">
        <v>5.5</v>
      </c>
      <c r="IT75" s="56">
        <f t="shared" ref="IT75:IT81" si="178">ROUNDDOWN(IS75,0)</f>
        <v>5</v>
      </c>
      <c r="IU75" s="77"/>
      <c r="IV75" s="48"/>
      <c r="IW75" s="82">
        <v>5.5</v>
      </c>
      <c r="IX75" s="56">
        <f t="shared" ref="IX75:IX81" si="179">ROUNDDOWN(IW75,0)</f>
        <v>5</v>
      </c>
      <c r="IY75" s="77"/>
      <c r="IZ75" s="48"/>
      <c r="JA75" s="82">
        <v>5.5</v>
      </c>
      <c r="JB75" s="56">
        <f t="shared" ref="JB75:JB81" si="180">ROUNDDOWN(JA75,0)</f>
        <v>5</v>
      </c>
      <c r="JC75" s="77"/>
      <c r="JD75" s="48"/>
      <c r="JE75" s="82">
        <v>5.5</v>
      </c>
      <c r="JF75" s="56">
        <f t="shared" ref="JF75:JF81" si="181">ROUNDDOWN(JE75,0)</f>
        <v>5</v>
      </c>
      <c r="JG75" s="80"/>
      <c r="JH75" s="48"/>
      <c r="JI75" s="82">
        <v>5.5</v>
      </c>
      <c r="JJ75" s="56">
        <f t="shared" ref="JJ75:JJ81" si="182">ROUNDDOWN(JI75,0)</f>
        <v>5</v>
      </c>
      <c r="JK75" s="81"/>
      <c r="JL75" s="48"/>
      <c r="JM75" s="54">
        <f t="shared" ref="JM75:JM81" si="183">HQ75+HU75+HY75+IC75+IG75+IK75+IO75+IS75+IW75+JA75+JE75+JI75</f>
        <v>66</v>
      </c>
      <c r="JN75" s="54">
        <f t="shared" ref="JN75:JN81" si="184">JM75*$I75</f>
        <v>2970</v>
      </c>
    </row>
    <row r="76" spans="1:274">
      <c r="A76" s="249"/>
      <c r="B76" s="60"/>
      <c r="C76" s="60"/>
      <c r="D76" s="249"/>
      <c r="E76" s="36">
        <v>71</v>
      </c>
      <c r="F76" s="103">
        <v>2</v>
      </c>
      <c r="G76" s="104">
        <v>4499271200</v>
      </c>
      <c r="H76" s="105" t="s">
        <v>113</v>
      </c>
      <c r="I76" s="220">
        <v>285.16000000000003</v>
      </c>
      <c r="J76" s="226"/>
      <c r="K76" s="226"/>
      <c r="L76" s="226"/>
      <c r="M76" s="110"/>
      <c r="N76" s="111"/>
      <c r="O76" s="88"/>
      <c r="P76" s="89"/>
      <c r="Q76" s="74"/>
      <c r="R76" s="48"/>
      <c r="S76" s="88"/>
      <c r="T76" s="89"/>
      <c r="U76" s="74"/>
      <c r="V76" s="48"/>
      <c r="W76" s="88"/>
      <c r="X76" s="89"/>
      <c r="Y76" s="74"/>
      <c r="Z76" s="48"/>
      <c r="AA76" s="76"/>
      <c r="AB76" s="89"/>
      <c r="AC76" s="74"/>
      <c r="AD76" s="48"/>
      <c r="AE76" s="88"/>
      <c r="AF76" s="89"/>
      <c r="AG76" s="74"/>
      <c r="AH76" s="48"/>
      <c r="AI76" s="76"/>
      <c r="AJ76" s="89"/>
      <c r="AK76" s="74"/>
      <c r="AL76" s="42"/>
      <c r="AM76" s="77"/>
      <c r="AN76" s="48"/>
      <c r="AO76" s="74"/>
      <c r="AP76" s="42"/>
      <c r="AQ76" s="43"/>
      <c r="AR76" s="79"/>
      <c r="AS76" s="74"/>
      <c r="AT76" s="75"/>
      <c r="AU76" s="77"/>
      <c r="AV76" s="48"/>
      <c r="AW76" s="74"/>
      <c r="AX76" s="75"/>
      <c r="AY76" s="77"/>
      <c r="AZ76" s="48"/>
      <c r="BA76" s="74"/>
      <c r="BB76" s="75"/>
      <c r="BC76" s="80"/>
      <c r="BD76" s="48"/>
      <c r="BE76" s="74"/>
      <c r="BF76" s="75"/>
      <c r="BG76" s="81"/>
      <c r="BH76" s="48"/>
      <c r="BI76" s="84"/>
      <c r="BJ76" s="54"/>
      <c r="BK76" s="74"/>
      <c r="BL76" s="107"/>
      <c r="BM76" s="108"/>
      <c r="BN76" s="76"/>
      <c r="BO76" s="75"/>
      <c r="BP76" s="74"/>
      <c r="BQ76" s="107"/>
      <c r="BR76" s="108"/>
      <c r="BS76" s="76"/>
      <c r="BT76" s="75"/>
      <c r="BU76" s="74"/>
      <c r="BV76" s="107"/>
      <c r="BW76" s="108"/>
      <c r="BX76" s="76"/>
      <c r="BY76" s="75"/>
      <c r="BZ76" s="74"/>
      <c r="CA76" s="107"/>
      <c r="CB76" s="108"/>
      <c r="CC76" s="76">
        <v>5</v>
      </c>
      <c r="CD76" s="42" t="s">
        <v>100</v>
      </c>
      <c r="CE76" s="74"/>
      <c r="CF76" s="107"/>
      <c r="CG76" s="108"/>
      <c r="CH76" s="77">
        <v>0</v>
      </c>
      <c r="CI76" s="75"/>
      <c r="CJ76" s="74"/>
      <c r="CK76" s="107"/>
      <c r="CL76" s="108"/>
      <c r="CM76" s="77"/>
      <c r="CN76" s="62"/>
      <c r="CO76" s="74"/>
      <c r="CP76" s="107"/>
      <c r="CQ76" s="108"/>
      <c r="CR76" s="77"/>
      <c r="CS76" s="48"/>
      <c r="CT76" s="74"/>
      <c r="CU76" s="107"/>
      <c r="CV76" s="108"/>
      <c r="CW76" s="77"/>
      <c r="CX76" s="48"/>
      <c r="CY76" s="74"/>
      <c r="CZ76" s="107"/>
      <c r="DA76" s="108"/>
      <c r="DB76" s="77"/>
      <c r="DC76" s="48"/>
      <c r="DD76" s="74"/>
      <c r="DE76" s="107"/>
      <c r="DF76" s="108"/>
      <c r="DG76" s="77">
        <v>20</v>
      </c>
      <c r="DH76" s="48"/>
      <c r="DI76" s="74"/>
      <c r="DJ76" s="107"/>
      <c r="DK76" s="108"/>
      <c r="DL76" s="80"/>
      <c r="DM76" s="48"/>
      <c r="DN76" s="74"/>
      <c r="DO76" s="107"/>
      <c r="DP76" s="108"/>
      <c r="DQ76" s="81"/>
      <c r="DR76" s="48"/>
      <c r="DS76" s="54"/>
      <c r="DT76" s="54"/>
      <c r="DU76" s="41"/>
      <c r="DV76" s="56">
        <f t="shared" si="143"/>
        <v>0</v>
      </c>
      <c r="DW76" s="76"/>
      <c r="DX76" s="75"/>
      <c r="DY76" s="41"/>
      <c r="DZ76" s="56">
        <f t="shared" si="144"/>
        <v>0</v>
      </c>
      <c r="EA76" s="76">
        <v>50</v>
      </c>
      <c r="EB76" s="75"/>
      <c r="EC76" s="41"/>
      <c r="ED76" s="56">
        <f t="shared" si="145"/>
        <v>0</v>
      </c>
      <c r="EE76" s="76"/>
      <c r="EF76" s="75"/>
      <c r="EG76" s="41"/>
      <c r="EH76" s="56">
        <f t="shared" si="146"/>
        <v>0</v>
      </c>
      <c r="EI76" s="76"/>
      <c r="EJ76" s="42"/>
      <c r="EK76" s="41"/>
      <c r="EL76" s="56">
        <f t="shared" si="147"/>
        <v>0</v>
      </c>
      <c r="EM76" s="77"/>
      <c r="EN76" s="75"/>
      <c r="EO76" s="41"/>
      <c r="EP76" s="56">
        <f t="shared" si="148"/>
        <v>0</v>
      </c>
      <c r="EQ76" s="77"/>
      <c r="ER76" s="62"/>
      <c r="ES76" s="41"/>
      <c r="ET76" s="56">
        <f t="shared" si="149"/>
        <v>0</v>
      </c>
      <c r="EU76" s="77"/>
      <c r="EV76" s="48"/>
      <c r="EW76" s="41"/>
      <c r="EX76" s="56">
        <f t="shared" si="150"/>
        <v>0</v>
      </c>
      <c r="EY76" s="77"/>
      <c r="EZ76" s="48"/>
      <c r="FA76" s="41"/>
      <c r="FB76" s="56">
        <f t="shared" si="151"/>
        <v>0</v>
      </c>
      <c r="FC76" s="77"/>
      <c r="FD76" s="48"/>
      <c r="FE76" s="41"/>
      <c r="FF76" s="56">
        <f t="shared" si="152"/>
        <v>0</v>
      </c>
      <c r="FG76" s="77"/>
      <c r="FH76" s="48"/>
      <c r="FI76" s="41"/>
      <c r="FJ76" s="241">
        <f t="shared" si="153"/>
        <v>0</v>
      </c>
      <c r="FK76" s="80"/>
      <c r="FL76" s="48"/>
      <c r="FM76" s="41"/>
      <c r="FN76" s="241">
        <f t="shared" si="154"/>
        <v>0</v>
      </c>
      <c r="FO76" s="81"/>
      <c r="FP76" s="48"/>
      <c r="FQ76" s="54">
        <f t="shared" si="155"/>
        <v>0</v>
      </c>
      <c r="FR76" s="54">
        <f t="shared" si="156"/>
        <v>0</v>
      </c>
      <c r="FS76" s="74"/>
      <c r="FT76" s="56">
        <f t="shared" si="157"/>
        <v>0</v>
      </c>
      <c r="FU76" s="76"/>
      <c r="FV76" s="75"/>
      <c r="FW76" s="74"/>
      <c r="FX76" s="56">
        <f t="shared" si="158"/>
        <v>0</v>
      </c>
      <c r="FY76" s="76"/>
      <c r="FZ76" s="75"/>
      <c r="GA76" s="74"/>
      <c r="GB76" s="56">
        <f t="shared" si="159"/>
        <v>0</v>
      </c>
      <c r="GC76" s="76"/>
      <c r="GD76" s="75"/>
      <c r="GE76" s="74"/>
      <c r="GF76" s="56">
        <f t="shared" si="160"/>
        <v>0</v>
      </c>
      <c r="GG76" s="76"/>
      <c r="GH76" s="42"/>
      <c r="GI76" s="74"/>
      <c r="GJ76" s="56">
        <f t="shared" si="161"/>
        <v>0</v>
      </c>
      <c r="GK76" s="77"/>
      <c r="GL76" s="75"/>
      <c r="GM76" s="74"/>
      <c r="GN76" s="56">
        <f t="shared" si="162"/>
        <v>0</v>
      </c>
      <c r="GO76" s="77"/>
      <c r="GP76" s="62"/>
      <c r="GQ76" s="74"/>
      <c r="GR76" s="56">
        <f t="shared" si="163"/>
        <v>0</v>
      </c>
      <c r="GS76" s="77"/>
      <c r="GT76" s="48"/>
      <c r="GU76" s="74"/>
      <c r="GV76" s="56">
        <f t="shared" si="164"/>
        <v>0</v>
      </c>
      <c r="GW76" s="77"/>
      <c r="GX76" s="48"/>
      <c r="GY76" s="74"/>
      <c r="GZ76" s="56">
        <f t="shared" si="165"/>
        <v>0</v>
      </c>
      <c r="HA76" s="77"/>
      <c r="HB76" s="48"/>
      <c r="HC76" s="74"/>
      <c r="HD76" s="56">
        <f t="shared" si="166"/>
        <v>0</v>
      </c>
      <c r="HE76" s="77"/>
      <c r="HF76" s="48"/>
      <c r="HG76" s="74"/>
      <c r="HH76" s="56">
        <f t="shared" si="167"/>
        <v>0</v>
      </c>
      <c r="HI76" s="80"/>
      <c r="HJ76" s="48"/>
      <c r="HK76" s="74"/>
      <c r="HL76" s="56">
        <f t="shared" si="168"/>
        <v>0</v>
      </c>
      <c r="HM76" s="81"/>
      <c r="HN76" s="48"/>
      <c r="HO76" s="54">
        <f t="shared" si="169"/>
        <v>0</v>
      </c>
      <c r="HP76" s="54">
        <f t="shared" si="170"/>
        <v>0</v>
      </c>
      <c r="HQ76" s="74"/>
      <c r="HR76" s="56">
        <f t="shared" si="171"/>
        <v>0</v>
      </c>
      <c r="HS76" s="76"/>
      <c r="HT76" s="75"/>
      <c r="HU76" s="74"/>
      <c r="HV76" s="56">
        <f t="shared" si="172"/>
        <v>0</v>
      </c>
      <c r="HW76" s="76"/>
      <c r="HX76" s="75"/>
      <c r="HY76" s="74"/>
      <c r="HZ76" s="56">
        <f t="shared" si="173"/>
        <v>0</v>
      </c>
      <c r="IA76" s="76"/>
      <c r="IB76" s="75"/>
      <c r="IC76" s="74"/>
      <c r="ID76" s="56">
        <f t="shared" si="174"/>
        <v>0</v>
      </c>
      <c r="IE76" s="76"/>
      <c r="IF76" s="42"/>
      <c r="IG76" s="74"/>
      <c r="IH76" s="56">
        <f t="shared" si="175"/>
        <v>0</v>
      </c>
      <c r="II76" s="77"/>
      <c r="IJ76" s="75"/>
      <c r="IK76" s="74"/>
      <c r="IL76" s="56">
        <f t="shared" si="176"/>
        <v>0</v>
      </c>
      <c r="IM76" s="77"/>
      <c r="IN76" s="62"/>
      <c r="IO76" s="74"/>
      <c r="IP76" s="56">
        <f t="shared" si="177"/>
        <v>0</v>
      </c>
      <c r="IQ76" s="77"/>
      <c r="IR76" s="48"/>
      <c r="IS76" s="74"/>
      <c r="IT76" s="56">
        <f t="shared" si="178"/>
        <v>0</v>
      </c>
      <c r="IU76" s="77"/>
      <c r="IV76" s="48"/>
      <c r="IW76" s="74"/>
      <c r="IX76" s="56">
        <f t="shared" si="179"/>
        <v>0</v>
      </c>
      <c r="IY76" s="77"/>
      <c r="IZ76" s="48"/>
      <c r="JA76" s="74"/>
      <c r="JB76" s="56">
        <f t="shared" si="180"/>
        <v>0</v>
      </c>
      <c r="JC76" s="77"/>
      <c r="JD76" s="48"/>
      <c r="JE76" s="74"/>
      <c r="JF76" s="56">
        <f t="shared" si="181"/>
        <v>0</v>
      </c>
      <c r="JG76" s="80"/>
      <c r="JH76" s="48"/>
      <c r="JI76" s="74"/>
      <c r="JJ76" s="56">
        <f t="shared" si="182"/>
        <v>0</v>
      </c>
      <c r="JK76" s="81"/>
      <c r="JL76" s="48"/>
      <c r="JM76" s="54">
        <f t="shared" si="183"/>
        <v>0</v>
      </c>
      <c r="JN76" s="54">
        <f t="shared" si="184"/>
        <v>0</v>
      </c>
    </row>
    <row r="77" spans="1:274">
      <c r="A77" s="249"/>
      <c r="B77" s="60"/>
      <c r="C77" s="60"/>
      <c r="D77" s="249"/>
      <c r="E77" s="36">
        <v>72</v>
      </c>
      <c r="F77" s="103">
        <v>2</v>
      </c>
      <c r="G77" s="104">
        <v>4630905020</v>
      </c>
      <c r="H77" s="105" t="s">
        <v>114</v>
      </c>
      <c r="I77" s="220">
        <v>1053.08</v>
      </c>
      <c r="J77" s="226"/>
      <c r="K77" s="226"/>
      <c r="L77" s="226"/>
      <c r="M77" s="110"/>
      <c r="N77" s="111"/>
      <c r="O77" s="88"/>
      <c r="P77" s="89"/>
      <c r="Q77" s="74"/>
      <c r="R77" s="48"/>
      <c r="S77" s="88"/>
      <c r="T77" s="89"/>
      <c r="U77" s="74"/>
      <c r="V77" s="48"/>
      <c r="W77" s="88"/>
      <c r="X77" s="89"/>
      <c r="Y77" s="74"/>
      <c r="Z77" s="48"/>
      <c r="AA77" s="76"/>
      <c r="AB77" s="89"/>
      <c r="AC77" s="74"/>
      <c r="AD77" s="48"/>
      <c r="AE77" s="88"/>
      <c r="AF77" s="89"/>
      <c r="AG77" s="74"/>
      <c r="AH77" s="48"/>
      <c r="AI77" s="76"/>
      <c r="AJ77" s="89"/>
      <c r="AK77" s="74"/>
      <c r="AL77" s="42"/>
      <c r="AM77" s="77"/>
      <c r="AN77" s="48"/>
      <c r="AO77" s="74"/>
      <c r="AP77" s="42"/>
      <c r="AQ77" s="43"/>
      <c r="AR77" s="79"/>
      <c r="AS77" s="74"/>
      <c r="AT77" s="75"/>
      <c r="AU77" s="77"/>
      <c r="AV77" s="48"/>
      <c r="AW77" s="74"/>
      <c r="AX77" s="75"/>
      <c r="AY77" s="77"/>
      <c r="AZ77" s="48"/>
      <c r="BA77" s="74"/>
      <c r="BB77" s="75"/>
      <c r="BC77" s="80"/>
      <c r="BD77" s="48"/>
      <c r="BE77" s="74"/>
      <c r="BF77" s="75"/>
      <c r="BG77" s="81"/>
      <c r="BH77" s="48"/>
      <c r="BI77" s="84"/>
      <c r="BJ77" s="54"/>
      <c r="BK77" s="74"/>
      <c r="BL77" s="107"/>
      <c r="BM77" s="108"/>
      <c r="BN77" s="76"/>
      <c r="BO77" s="75"/>
      <c r="BP77" s="74"/>
      <c r="BQ77" s="107"/>
      <c r="BR77" s="108"/>
      <c r="BS77" s="76"/>
      <c r="BT77" s="75"/>
      <c r="BU77" s="74"/>
      <c r="BV77" s="107"/>
      <c r="BW77" s="108"/>
      <c r="BX77" s="76"/>
      <c r="BY77" s="75"/>
      <c r="BZ77" s="74"/>
      <c r="CA77" s="107"/>
      <c r="CB77" s="108"/>
      <c r="CC77" s="76">
        <v>60</v>
      </c>
      <c r="CD77" s="75" t="s">
        <v>100</v>
      </c>
      <c r="CE77" s="74"/>
      <c r="CF77" s="107"/>
      <c r="CG77" s="108"/>
      <c r="CH77" s="77">
        <v>88</v>
      </c>
      <c r="CI77" s="75"/>
      <c r="CJ77" s="74"/>
      <c r="CK77" s="107"/>
      <c r="CL77" s="108"/>
      <c r="CM77" s="77"/>
      <c r="CN77" s="62"/>
      <c r="CO77" s="74"/>
      <c r="CP77" s="107"/>
      <c r="CQ77" s="108"/>
      <c r="CR77" s="77"/>
      <c r="CS77" s="48"/>
      <c r="CT77" s="74"/>
      <c r="CU77" s="107"/>
      <c r="CV77" s="108"/>
      <c r="CW77" s="77"/>
      <c r="CX77" s="48"/>
      <c r="CY77" s="74"/>
      <c r="CZ77" s="107"/>
      <c r="DA77" s="108"/>
      <c r="DB77" s="77"/>
      <c r="DC77" s="48"/>
      <c r="DD77" s="74"/>
      <c r="DE77" s="107"/>
      <c r="DF77" s="108"/>
      <c r="DG77" s="77"/>
      <c r="DH77" s="48"/>
      <c r="DI77" s="74"/>
      <c r="DJ77" s="107"/>
      <c r="DK77" s="108"/>
      <c r="DL77" s="80"/>
      <c r="DM77" s="48"/>
      <c r="DN77" s="74"/>
      <c r="DO77" s="107"/>
      <c r="DP77" s="108"/>
      <c r="DQ77" s="81"/>
      <c r="DR77" s="48"/>
      <c r="DS77" s="54"/>
      <c r="DT77" s="54"/>
      <c r="DU77" s="41"/>
      <c r="DV77" s="56">
        <f t="shared" si="143"/>
        <v>0</v>
      </c>
      <c r="DW77" s="76"/>
      <c r="DX77" s="75"/>
      <c r="DY77" s="41"/>
      <c r="DZ77" s="56">
        <f t="shared" si="144"/>
        <v>0</v>
      </c>
      <c r="EA77" s="76"/>
      <c r="EB77" s="75"/>
      <c r="EC77" s="41"/>
      <c r="ED77" s="56">
        <f t="shared" si="145"/>
        <v>0</v>
      </c>
      <c r="EE77" s="76"/>
      <c r="EF77" s="75"/>
      <c r="EG77" s="41"/>
      <c r="EH77" s="56">
        <f t="shared" si="146"/>
        <v>0</v>
      </c>
      <c r="EI77" s="76"/>
      <c r="EJ77" s="75"/>
      <c r="EK77" s="41"/>
      <c r="EL77" s="56">
        <f t="shared" si="147"/>
        <v>0</v>
      </c>
      <c r="EM77" s="77"/>
      <c r="EN77" s="75"/>
      <c r="EO77" s="41"/>
      <c r="EP77" s="56">
        <f t="shared" si="148"/>
        <v>0</v>
      </c>
      <c r="EQ77" s="77"/>
      <c r="ER77" s="62"/>
      <c r="ES77" s="41"/>
      <c r="ET77" s="56">
        <f t="shared" si="149"/>
        <v>0</v>
      </c>
      <c r="EU77" s="77"/>
      <c r="EV77" s="48"/>
      <c r="EW77" s="41"/>
      <c r="EX77" s="56">
        <f t="shared" si="150"/>
        <v>0</v>
      </c>
      <c r="EY77" s="77"/>
      <c r="EZ77" s="48"/>
      <c r="FA77" s="41"/>
      <c r="FB77" s="56">
        <f t="shared" si="151"/>
        <v>0</v>
      </c>
      <c r="FC77" s="77"/>
      <c r="FD77" s="48"/>
      <c r="FE77" s="41"/>
      <c r="FF77" s="56">
        <f t="shared" si="152"/>
        <v>0</v>
      </c>
      <c r="FG77" s="77"/>
      <c r="FH77" s="48"/>
      <c r="FI77" s="41"/>
      <c r="FJ77" s="241">
        <f t="shared" si="153"/>
        <v>0</v>
      </c>
      <c r="FK77" s="80"/>
      <c r="FL77" s="48"/>
      <c r="FM77" s="41"/>
      <c r="FN77" s="241">
        <f t="shared" si="154"/>
        <v>0</v>
      </c>
      <c r="FO77" s="81"/>
      <c r="FP77" s="48"/>
      <c r="FQ77" s="54">
        <f t="shared" si="155"/>
        <v>0</v>
      </c>
      <c r="FR77" s="54">
        <f t="shared" si="156"/>
        <v>0</v>
      </c>
      <c r="FS77" s="74"/>
      <c r="FT77" s="56">
        <f t="shared" si="157"/>
        <v>0</v>
      </c>
      <c r="FU77" s="76"/>
      <c r="FV77" s="75"/>
      <c r="FW77" s="74"/>
      <c r="FX77" s="56">
        <f t="shared" si="158"/>
        <v>0</v>
      </c>
      <c r="FY77" s="76"/>
      <c r="FZ77" s="75"/>
      <c r="GA77" s="74"/>
      <c r="GB77" s="56">
        <f t="shared" si="159"/>
        <v>0</v>
      </c>
      <c r="GC77" s="76"/>
      <c r="GD77" s="75"/>
      <c r="GE77" s="74"/>
      <c r="GF77" s="56">
        <f t="shared" si="160"/>
        <v>0</v>
      </c>
      <c r="GG77" s="76"/>
      <c r="GH77" s="75"/>
      <c r="GI77" s="74"/>
      <c r="GJ77" s="56">
        <f t="shared" si="161"/>
        <v>0</v>
      </c>
      <c r="GK77" s="77"/>
      <c r="GL77" s="75"/>
      <c r="GM77" s="74"/>
      <c r="GN77" s="56">
        <f t="shared" si="162"/>
        <v>0</v>
      </c>
      <c r="GO77" s="77"/>
      <c r="GP77" s="62"/>
      <c r="GQ77" s="74"/>
      <c r="GR77" s="56">
        <f t="shared" si="163"/>
        <v>0</v>
      </c>
      <c r="GS77" s="77"/>
      <c r="GT77" s="48"/>
      <c r="GU77" s="74"/>
      <c r="GV77" s="56">
        <f t="shared" si="164"/>
        <v>0</v>
      </c>
      <c r="GW77" s="77"/>
      <c r="GX77" s="48"/>
      <c r="GY77" s="74"/>
      <c r="GZ77" s="56">
        <f t="shared" si="165"/>
        <v>0</v>
      </c>
      <c r="HA77" s="77"/>
      <c r="HB77" s="48"/>
      <c r="HC77" s="74"/>
      <c r="HD77" s="56">
        <f t="shared" si="166"/>
        <v>0</v>
      </c>
      <c r="HE77" s="77"/>
      <c r="HF77" s="48"/>
      <c r="HG77" s="74"/>
      <c r="HH77" s="56">
        <f t="shared" si="167"/>
        <v>0</v>
      </c>
      <c r="HI77" s="80"/>
      <c r="HJ77" s="48"/>
      <c r="HK77" s="74"/>
      <c r="HL77" s="56">
        <f t="shared" si="168"/>
        <v>0</v>
      </c>
      <c r="HM77" s="81"/>
      <c r="HN77" s="48"/>
      <c r="HO77" s="54">
        <f t="shared" si="169"/>
        <v>0</v>
      </c>
      <c r="HP77" s="54">
        <f t="shared" si="170"/>
        <v>0</v>
      </c>
      <c r="HQ77" s="74"/>
      <c r="HR77" s="56">
        <f t="shared" si="171"/>
        <v>0</v>
      </c>
      <c r="HS77" s="76"/>
      <c r="HT77" s="75"/>
      <c r="HU77" s="74"/>
      <c r="HV77" s="56">
        <f t="shared" si="172"/>
        <v>0</v>
      </c>
      <c r="HW77" s="76"/>
      <c r="HX77" s="75"/>
      <c r="HY77" s="74"/>
      <c r="HZ77" s="56">
        <f t="shared" si="173"/>
        <v>0</v>
      </c>
      <c r="IA77" s="76"/>
      <c r="IB77" s="75"/>
      <c r="IC77" s="74"/>
      <c r="ID77" s="56">
        <f t="shared" si="174"/>
        <v>0</v>
      </c>
      <c r="IE77" s="76"/>
      <c r="IF77" s="75"/>
      <c r="IG77" s="74"/>
      <c r="IH77" s="56">
        <f t="shared" si="175"/>
        <v>0</v>
      </c>
      <c r="II77" s="77"/>
      <c r="IJ77" s="75"/>
      <c r="IK77" s="74"/>
      <c r="IL77" s="56">
        <f t="shared" si="176"/>
        <v>0</v>
      </c>
      <c r="IM77" s="77"/>
      <c r="IN77" s="62"/>
      <c r="IO77" s="74"/>
      <c r="IP77" s="56">
        <f t="shared" si="177"/>
        <v>0</v>
      </c>
      <c r="IQ77" s="77"/>
      <c r="IR77" s="48"/>
      <c r="IS77" s="74"/>
      <c r="IT77" s="56">
        <f t="shared" si="178"/>
        <v>0</v>
      </c>
      <c r="IU77" s="77"/>
      <c r="IV77" s="48"/>
      <c r="IW77" s="74"/>
      <c r="IX77" s="56">
        <f t="shared" si="179"/>
        <v>0</v>
      </c>
      <c r="IY77" s="77"/>
      <c r="IZ77" s="48"/>
      <c r="JA77" s="74"/>
      <c r="JB77" s="56">
        <f t="shared" si="180"/>
        <v>0</v>
      </c>
      <c r="JC77" s="77"/>
      <c r="JD77" s="48"/>
      <c r="JE77" s="74"/>
      <c r="JF77" s="56">
        <f t="shared" si="181"/>
        <v>0</v>
      </c>
      <c r="JG77" s="80"/>
      <c r="JH77" s="48"/>
      <c r="JI77" s="74"/>
      <c r="JJ77" s="56">
        <f t="shared" si="182"/>
        <v>0</v>
      </c>
      <c r="JK77" s="81"/>
      <c r="JL77" s="48"/>
      <c r="JM77" s="54">
        <f t="shared" si="183"/>
        <v>0</v>
      </c>
      <c r="JN77" s="54">
        <f t="shared" si="184"/>
        <v>0</v>
      </c>
    </row>
    <row r="78" spans="1:274">
      <c r="A78" s="249"/>
      <c r="B78" s="60"/>
      <c r="C78" s="60"/>
      <c r="D78" s="249"/>
      <c r="E78" s="36">
        <v>73</v>
      </c>
      <c r="F78" s="103">
        <v>2</v>
      </c>
      <c r="G78" s="104">
        <v>4801020630</v>
      </c>
      <c r="H78" s="105" t="s">
        <v>115</v>
      </c>
      <c r="I78" s="220">
        <v>3287.84</v>
      </c>
      <c r="J78" s="226"/>
      <c r="K78" s="226"/>
      <c r="L78" s="226"/>
      <c r="M78" s="110"/>
      <c r="N78" s="111"/>
      <c r="O78" s="88"/>
      <c r="P78" s="89"/>
      <c r="Q78" s="74"/>
      <c r="R78" s="48"/>
      <c r="S78" s="88"/>
      <c r="T78" s="89"/>
      <c r="U78" s="74"/>
      <c r="V78" s="48"/>
      <c r="W78" s="88"/>
      <c r="X78" s="89"/>
      <c r="Y78" s="74"/>
      <c r="Z78" s="48"/>
      <c r="AA78" s="76"/>
      <c r="AB78" s="89"/>
      <c r="AC78" s="74"/>
      <c r="AD78" s="48"/>
      <c r="AE78" s="88"/>
      <c r="AF78" s="89"/>
      <c r="AG78" s="74"/>
      <c r="AH78" s="48"/>
      <c r="AI78" s="76"/>
      <c r="AJ78" s="89"/>
      <c r="AK78" s="74"/>
      <c r="AL78" s="42"/>
      <c r="AM78" s="77"/>
      <c r="AN78" s="48"/>
      <c r="AO78" s="74"/>
      <c r="AP78" s="42"/>
      <c r="AQ78" s="43"/>
      <c r="AR78" s="79"/>
      <c r="AS78" s="74"/>
      <c r="AT78" s="75"/>
      <c r="AU78" s="77"/>
      <c r="AV78" s="48"/>
      <c r="AW78" s="74"/>
      <c r="AX78" s="75"/>
      <c r="AY78" s="77"/>
      <c r="AZ78" s="48"/>
      <c r="BA78" s="74"/>
      <c r="BB78" s="75"/>
      <c r="BC78" s="80"/>
      <c r="BD78" s="48"/>
      <c r="BE78" s="74"/>
      <c r="BF78" s="75"/>
      <c r="BG78" s="81"/>
      <c r="BH78" s="48"/>
      <c r="BI78" s="84"/>
      <c r="BJ78" s="54"/>
      <c r="BK78" s="74"/>
      <c r="BL78" s="107"/>
      <c r="BM78" s="108"/>
      <c r="BN78" s="76"/>
      <c r="BO78" s="75"/>
      <c r="BP78" s="74"/>
      <c r="BQ78" s="107"/>
      <c r="BR78" s="108"/>
      <c r="BS78" s="76"/>
      <c r="BT78" s="75"/>
      <c r="BU78" s="74"/>
      <c r="BV78" s="107"/>
      <c r="BW78" s="108"/>
      <c r="BX78" s="76"/>
      <c r="BY78" s="75"/>
      <c r="BZ78" s="74"/>
      <c r="CA78" s="107"/>
      <c r="CB78" s="108"/>
      <c r="CC78" s="76">
        <v>2</v>
      </c>
      <c r="CD78" s="42" t="s">
        <v>100</v>
      </c>
      <c r="CE78" s="74"/>
      <c r="CF78" s="107"/>
      <c r="CG78" s="108"/>
      <c r="CH78" s="77">
        <v>0</v>
      </c>
      <c r="CI78" s="75"/>
      <c r="CJ78" s="74"/>
      <c r="CK78" s="107"/>
      <c r="CL78" s="108"/>
      <c r="CM78" s="77"/>
      <c r="CN78" s="62"/>
      <c r="CO78" s="74"/>
      <c r="CP78" s="107"/>
      <c r="CQ78" s="108"/>
      <c r="CR78" s="77"/>
      <c r="CS78" s="48"/>
      <c r="CT78" s="74"/>
      <c r="CU78" s="107"/>
      <c r="CV78" s="108"/>
      <c r="CW78" s="77"/>
      <c r="CX78" s="48"/>
      <c r="CY78" s="74"/>
      <c r="CZ78" s="107"/>
      <c r="DA78" s="108"/>
      <c r="DB78" s="77"/>
      <c r="DC78" s="48"/>
      <c r="DD78" s="74"/>
      <c r="DE78" s="107"/>
      <c r="DF78" s="108"/>
      <c r="DG78" s="77"/>
      <c r="DH78" s="48"/>
      <c r="DI78" s="74"/>
      <c r="DJ78" s="107"/>
      <c r="DK78" s="108"/>
      <c r="DL78" s="80"/>
      <c r="DM78" s="48"/>
      <c r="DN78" s="74"/>
      <c r="DO78" s="107"/>
      <c r="DP78" s="108"/>
      <c r="DQ78" s="81"/>
      <c r="DR78" s="48"/>
      <c r="DS78" s="54"/>
      <c r="DT78" s="54"/>
      <c r="DU78" s="41"/>
      <c r="DV78" s="56">
        <f t="shared" si="143"/>
        <v>0</v>
      </c>
      <c r="DW78" s="76"/>
      <c r="DX78" s="75"/>
      <c r="DY78" s="41"/>
      <c r="DZ78" s="56">
        <f t="shared" si="144"/>
        <v>0</v>
      </c>
      <c r="EA78" s="76"/>
      <c r="EB78" s="75"/>
      <c r="EC78" s="41"/>
      <c r="ED78" s="56">
        <f t="shared" si="145"/>
        <v>0</v>
      </c>
      <c r="EE78" s="76"/>
      <c r="EF78" s="75"/>
      <c r="EG78" s="41"/>
      <c r="EH78" s="56">
        <f t="shared" si="146"/>
        <v>0</v>
      </c>
      <c r="EI78" s="76"/>
      <c r="EJ78" s="42"/>
      <c r="EK78" s="41"/>
      <c r="EL78" s="56">
        <f t="shared" si="147"/>
        <v>0</v>
      </c>
      <c r="EM78" s="77"/>
      <c r="EN78" s="75"/>
      <c r="EO78" s="41"/>
      <c r="EP78" s="56">
        <f t="shared" si="148"/>
        <v>0</v>
      </c>
      <c r="EQ78" s="77"/>
      <c r="ER78" s="62"/>
      <c r="ES78" s="41"/>
      <c r="ET78" s="56">
        <f t="shared" si="149"/>
        <v>0</v>
      </c>
      <c r="EU78" s="77"/>
      <c r="EV78" s="48"/>
      <c r="EW78" s="41"/>
      <c r="EX78" s="56">
        <f t="shared" si="150"/>
        <v>0</v>
      </c>
      <c r="EY78" s="77"/>
      <c r="EZ78" s="48"/>
      <c r="FA78" s="41"/>
      <c r="FB78" s="56">
        <f t="shared" si="151"/>
        <v>0</v>
      </c>
      <c r="FC78" s="77"/>
      <c r="FD78" s="48"/>
      <c r="FE78" s="41"/>
      <c r="FF78" s="56">
        <f t="shared" si="152"/>
        <v>0</v>
      </c>
      <c r="FG78" s="77"/>
      <c r="FH78" s="48"/>
      <c r="FI78" s="41"/>
      <c r="FJ78" s="241">
        <f t="shared" si="153"/>
        <v>0</v>
      </c>
      <c r="FK78" s="80"/>
      <c r="FL78" s="48"/>
      <c r="FM78" s="41"/>
      <c r="FN78" s="241">
        <f t="shared" si="154"/>
        <v>0</v>
      </c>
      <c r="FO78" s="81"/>
      <c r="FP78" s="48"/>
      <c r="FQ78" s="54">
        <f t="shared" si="155"/>
        <v>0</v>
      </c>
      <c r="FR78" s="54">
        <f t="shared" si="156"/>
        <v>0</v>
      </c>
      <c r="FS78" s="74"/>
      <c r="FT78" s="56">
        <f t="shared" si="157"/>
        <v>0</v>
      </c>
      <c r="FU78" s="76"/>
      <c r="FV78" s="75"/>
      <c r="FW78" s="74"/>
      <c r="FX78" s="56">
        <f t="shared" si="158"/>
        <v>0</v>
      </c>
      <c r="FY78" s="76"/>
      <c r="FZ78" s="75"/>
      <c r="GA78" s="74"/>
      <c r="GB78" s="56">
        <f t="shared" si="159"/>
        <v>0</v>
      </c>
      <c r="GC78" s="76"/>
      <c r="GD78" s="75"/>
      <c r="GE78" s="74"/>
      <c r="GF78" s="56">
        <f t="shared" si="160"/>
        <v>0</v>
      </c>
      <c r="GG78" s="76"/>
      <c r="GH78" s="42"/>
      <c r="GI78" s="74"/>
      <c r="GJ78" s="56">
        <f t="shared" si="161"/>
        <v>0</v>
      </c>
      <c r="GK78" s="77"/>
      <c r="GL78" s="75"/>
      <c r="GM78" s="74"/>
      <c r="GN78" s="56">
        <f t="shared" si="162"/>
        <v>0</v>
      </c>
      <c r="GO78" s="77"/>
      <c r="GP78" s="62"/>
      <c r="GQ78" s="74"/>
      <c r="GR78" s="56">
        <f t="shared" si="163"/>
        <v>0</v>
      </c>
      <c r="GS78" s="77"/>
      <c r="GT78" s="48"/>
      <c r="GU78" s="74"/>
      <c r="GV78" s="56">
        <f t="shared" si="164"/>
        <v>0</v>
      </c>
      <c r="GW78" s="77"/>
      <c r="GX78" s="48"/>
      <c r="GY78" s="74"/>
      <c r="GZ78" s="56">
        <f t="shared" si="165"/>
        <v>0</v>
      </c>
      <c r="HA78" s="77"/>
      <c r="HB78" s="48"/>
      <c r="HC78" s="74"/>
      <c r="HD78" s="56">
        <f t="shared" si="166"/>
        <v>0</v>
      </c>
      <c r="HE78" s="77"/>
      <c r="HF78" s="48"/>
      <c r="HG78" s="74"/>
      <c r="HH78" s="56">
        <f t="shared" si="167"/>
        <v>0</v>
      </c>
      <c r="HI78" s="80"/>
      <c r="HJ78" s="48"/>
      <c r="HK78" s="74"/>
      <c r="HL78" s="56">
        <f t="shared" si="168"/>
        <v>0</v>
      </c>
      <c r="HM78" s="81"/>
      <c r="HN78" s="48"/>
      <c r="HO78" s="54">
        <f t="shared" si="169"/>
        <v>0</v>
      </c>
      <c r="HP78" s="54">
        <f t="shared" si="170"/>
        <v>0</v>
      </c>
      <c r="HQ78" s="74"/>
      <c r="HR78" s="56">
        <f t="shared" si="171"/>
        <v>0</v>
      </c>
      <c r="HS78" s="76"/>
      <c r="HT78" s="75"/>
      <c r="HU78" s="74"/>
      <c r="HV78" s="56">
        <f t="shared" si="172"/>
        <v>0</v>
      </c>
      <c r="HW78" s="76"/>
      <c r="HX78" s="75"/>
      <c r="HY78" s="74"/>
      <c r="HZ78" s="56">
        <f t="shared" si="173"/>
        <v>0</v>
      </c>
      <c r="IA78" s="76"/>
      <c r="IB78" s="75"/>
      <c r="IC78" s="74"/>
      <c r="ID78" s="56">
        <f t="shared" si="174"/>
        <v>0</v>
      </c>
      <c r="IE78" s="76"/>
      <c r="IF78" s="42"/>
      <c r="IG78" s="74"/>
      <c r="IH78" s="56">
        <f t="shared" si="175"/>
        <v>0</v>
      </c>
      <c r="II78" s="77"/>
      <c r="IJ78" s="75"/>
      <c r="IK78" s="74"/>
      <c r="IL78" s="56">
        <f t="shared" si="176"/>
        <v>0</v>
      </c>
      <c r="IM78" s="77"/>
      <c r="IN78" s="62"/>
      <c r="IO78" s="74"/>
      <c r="IP78" s="56">
        <f t="shared" si="177"/>
        <v>0</v>
      </c>
      <c r="IQ78" s="77"/>
      <c r="IR78" s="48"/>
      <c r="IS78" s="74"/>
      <c r="IT78" s="56">
        <f t="shared" si="178"/>
        <v>0</v>
      </c>
      <c r="IU78" s="77"/>
      <c r="IV78" s="48"/>
      <c r="IW78" s="74"/>
      <c r="IX78" s="56">
        <f t="shared" si="179"/>
        <v>0</v>
      </c>
      <c r="IY78" s="77"/>
      <c r="IZ78" s="48"/>
      <c r="JA78" s="74"/>
      <c r="JB78" s="56">
        <f t="shared" si="180"/>
        <v>0</v>
      </c>
      <c r="JC78" s="77"/>
      <c r="JD78" s="48"/>
      <c r="JE78" s="74"/>
      <c r="JF78" s="56">
        <f t="shared" si="181"/>
        <v>0</v>
      </c>
      <c r="JG78" s="80"/>
      <c r="JH78" s="48"/>
      <c r="JI78" s="74"/>
      <c r="JJ78" s="56">
        <f t="shared" si="182"/>
        <v>0</v>
      </c>
      <c r="JK78" s="81"/>
      <c r="JL78" s="48"/>
      <c r="JM78" s="54">
        <f t="shared" si="183"/>
        <v>0</v>
      </c>
      <c r="JN78" s="54">
        <f t="shared" si="184"/>
        <v>0</v>
      </c>
    </row>
    <row r="79" spans="1:274">
      <c r="A79" s="249"/>
      <c r="B79" s="60"/>
      <c r="C79" s="60"/>
      <c r="D79" s="249"/>
      <c r="E79" s="36">
        <v>74</v>
      </c>
      <c r="F79" s="103">
        <v>2</v>
      </c>
      <c r="G79" s="104">
        <v>4492731000</v>
      </c>
      <c r="H79" s="105" t="s">
        <v>116</v>
      </c>
      <c r="I79" s="220">
        <v>471.34</v>
      </c>
      <c r="J79" s="226"/>
      <c r="K79" s="226"/>
      <c r="L79" s="226"/>
      <c r="M79" s="110"/>
      <c r="N79" s="111"/>
      <c r="O79" s="88"/>
      <c r="P79" s="89"/>
      <c r="Q79" s="74"/>
      <c r="R79" s="48"/>
      <c r="S79" s="88"/>
      <c r="T79" s="89"/>
      <c r="U79" s="74"/>
      <c r="V79" s="48"/>
      <c r="W79" s="88"/>
      <c r="X79" s="89"/>
      <c r="Y79" s="74"/>
      <c r="Z79" s="48"/>
      <c r="AA79" s="76"/>
      <c r="AB79" s="89"/>
      <c r="AC79" s="74"/>
      <c r="AD79" s="48"/>
      <c r="AE79" s="88"/>
      <c r="AF79" s="89"/>
      <c r="AG79" s="74"/>
      <c r="AH79" s="48"/>
      <c r="AI79" s="76"/>
      <c r="AJ79" s="89"/>
      <c r="AK79" s="74"/>
      <c r="AL79" s="42"/>
      <c r="AM79" s="77"/>
      <c r="AN79" s="48"/>
      <c r="AO79" s="74"/>
      <c r="AP79" s="42"/>
      <c r="AQ79" s="43"/>
      <c r="AR79" s="79"/>
      <c r="AS79" s="74"/>
      <c r="AT79" s="75"/>
      <c r="AU79" s="77"/>
      <c r="AV79" s="48"/>
      <c r="AW79" s="74"/>
      <c r="AX79" s="75"/>
      <c r="AY79" s="77"/>
      <c r="AZ79" s="48"/>
      <c r="BA79" s="74"/>
      <c r="BB79" s="75"/>
      <c r="BC79" s="80"/>
      <c r="BD79" s="48"/>
      <c r="BE79" s="74"/>
      <c r="BF79" s="75"/>
      <c r="BG79" s="81"/>
      <c r="BH79" s="48"/>
      <c r="BI79" s="84"/>
      <c r="BJ79" s="54"/>
      <c r="BK79" s="74"/>
      <c r="BL79" s="107"/>
      <c r="BM79" s="108"/>
      <c r="BN79" s="76"/>
      <c r="BO79" s="75"/>
      <c r="BP79" s="74"/>
      <c r="BQ79" s="107"/>
      <c r="BR79" s="108"/>
      <c r="BS79" s="76"/>
      <c r="BT79" s="75"/>
      <c r="BU79" s="74"/>
      <c r="BV79" s="107"/>
      <c r="BW79" s="108"/>
      <c r="BX79" s="76"/>
      <c r="BY79" s="75"/>
      <c r="BZ79" s="74"/>
      <c r="CA79" s="107"/>
      <c r="CB79" s="108"/>
      <c r="CC79" s="76">
        <v>5</v>
      </c>
      <c r="CD79" s="75" t="s">
        <v>100</v>
      </c>
      <c r="CE79" s="74"/>
      <c r="CF79" s="107"/>
      <c r="CG79" s="108"/>
      <c r="CH79" s="77">
        <v>0</v>
      </c>
      <c r="CI79" s="75"/>
      <c r="CJ79" s="74"/>
      <c r="CK79" s="107"/>
      <c r="CL79" s="108"/>
      <c r="CM79" s="77"/>
      <c r="CN79" s="62"/>
      <c r="CO79" s="74"/>
      <c r="CP79" s="107"/>
      <c r="CQ79" s="108"/>
      <c r="CR79" s="77"/>
      <c r="CS79" s="48"/>
      <c r="CT79" s="74"/>
      <c r="CU79" s="107"/>
      <c r="CV79" s="108"/>
      <c r="CW79" s="77"/>
      <c r="CX79" s="48"/>
      <c r="CY79" s="74"/>
      <c r="CZ79" s="107"/>
      <c r="DA79" s="108"/>
      <c r="DB79" s="77"/>
      <c r="DC79" s="48"/>
      <c r="DD79" s="74"/>
      <c r="DE79" s="107"/>
      <c r="DF79" s="108"/>
      <c r="DG79" s="77">
        <v>1</v>
      </c>
      <c r="DH79" s="48"/>
      <c r="DI79" s="74"/>
      <c r="DJ79" s="107"/>
      <c r="DK79" s="108"/>
      <c r="DL79" s="80"/>
      <c r="DM79" s="48"/>
      <c r="DN79" s="74"/>
      <c r="DO79" s="107"/>
      <c r="DP79" s="108"/>
      <c r="DQ79" s="81"/>
      <c r="DR79" s="48"/>
      <c r="DS79" s="54"/>
      <c r="DT79" s="54"/>
      <c r="DU79" s="41"/>
      <c r="DV79" s="56">
        <f t="shared" si="143"/>
        <v>0</v>
      </c>
      <c r="DW79" s="76"/>
      <c r="DX79" s="75"/>
      <c r="DY79" s="41"/>
      <c r="DZ79" s="56">
        <f t="shared" si="144"/>
        <v>0</v>
      </c>
      <c r="EA79" s="76"/>
      <c r="EB79" s="75"/>
      <c r="EC79" s="41"/>
      <c r="ED79" s="56">
        <f t="shared" si="145"/>
        <v>0</v>
      </c>
      <c r="EE79" s="76"/>
      <c r="EF79" s="75"/>
      <c r="EG79" s="41"/>
      <c r="EH79" s="56">
        <f t="shared" si="146"/>
        <v>0</v>
      </c>
      <c r="EI79" s="76"/>
      <c r="EJ79" s="75"/>
      <c r="EK79" s="41"/>
      <c r="EL79" s="56">
        <f t="shared" si="147"/>
        <v>0</v>
      </c>
      <c r="EM79" s="77"/>
      <c r="EN79" s="75"/>
      <c r="EO79" s="41"/>
      <c r="EP79" s="56">
        <f t="shared" si="148"/>
        <v>0</v>
      </c>
      <c r="EQ79" s="77"/>
      <c r="ER79" s="62"/>
      <c r="ES79" s="41"/>
      <c r="ET79" s="56">
        <f t="shared" si="149"/>
        <v>0</v>
      </c>
      <c r="EU79" s="77"/>
      <c r="EV79" s="48"/>
      <c r="EW79" s="41"/>
      <c r="EX79" s="56">
        <f t="shared" si="150"/>
        <v>0</v>
      </c>
      <c r="EY79" s="77"/>
      <c r="EZ79" s="48"/>
      <c r="FA79" s="41"/>
      <c r="FB79" s="56">
        <f t="shared" si="151"/>
        <v>0</v>
      </c>
      <c r="FC79" s="77"/>
      <c r="FD79" s="48"/>
      <c r="FE79" s="41"/>
      <c r="FF79" s="56">
        <f t="shared" si="152"/>
        <v>0</v>
      </c>
      <c r="FG79" s="77"/>
      <c r="FH79" s="48"/>
      <c r="FI79" s="41"/>
      <c r="FJ79" s="241">
        <f t="shared" si="153"/>
        <v>0</v>
      </c>
      <c r="FK79" s="80"/>
      <c r="FL79" s="48"/>
      <c r="FM79" s="41"/>
      <c r="FN79" s="241">
        <f t="shared" si="154"/>
        <v>0</v>
      </c>
      <c r="FO79" s="81"/>
      <c r="FP79" s="48"/>
      <c r="FQ79" s="54">
        <f t="shared" si="155"/>
        <v>0</v>
      </c>
      <c r="FR79" s="54">
        <f t="shared" si="156"/>
        <v>0</v>
      </c>
      <c r="FS79" s="74"/>
      <c r="FT79" s="56">
        <f t="shared" si="157"/>
        <v>0</v>
      </c>
      <c r="FU79" s="76"/>
      <c r="FV79" s="75"/>
      <c r="FW79" s="74"/>
      <c r="FX79" s="56">
        <f t="shared" si="158"/>
        <v>0</v>
      </c>
      <c r="FY79" s="76"/>
      <c r="FZ79" s="75"/>
      <c r="GA79" s="74"/>
      <c r="GB79" s="56">
        <f t="shared" si="159"/>
        <v>0</v>
      </c>
      <c r="GC79" s="76"/>
      <c r="GD79" s="75"/>
      <c r="GE79" s="74"/>
      <c r="GF79" s="56">
        <f t="shared" si="160"/>
        <v>0</v>
      </c>
      <c r="GG79" s="76"/>
      <c r="GH79" s="75"/>
      <c r="GI79" s="74"/>
      <c r="GJ79" s="56">
        <f t="shared" si="161"/>
        <v>0</v>
      </c>
      <c r="GK79" s="77"/>
      <c r="GL79" s="75"/>
      <c r="GM79" s="74"/>
      <c r="GN79" s="56">
        <f t="shared" si="162"/>
        <v>0</v>
      </c>
      <c r="GO79" s="77"/>
      <c r="GP79" s="62"/>
      <c r="GQ79" s="74"/>
      <c r="GR79" s="56">
        <f t="shared" si="163"/>
        <v>0</v>
      </c>
      <c r="GS79" s="77"/>
      <c r="GT79" s="48"/>
      <c r="GU79" s="74"/>
      <c r="GV79" s="56">
        <f t="shared" si="164"/>
        <v>0</v>
      </c>
      <c r="GW79" s="77"/>
      <c r="GX79" s="48"/>
      <c r="GY79" s="74"/>
      <c r="GZ79" s="56">
        <f t="shared" si="165"/>
        <v>0</v>
      </c>
      <c r="HA79" s="77"/>
      <c r="HB79" s="48"/>
      <c r="HC79" s="74"/>
      <c r="HD79" s="56">
        <f t="shared" si="166"/>
        <v>0</v>
      </c>
      <c r="HE79" s="77"/>
      <c r="HF79" s="48"/>
      <c r="HG79" s="74"/>
      <c r="HH79" s="56">
        <f t="shared" si="167"/>
        <v>0</v>
      </c>
      <c r="HI79" s="80"/>
      <c r="HJ79" s="48"/>
      <c r="HK79" s="74"/>
      <c r="HL79" s="56">
        <f t="shared" si="168"/>
        <v>0</v>
      </c>
      <c r="HM79" s="81"/>
      <c r="HN79" s="48"/>
      <c r="HO79" s="54">
        <f t="shared" si="169"/>
        <v>0</v>
      </c>
      <c r="HP79" s="54">
        <f t="shared" si="170"/>
        <v>0</v>
      </c>
      <c r="HQ79" s="74"/>
      <c r="HR79" s="56">
        <f t="shared" si="171"/>
        <v>0</v>
      </c>
      <c r="HS79" s="76"/>
      <c r="HT79" s="75"/>
      <c r="HU79" s="74"/>
      <c r="HV79" s="56">
        <f t="shared" si="172"/>
        <v>0</v>
      </c>
      <c r="HW79" s="76"/>
      <c r="HX79" s="75"/>
      <c r="HY79" s="74"/>
      <c r="HZ79" s="56">
        <f t="shared" si="173"/>
        <v>0</v>
      </c>
      <c r="IA79" s="76"/>
      <c r="IB79" s="75"/>
      <c r="IC79" s="74"/>
      <c r="ID79" s="56">
        <f t="shared" si="174"/>
        <v>0</v>
      </c>
      <c r="IE79" s="76"/>
      <c r="IF79" s="75"/>
      <c r="IG79" s="74"/>
      <c r="IH79" s="56">
        <f t="shared" si="175"/>
        <v>0</v>
      </c>
      <c r="II79" s="77"/>
      <c r="IJ79" s="75"/>
      <c r="IK79" s="74"/>
      <c r="IL79" s="56">
        <f t="shared" si="176"/>
        <v>0</v>
      </c>
      <c r="IM79" s="77"/>
      <c r="IN79" s="62"/>
      <c r="IO79" s="74"/>
      <c r="IP79" s="56">
        <f t="shared" si="177"/>
        <v>0</v>
      </c>
      <c r="IQ79" s="77"/>
      <c r="IR79" s="48"/>
      <c r="IS79" s="74"/>
      <c r="IT79" s="56">
        <f t="shared" si="178"/>
        <v>0</v>
      </c>
      <c r="IU79" s="77"/>
      <c r="IV79" s="48"/>
      <c r="IW79" s="74"/>
      <c r="IX79" s="56">
        <f t="shared" si="179"/>
        <v>0</v>
      </c>
      <c r="IY79" s="77"/>
      <c r="IZ79" s="48"/>
      <c r="JA79" s="74"/>
      <c r="JB79" s="56">
        <f t="shared" si="180"/>
        <v>0</v>
      </c>
      <c r="JC79" s="77"/>
      <c r="JD79" s="48"/>
      <c r="JE79" s="74"/>
      <c r="JF79" s="56">
        <f t="shared" si="181"/>
        <v>0</v>
      </c>
      <c r="JG79" s="80"/>
      <c r="JH79" s="48"/>
      <c r="JI79" s="74"/>
      <c r="JJ79" s="56">
        <f t="shared" si="182"/>
        <v>0</v>
      </c>
      <c r="JK79" s="81"/>
      <c r="JL79" s="48"/>
      <c r="JM79" s="54">
        <f t="shared" si="183"/>
        <v>0</v>
      </c>
      <c r="JN79" s="54">
        <f t="shared" si="184"/>
        <v>0</v>
      </c>
    </row>
    <row r="80" spans="1:274">
      <c r="A80" s="249"/>
      <c r="B80" s="60"/>
      <c r="C80" s="60"/>
      <c r="D80" s="249"/>
      <c r="E80" s="36">
        <v>75</v>
      </c>
      <c r="F80" s="103">
        <v>2</v>
      </c>
      <c r="G80" s="104">
        <v>4640061007</v>
      </c>
      <c r="H80" s="105" t="s">
        <v>117</v>
      </c>
      <c r="I80" s="220">
        <v>247.35</v>
      </c>
      <c r="J80" s="226"/>
      <c r="K80" s="226"/>
      <c r="L80" s="226"/>
      <c r="M80" s="110"/>
      <c r="N80" s="111"/>
      <c r="O80" s="88"/>
      <c r="P80" s="89"/>
      <c r="Q80" s="74"/>
      <c r="R80" s="48"/>
      <c r="S80" s="88"/>
      <c r="T80" s="89"/>
      <c r="U80" s="74"/>
      <c r="V80" s="48"/>
      <c r="W80" s="88"/>
      <c r="X80" s="89"/>
      <c r="Y80" s="74"/>
      <c r="Z80" s="48"/>
      <c r="AA80" s="76"/>
      <c r="AB80" s="89"/>
      <c r="AC80" s="74"/>
      <c r="AD80" s="48"/>
      <c r="AE80" s="88"/>
      <c r="AF80" s="89"/>
      <c r="AG80" s="74"/>
      <c r="AH80" s="48"/>
      <c r="AI80" s="76"/>
      <c r="AJ80" s="89"/>
      <c r="AK80" s="74"/>
      <c r="AL80" s="42"/>
      <c r="AM80" s="77"/>
      <c r="AN80" s="48"/>
      <c r="AO80" s="74"/>
      <c r="AP80" s="42"/>
      <c r="AQ80" s="43"/>
      <c r="AR80" s="79"/>
      <c r="AS80" s="74"/>
      <c r="AT80" s="75"/>
      <c r="AU80" s="77"/>
      <c r="AV80" s="48"/>
      <c r="AW80" s="74"/>
      <c r="AX80" s="75"/>
      <c r="AY80" s="77"/>
      <c r="AZ80" s="48"/>
      <c r="BA80" s="74"/>
      <c r="BB80" s="75"/>
      <c r="BC80" s="80"/>
      <c r="BD80" s="48"/>
      <c r="BE80" s="74"/>
      <c r="BF80" s="75"/>
      <c r="BG80" s="81"/>
      <c r="BH80" s="48"/>
      <c r="BI80" s="84"/>
      <c r="BJ80" s="54"/>
      <c r="BK80" s="74"/>
      <c r="BL80" s="107"/>
      <c r="BM80" s="108"/>
      <c r="BN80" s="76"/>
      <c r="BO80" s="75"/>
      <c r="BP80" s="74"/>
      <c r="BQ80" s="107"/>
      <c r="BR80" s="108"/>
      <c r="BS80" s="76"/>
      <c r="BT80" s="75"/>
      <c r="BU80" s="74"/>
      <c r="BV80" s="107"/>
      <c r="BW80" s="108"/>
      <c r="BX80" s="76"/>
      <c r="BY80" s="75"/>
      <c r="BZ80" s="74"/>
      <c r="CA80" s="107"/>
      <c r="CB80" s="108"/>
      <c r="CC80" s="76">
        <v>5</v>
      </c>
      <c r="CD80" s="42" t="s">
        <v>100</v>
      </c>
      <c r="CE80" s="74"/>
      <c r="CF80" s="107"/>
      <c r="CG80" s="108"/>
      <c r="CH80" s="77">
        <v>5</v>
      </c>
      <c r="CI80" s="75"/>
      <c r="CJ80" s="74"/>
      <c r="CK80" s="107"/>
      <c r="CL80" s="108"/>
      <c r="CM80" s="77">
        <v>65</v>
      </c>
      <c r="CN80" s="62"/>
      <c r="CO80" s="74"/>
      <c r="CP80" s="107"/>
      <c r="CQ80" s="108"/>
      <c r="CR80" s="77"/>
      <c r="CS80" s="48"/>
      <c r="CT80" s="74"/>
      <c r="CU80" s="107"/>
      <c r="CV80" s="108"/>
      <c r="CW80" s="77">
        <v>50</v>
      </c>
      <c r="CX80" s="48"/>
      <c r="CY80" s="74"/>
      <c r="CZ80" s="107"/>
      <c r="DA80" s="108"/>
      <c r="DB80" s="77"/>
      <c r="DC80" s="48"/>
      <c r="DD80" s="74"/>
      <c r="DE80" s="107"/>
      <c r="DF80" s="108"/>
      <c r="DG80" s="77"/>
      <c r="DH80" s="48"/>
      <c r="DI80" s="74"/>
      <c r="DJ80" s="107"/>
      <c r="DK80" s="108"/>
      <c r="DL80" s="80"/>
      <c r="DM80" s="48"/>
      <c r="DN80" s="74"/>
      <c r="DO80" s="107"/>
      <c r="DP80" s="108"/>
      <c r="DQ80" s="81"/>
      <c r="DR80" s="48"/>
      <c r="DS80" s="54"/>
      <c r="DT80" s="54"/>
      <c r="DU80" s="41"/>
      <c r="DV80" s="56">
        <f t="shared" si="143"/>
        <v>0</v>
      </c>
      <c r="DW80" s="76"/>
      <c r="DX80" s="75"/>
      <c r="DY80" s="41"/>
      <c r="DZ80" s="56">
        <f t="shared" si="144"/>
        <v>0</v>
      </c>
      <c r="EA80" s="76"/>
      <c r="EB80" s="75"/>
      <c r="EC80" s="41"/>
      <c r="ED80" s="56">
        <f t="shared" si="145"/>
        <v>0</v>
      </c>
      <c r="EE80" s="76"/>
      <c r="EF80" s="75"/>
      <c r="EG80" s="41"/>
      <c r="EH80" s="56">
        <f t="shared" si="146"/>
        <v>0</v>
      </c>
      <c r="EI80" s="76"/>
      <c r="EJ80" s="42"/>
      <c r="EK80" s="41"/>
      <c r="EL80" s="56">
        <f t="shared" si="147"/>
        <v>0</v>
      </c>
      <c r="EM80" s="77"/>
      <c r="EN80" s="75"/>
      <c r="EO80" s="41"/>
      <c r="EP80" s="56">
        <f t="shared" si="148"/>
        <v>0</v>
      </c>
      <c r="EQ80" s="77"/>
      <c r="ER80" s="62"/>
      <c r="ES80" s="41"/>
      <c r="ET80" s="56">
        <f t="shared" si="149"/>
        <v>0</v>
      </c>
      <c r="EU80" s="77"/>
      <c r="EV80" s="48"/>
      <c r="EW80" s="41"/>
      <c r="EX80" s="56">
        <f t="shared" si="150"/>
        <v>0</v>
      </c>
      <c r="EY80" s="77"/>
      <c r="EZ80" s="48"/>
      <c r="FA80" s="41"/>
      <c r="FB80" s="56">
        <f t="shared" si="151"/>
        <v>0</v>
      </c>
      <c r="FC80" s="77"/>
      <c r="FD80" s="48"/>
      <c r="FE80" s="41"/>
      <c r="FF80" s="56">
        <f t="shared" si="152"/>
        <v>0</v>
      </c>
      <c r="FG80" s="77"/>
      <c r="FH80" s="48"/>
      <c r="FI80" s="41"/>
      <c r="FJ80" s="241">
        <f t="shared" si="153"/>
        <v>0</v>
      </c>
      <c r="FK80" s="80"/>
      <c r="FL80" s="48"/>
      <c r="FM80" s="41"/>
      <c r="FN80" s="241">
        <f t="shared" si="154"/>
        <v>0</v>
      </c>
      <c r="FO80" s="81"/>
      <c r="FP80" s="48"/>
      <c r="FQ80" s="54">
        <f t="shared" si="155"/>
        <v>0</v>
      </c>
      <c r="FR80" s="54">
        <f t="shared" si="156"/>
        <v>0</v>
      </c>
      <c r="FS80" s="74"/>
      <c r="FT80" s="56">
        <f t="shared" si="157"/>
        <v>0</v>
      </c>
      <c r="FU80" s="76"/>
      <c r="FV80" s="75"/>
      <c r="FW80" s="74"/>
      <c r="FX80" s="56">
        <f t="shared" si="158"/>
        <v>0</v>
      </c>
      <c r="FY80" s="76"/>
      <c r="FZ80" s="75"/>
      <c r="GA80" s="74"/>
      <c r="GB80" s="56">
        <f t="shared" si="159"/>
        <v>0</v>
      </c>
      <c r="GC80" s="76"/>
      <c r="GD80" s="75"/>
      <c r="GE80" s="74"/>
      <c r="GF80" s="56">
        <f t="shared" si="160"/>
        <v>0</v>
      </c>
      <c r="GG80" s="76"/>
      <c r="GH80" s="42"/>
      <c r="GI80" s="74"/>
      <c r="GJ80" s="56">
        <f t="shared" si="161"/>
        <v>0</v>
      </c>
      <c r="GK80" s="77"/>
      <c r="GL80" s="75"/>
      <c r="GM80" s="74"/>
      <c r="GN80" s="56">
        <f t="shared" si="162"/>
        <v>0</v>
      </c>
      <c r="GO80" s="77"/>
      <c r="GP80" s="62"/>
      <c r="GQ80" s="74"/>
      <c r="GR80" s="56">
        <f t="shared" si="163"/>
        <v>0</v>
      </c>
      <c r="GS80" s="77"/>
      <c r="GT80" s="48"/>
      <c r="GU80" s="74"/>
      <c r="GV80" s="56">
        <f t="shared" si="164"/>
        <v>0</v>
      </c>
      <c r="GW80" s="77"/>
      <c r="GX80" s="48"/>
      <c r="GY80" s="74"/>
      <c r="GZ80" s="56">
        <f t="shared" si="165"/>
        <v>0</v>
      </c>
      <c r="HA80" s="77"/>
      <c r="HB80" s="48"/>
      <c r="HC80" s="74"/>
      <c r="HD80" s="56">
        <f t="shared" si="166"/>
        <v>0</v>
      </c>
      <c r="HE80" s="77"/>
      <c r="HF80" s="48"/>
      <c r="HG80" s="74"/>
      <c r="HH80" s="56">
        <f t="shared" si="167"/>
        <v>0</v>
      </c>
      <c r="HI80" s="80"/>
      <c r="HJ80" s="48"/>
      <c r="HK80" s="74"/>
      <c r="HL80" s="56">
        <f t="shared" si="168"/>
        <v>0</v>
      </c>
      <c r="HM80" s="81"/>
      <c r="HN80" s="48"/>
      <c r="HO80" s="54">
        <f t="shared" si="169"/>
        <v>0</v>
      </c>
      <c r="HP80" s="54">
        <f t="shared" si="170"/>
        <v>0</v>
      </c>
      <c r="HQ80" s="74"/>
      <c r="HR80" s="56">
        <f t="shared" si="171"/>
        <v>0</v>
      </c>
      <c r="HS80" s="76"/>
      <c r="HT80" s="75"/>
      <c r="HU80" s="74"/>
      <c r="HV80" s="56">
        <f t="shared" si="172"/>
        <v>0</v>
      </c>
      <c r="HW80" s="76"/>
      <c r="HX80" s="75"/>
      <c r="HY80" s="74"/>
      <c r="HZ80" s="56">
        <f t="shared" si="173"/>
        <v>0</v>
      </c>
      <c r="IA80" s="76"/>
      <c r="IB80" s="75"/>
      <c r="IC80" s="74"/>
      <c r="ID80" s="56">
        <f t="shared" si="174"/>
        <v>0</v>
      </c>
      <c r="IE80" s="76"/>
      <c r="IF80" s="42"/>
      <c r="IG80" s="74"/>
      <c r="IH80" s="56">
        <f t="shared" si="175"/>
        <v>0</v>
      </c>
      <c r="II80" s="77"/>
      <c r="IJ80" s="75"/>
      <c r="IK80" s="74"/>
      <c r="IL80" s="56">
        <f t="shared" si="176"/>
        <v>0</v>
      </c>
      <c r="IM80" s="77"/>
      <c r="IN80" s="62"/>
      <c r="IO80" s="74"/>
      <c r="IP80" s="56">
        <f t="shared" si="177"/>
        <v>0</v>
      </c>
      <c r="IQ80" s="77"/>
      <c r="IR80" s="48"/>
      <c r="IS80" s="74"/>
      <c r="IT80" s="56">
        <f t="shared" si="178"/>
        <v>0</v>
      </c>
      <c r="IU80" s="77"/>
      <c r="IV80" s="48"/>
      <c r="IW80" s="74"/>
      <c r="IX80" s="56">
        <f t="shared" si="179"/>
        <v>0</v>
      </c>
      <c r="IY80" s="77"/>
      <c r="IZ80" s="48"/>
      <c r="JA80" s="74"/>
      <c r="JB80" s="56">
        <f t="shared" si="180"/>
        <v>0</v>
      </c>
      <c r="JC80" s="77"/>
      <c r="JD80" s="48"/>
      <c r="JE80" s="74"/>
      <c r="JF80" s="56">
        <f t="shared" si="181"/>
        <v>0</v>
      </c>
      <c r="JG80" s="80"/>
      <c r="JH80" s="48"/>
      <c r="JI80" s="74"/>
      <c r="JJ80" s="56">
        <f t="shared" si="182"/>
        <v>0</v>
      </c>
      <c r="JK80" s="81"/>
      <c r="JL80" s="48"/>
      <c r="JM80" s="54">
        <f t="shared" si="183"/>
        <v>0</v>
      </c>
      <c r="JN80" s="54">
        <f t="shared" si="184"/>
        <v>0</v>
      </c>
    </row>
    <row r="81" spans="1:274">
      <c r="A81" s="249"/>
      <c r="B81" s="60"/>
      <c r="C81" s="60"/>
      <c r="D81" s="249"/>
      <c r="E81" s="36">
        <v>76</v>
      </c>
      <c r="F81" s="1">
        <v>2</v>
      </c>
      <c r="G81" s="228">
        <v>4640060027</v>
      </c>
      <c r="H81" s="112" t="s">
        <v>118</v>
      </c>
      <c r="I81" s="220">
        <v>173</v>
      </c>
      <c r="J81" s="226"/>
      <c r="K81" s="226"/>
      <c r="L81" s="226"/>
      <c r="M81" s="110"/>
      <c r="N81" s="111"/>
      <c r="O81" s="88"/>
      <c r="P81" s="89"/>
      <c r="Q81" s="74"/>
      <c r="R81" s="48"/>
      <c r="S81" s="88"/>
      <c r="T81" s="89"/>
      <c r="U81" s="74"/>
      <c r="V81" s="48"/>
      <c r="W81" s="88"/>
      <c r="X81" s="89"/>
      <c r="Y81" s="74"/>
      <c r="Z81" s="48"/>
      <c r="AA81" s="76"/>
      <c r="AB81" s="89"/>
      <c r="AC81" s="74"/>
      <c r="AD81" s="48"/>
      <c r="AE81" s="88"/>
      <c r="AF81" s="89"/>
      <c r="AG81" s="74"/>
      <c r="AH81" s="48"/>
      <c r="AI81" s="76"/>
      <c r="AJ81" s="89"/>
      <c r="AK81" s="74"/>
      <c r="AL81" s="42"/>
      <c r="AM81" s="77"/>
      <c r="AN81" s="48"/>
      <c r="AO81" s="74"/>
      <c r="AP81" s="42"/>
      <c r="AQ81" s="43"/>
      <c r="AR81" s="79"/>
      <c r="AS81" s="74"/>
      <c r="AT81" s="75"/>
      <c r="AU81" s="77"/>
      <c r="AV81" s="48"/>
      <c r="AW81" s="74"/>
      <c r="AX81" s="75"/>
      <c r="AY81" s="77"/>
      <c r="AZ81" s="48"/>
      <c r="BA81" s="74"/>
      <c r="BB81" s="75"/>
      <c r="BC81" s="80"/>
      <c r="BD81" s="48"/>
      <c r="BE81" s="74"/>
      <c r="BF81" s="75"/>
      <c r="BG81" s="81"/>
      <c r="BH81" s="48"/>
      <c r="BI81" s="84"/>
      <c r="BJ81" s="54"/>
      <c r="BK81" s="74"/>
      <c r="BL81" s="107"/>
      <c r="BM81" s="108"/>
      <c r="BN81" s="76"/>
      <c r="BO81" s="75"/>
      <c r="BP81" s="74"/>
      <c r="BQ81" s="107"/>
      <c r="BR81" s="108"/>
      <c r="BS81" s="76"/>
      <c r="BT81" s="75"/>
      <c r="BU81" s="74"/>
      <c r="BV81" s="107"/>
      <c r="BW81" s="108"/>
      <c r="BX81" s="76"/>
      <c r="BY81" s="75"/>
      <c r="BZ81" s="74"/>
      <c r="CA81" s="107"/>
      <c r="CB81" s="108"/>
      <c r="CC81" s="76">
        <v>2</v>
      </c>
      <c r="CD81" s="75" t="s">
        <v>100</v>
      </c>
      <c r="CE81" s="74"/>
      <c r="CF81" s="107"/>
      <c r="CG81" s="108"/>
      <c r="CH81" s="77">
        <v>31</v>
      </c>
      <c r="CI81" s="75"/>
      <c r="CJ81" s="74"/>
      <c r="CK81" s="107"/>
      <c r="CL81" s="108"/>
      <c r="CM81" s="77"/>
      <c r="CN81" s="62"/>
      <c r="CO81" s="74"/>
      <c r="CP81" s="107"/>
      <c r="CQ81" s="108"/>
      <c r="CR81" s="77"/>
      <c r="CS81" s="48"/>
      <c r="CT81" s="74"/>
      <c r="CU81" s="107"/>
      <c r="CV81" s="108"/>
      <c r="CW81" s="77"/>
      <c r="CX81" s="48"/>
      <c r="CY81" s="74"/>
      <c r="CZ81" s="107"/>
      <c r="DA81" s="108"/>
      <c r="DB81" s="77"/>
      <c r="DC81" s="48"/>
      <c r="DD81" s="74"/>
      <c r="DE81" s="107"/>
      <c r="DF81" s="108"/>
      <c r="DG81" s="77"/>
      <c r="DH81" s="48"/>
      <c r="DI81" s="74"/>
      <c r="DJ81" s="107"/>
      <c r="DK81" s="108"/>
      <c r="DL81" s="80"/>
      <c r="DM81" s="48"/>
      <c r="DN81" s="74"/>
      <c r="DO81" s="107"/>
      <c r="DP81" s="108"/>
      <c r="DQ81" s="81"/>
      <c r="DR81" s="48"/>
      <c r="DS81" s="54"/>
      <c r="DT81" s="54"/>
      <c r="DU81" s="41"/>
      <c r="DV81" s="56">
        <f t="shared" si="143"/>
        <v>0</v>
      </c>
      <c r="DW81" s="76"/>
      <c r="DX81" s="75"/>
      <c r="DY81" s="41"/>
      <c r="DZ81" s="56">
        <f t="shared" si="144"/>
        <v>0</v>
      </c>
      <c r="EA81" s="76"/>
      <c r="EB81" s="75"/>
      <c r="EC81" s="41"/>
      <c r="ED81" s="56">
        <f t="shared" si="145"/>
        <v>0</v>
      </c>
      <c r="EE81" s="76"/>
      <c r="EF81" s="75"/>
      <c r="EG81" s="41"/>
      <c r="EH81" s="56">
        <f t="shared" si="146"/>
        <v>0</v>
      </c>
      <c r="EI81" s="76"/>
      <c r="EJ81" s="75"/>
      <c r="EK81" s="41"/>
      <c r="EL81" s="56">
        <f t="shared" si="147"/>
        <v>0</v>
      </c>
      <c r="EM81" s="77"/>
      <c r="EN81" s="75"/>
      <c r="EO81" s="41"/>
      <c r="EP81" s="56">
        <f t="shared" si="148"/>
        <v>0</v>
      </c>
      <c r="EQ81" s="77"/>
      <c r="ER81" s="62"/>
      <c r="ES81" s="41"/>
      <c r="ET81" s="56">
        <f t="shared" si="149"/>
        <v>0</v>
      </c>
      <c r="EU81" s="77"/>
      <c r="EV81" s="48"/>
      <c r="EW81" s="41"/>
      <c r="EX81" s="56">
        <f t="shared" si="150"/>
        <v>0</v>
      </c>
      <c r="EY81" s="77"/>
      <c r="EZ81" s="48"/>
      <c r="FA81" s="41"/>
      <c r="FB81" s="56">
        <f t="shared" si="151"/>
        <v>0</v>
      </c>
      <c r="FC81" s="77"/>
      <c r="FD81" s="48"/>
      <c r="FE81" s="41"/>
      <c r="FF81" s="56">
        <f t="shared" si="152"/>
        <v>0</v>
      </c>
      <c r="FG81" s="77"/>
      <c r="FH81" s="48"/>
      <c r="FI81" s="41"/>
      <c r="FJ81" s="241">
        <f t="shared" si="153"/>
        <v>0</v>
      </c>
      <c r="FK81" s="80"/>
      <c r="FL81" s="48"/>
      <c r="FM81" s="41"/>
      <c r="FN81" s="241">
        <f t="shared" si="154"/>
        <v>0</v>
      </c>
      <c r="FO81" s="81"/>
      <c r="FP81" s="48"/>
      <c r="FQ81" s="54">
        <f t="shared" si="155"/>
        <v>0</v>
      </c>
      <c r="FR81" s="54">
        <f t="shared" si="156"/>
        <v>0</v>
      </c>
      <c r="FS81" s="74"/>
      <c r="FT81" s="56">
        <f t="shared" si="157"/>
        <v>0</v>
      </c>
      <c r="FU81" s="76"/>
      <c r="FV81" s="75"/>
      <c r="FW81" s="74"/>
      <c r="FX81" s="56">
        <f t="shared" si="158"/>
        <v>0</v>
      </c>
      <c r="FY81" s="76"/>
      <c r="FZ81" s="75"/>
      <c r="GA81" s="74"/>
      <c r="GB81" s="56">
        <f t="shared" si="159"/>
        <v>0</v>
      </c>
      <c r="GC81" s="76"/>
      <c r="GD81" s="75"/>
      <c r="GE81" s="74"/>
      <c r="GF81" s="56">
        <f t="shared" si="160"/>
        <v>0</v>
      </c>
      <c r="GG81" s="76"/>
      <c r="GH81" s="75"/>
      <c r="GI81" s="74"/>
      <c r="GJ81" s="56">
        <f t="shared" si="161"/>
        <v>0</v>
      </c>
      <c r="GK81" s="77"/>
      <c r="GL81" s="75"/>
      <c r="GM81" s="74"/>
      <c r="GN81" s="56">
        <f t="shared" si="162"/>
        <v>0</v>
      </c>
      <c r="GO81" s="77"/>
      <c r="GP81" s="62"/>
      <c r="GQ81" s="74"/>
      <c r="GR81" s="56">
        <f t="shared" si="163"/>
        <v>0</v>
      </c>
      <c r="GS81" s="77"/>
      <c r="GT81" s="48"/>
      <c r="GU81" s="74"/>
      <c r="GV81" s="56">
        <f t="shared" si="164"/>
        <v>0</v>
      </c>
      <c r="GW81" s="77"/>
      <c r="GX81" s="48"/>
      <c r="GY81" s="74"/>
      <c r="GZ81" s="56">
        <f t="shared" si="165"/>
        <v>0</v>
      </c>
      <c r="HA81" s="77"/>
      <c r="HB81" s="48"/>
      <c r="HC81" s="74"/>
      <c r="HD81" s="56">
        <f t="shared" si="166"/>
        <v>0</v>
      </c>
      <c r="HE81" s="77"/>
      <c r="HF81" s="48"/>
      <c r="HG81" s="74"/>
      <c r="HH81" s="56">
        <f t="shared" si="167"/>
        <v>0</v>
      </c>
      <c r="HI81" s="80"/>
      <c r="HJ81" s="48"/>
      <c r="HK81" s="74"/>
      <c r="HL81" s="56">
        <f t="shared" si="168"/>
        <v>0</v>
      </c>
      <c r="HM81" s="81"/>
      <c r="HN81" s="48"/>
      <c r="HO81" s="54">
        <f t="shared" si="169"/>
        <v>0</v>
      </c>
      <c r="HP81" s="54">
        <f t="shared" si="170"/>
        <v>0</v>
      </c>
      <c r="HQ81" s="74"/>
      <c r="HR81" s="56">
        <f t="shared" si="171"/>
        <v>0</v>
      </c>
      <c r="HS81" s="76"/>
      <c r="HT81" s="75"/>
      <c r="HU81" s="74"/>
      <c r="HV81" s="56">
        <f t="shared" si="172"/>
        <v>0</v>
      </c>
      <c r="HW81" s="76"/>
      <c r="HX81" s="75"/>
      <c r="HY81" s="74"/>
      <c r="HZ81" s="56">
        <f t="shared" si="173"/>
        <v>0</v>
      </c>
      <c r="IA81" s="76"/>
      <c r="IB81" s="75"/>
      <c r="IC81" s="74"/>
      <c r="ID81" s="56">
        <f t="shared" si="174"/>
        <v>0</v>
      </c>
      <c r="IE81" s="76"/>
      <c r="IF81" s="75"/>
      <c r="IG81" s="74"/>
      <c r="IH81" s="56">
        <f t="shared" si="175"/>
        <v>0</v>
      </c>
      <c r="II81" s="77"/>
      <c r="IJ81" s="75"/>
      <c r="IK81" s="74"/>
      <c r="IL81" s="56">
        <f t="shared" si="176"/>
        <v>0</v>
      </c>
      <c r="IM81" s="77"/>
      <c r="IN81" s="62"/>
      <c r="IO81" s="74"/>
      <c r="IP81" s="56">
        <f t="shared" si="177"/>
        <v>0</v>
      </c>
      <c r="IQ81" s="77"/>
      <c r="IR81" s="48"/>
      <c r="IS81" s="74"/>
      <c r="IT81" s="56">
        <f t="shared" si="178"/>
        <v>0</v>
      </c>
      <c r="IU81" s="77"/>
      <c r="IV81" s="48"/>
      <c r="IW81" s="74"/>
      <c r="IX81" s="56">
        <f t="shared" si="179"/>
        <v>0</v>
      </c>
      <c r="IY81" s="77"/>
      <c r="IZ81" s="48"/>
      <c r="JA81" s="74"/>
      <c r="JB81" s="56">
        <f t="shared" si="180"/>
        <v>0</v>
      </c>
      <c r="JC81" s="77"/>
      <c r="JD81" s="48"/>
      <c r="JE81" s="74"/>
      <c r="JF81" s="56">
        <f t="shared" si="181"/>
        <v>0</v>
      </c>
      <c r="JG81" s="80"/>
      <c r="JH81" s="48"/>
      <c r="JI81" s="74"/>
      <c r="JJ81" s="56">
        <f t="shared" si="182"/>
        <v>0</v>
      </c>
      <c r="JK81" s="81"/>
      <c r="JL81" s="48"/>
      <c r="JM81" s="54">
        <f t="shared" si="183"/>
        <v>0</v>
      </c>
      <c r="JN81" s="54">
        <f t="shared" si="184"/>
        <v>0</v>
      </c>
    </row>
    <row r="82" spans="1:274">
      <c r="A82" s="249"/>
      <c r="B82" s="60"/>
      <c r="C82" s="60"/>
      <c r="D82" s="249"/>
      <c r="E82" s="36">
        <v>77</v>
      </c>
      <c r="F82" s="37"/>
      <c r="G82" s="239">
        <v>4741500111</v>
      </c>
      <c r="H82" s="234" t="s">
        <v>171</v>
      </c>
      <c r="I82" s="233">
        <v>1103</v>
      </c>
      <c r="J82" s="229"/>
      <c r="K82" s="229"/>
      <c r="L82" s="229"/>
      <c r="M82" s="230"/>
      <c r="N82" s="231"/>
      <c r="O82" s="88"/>
      <c r="P82" s="89"/>
      <c r="Q82" s="74"/>
      <c r="R82" s="48"/>
      <c r="S82" s="88"/>
      <c r="T82" s="89"/>
      <c r="U82" s="74"/>
      <c r="V82" s="48"/>
      <c r="W82" s="88"/>
      <c r="X82" s="89"/>
      <c r="Y82" s="74"/>
      <c r="Z82" s="48"/>
      <c r="AA82" s="76"/>
      <c r="AB82" s="89"/>
      <c r="AC82" s="74"/>
      <c r="AD82" s="48"/>
      <c r="AE82" s="88"/>
      <c r="AF82" s="89"/>
      <c r="AG82" s="74"/>
      <c r="AH82" s="48"/>
      <c r="AI82" s="76"/>
      <c r="AJ82" s="89"/>
      <c r="AK82" s="74"/>
      <c r="AL82" s="75"/>
      <c r="AM82" s="77"/>
      <c r="AN82" s="48"/>
      <c r="AO82" s="74"/>
      <c r="AP82" s="75"/>
      <c r="AQ82" s="76"/>
      <c r="AR82" s="79"/>
      <c r="AS82" s="74"/>
      <c r="AT82" s="75"/>
      <c r="AU82" s="77"/>
      <c r="AV82" s="48"/>
      <c r="AW82" s="74"/>
      <c r="AX82" s="75"/>
      <c r="AY82" s="77"/>
      <c r="AZ82" s="48"/>
      <c r="BA82" s="74"/>
      <c r="BB82" s="75"/>
      <c r="BC82" s="80"/>
      <c r="BD82" s="48"/>
      <c r="BE82" s="74"/>
      <c r="BF82" s="75"/>
      <c r="BG82" s="81"/>
      <c r="BH82" s="48"/>
      <c r="BI82" s="84"/>
      <c r="BJ82" s="232"/>
      <c r="BK82" s="74"/>
      <c r="BL82" s="107"/>
      <c r="BM82" s="108"/>
      <c r="BN82" s="76"/>
      <c r="BO82" s="75"/>
      <c r="BP82" s="74"/>
      <c r="BQ82" s="107"/>
      <c r="BR82" s="108"/>
      <c r="BS82" s="76"/>
      <c r="BT82" s="75"/>
      <c r="BU82" s="74"/>
      <c r="BV82" s="107"/>
      <c r="BW82" s="108"/>
      <c r="BX82" s="76"/>
      <c r="BY82" s="75"/>
      <c r="BZ82" s="74"/>
      <c r="CA82" s="107"/>
      <c r="CB82" s="108"/>
      <c r="CC82" s="76"/>
      <c r="CD82" s="75"/>
      <c r="CE82" s="74"/>
      <c r="CF82" s="107"/>
      <c r="CG82" s="108"/>
      <c r="CH82" s="77"/>
      <c r="CI82" s="75"/>
      <c r="CJ82" s="74"/>
      <c r="CK82" s="107"/>
      <c r="CL82" s="108"/>
      <c r="CM82" s="77"/>
      <c r="CN82" s="62"/>
      <c r="CO82" s="74"/>
      <c r="CP82" s="107"/>
      <c r="CQ82" s="108"/>
      <c r="CR82" s="77"/>
      <c r="CS82" s="48"/>
      <c r="CT82" s="74"/>
      <c r="CU82" s="107"/>
      <c r="CV82" s="108"/>
      <c r="CW82" s="77"/>
      <c r="CX82" s="48"/>
      <c r="CY82" s="74"/>
      <c r="CZ82" s="107"/>
      <c r="DA82" s="108"/>
      <c r="DB82" s="77"/>
      <c r="DC82" s="48"/>
      <c r="DD82" s="74"/>
      <c r="DE82" s="107"/>
      <c r="DF82" s="108"/>
      <c r="DG82" s="77"/>
      <c r="DH82" s="48"/>
      <c r="DI82" s="74"/>
      <c r="DJ82" s="107"/>
      <c r="DK82" s="108"/>
      <c r="DL82" s="80"/>
      <c r="DM82" s="48"/>
      <c r="DN82" s="74"/>
      <c r="DO82" s="107"/>
      <c r="DP82" s="108"/>
      <c r="DQ82" s="81"/>
      <c r="DR82" s="48"/>
      <c r="DS82" s="232"/>
      <c r="DT82" s="232"/>
      <c r="DU82" s="74"/>
      <c r="DV82" s="108"/>
      <c r="DW82" s="76"/>
      <c r="DX82" s="75"/>
      <c r="DY82" s="41"/>
      <c r="DZ82" s="108"/>
      <c r="EA82" s="76"/>
      <c r="EB82" s="75"/>
      <c r="EC82" s="41"/>
      <c r="ED82" s="108"/>
      <c r="EE82" s="76"/>
      <c r="EF82" s="75"/>
      <c r="EG82" s="41"/>
      <c r="EH82" s="108">
        <v>1</v>
      </c>
      <c r="EI82" s="76">
        <v>1</v>
      </c>
      <c r="EJ82" s="48" t="s">
        <v>100</v>
      </c>
      <c r="EK82" s="41"/>
      <c r="EL82" s="108">
        <v>3</v>
      </c>
      <c r="EM82" s="77">
        <v>5</v>
      </c>
      <c r="EN82" s="75"/>
      <c r="EO82" s="41"/>
      <c r="EP82" s="108">
        <v>4</v>
      </c>
      <c r="EQ82" s="77"/>
      <c r="ER82" s="62"/>
      <c r="ES82" s="41"/>
      <c r="ET82" s="108">
        <v>4</v>
      </c>
      <c r="EU82" s="77"/>
      <c r="EV82" s="48"/>
      <c r="EW82" s="41"/>
      <c r="EX82" s="108">
        <v>4</v>
      </c>
      <c r="EY82" s="77"/>
      <c r="FA82" s="41"/>
      <c r="FB82" s="108">
        <v>4</v>
      </c>
      <c r="FC82" s="77"/>
      <c r="FD82" s="48"/>
      <c r="FE82" s="41"/>
      <c r="FF82" s="108"/>
      <c r="FG82" s="77"/>
      <c r="FH82" s="48"/>
      <c r="FI82" s="41"/>
      <c r="FJ82" s="243"/>
      <c r="FK82" s="80"/>
      <c r="FL82" s="48"/>
      <c r="FM82" s="41"/>
      <c r="FN82" s="243"/>
      <c r="FO82" s="81"/>
      <c r="FP82" s="48"/>
      <c r="FQ82" s="232"/>
      <c r="FR82" s="232"/>
      <c r="FS82" s="74"/>
      <c r="FT82" s="108"/>
      <c r="FU82" s="76"/>
      <c r="FV82" s="75"/>
      <c r="FW82" s="74"/>
      <c r="FX82" s="108"/>
      <c r="FY82" s="76"/>
      <c r="FZ82" s="75"/>
      <c r="GA82" s="74"/>
      <c r="GB82" s="108"/>
      <c r="GC82" s="76"/>
      <c r="GD82" s="75"/>
      <c r="GE82" s="74"/>
      <c r="GF82" s="108"/>
      <c r="GG82" s="76"/>
      <c r="GH82" s="75"/>
      <c r="GI82" s="74"/>
      <c r="GJ82" s="108"/>
      <c r="GK82" s="77"/>
      <c r="GL82" s="75"/>
      <c r="GM82" s="74"/>
      <c r="GN82" s="108"/>
      <c r="GO82" s="77"/>
      <c r="GP82" s="62"/>
      <c r="GQ82" s="74"/>
      <c r="GR82" s="108"/>
      <c r="GS82" s="77"/>
      <c r="GT82" s="48"/>
      <c r="GU82" s="74"/>
      <c r="GV82" s="108"/>
      <c r="GW82" s="77"/>
      <c r="GX82" s="48"/>
      <c r="GY82" s="74"/>
      <c r="GZ82" s="108"/>
      <c r="HA82" s="77"/>
      <c r="HB82" s="48"/>
      <c r="HC82" s="74"/>
      <c r="HD82" s="108"/>
      <c r="HE82" s="77"/>
      <c r="HF82" s="48"/>
      <c r="HG82" s="74"/>
      <c r="HH82" s="108"/>
      <c r="HI82" s="80"/>
      <c r="HJ82" s="48"/>
      <c r="HK82" s="74"/>
      <c r="HL82" s="108"/>
      <c r="HM82" s="81"/>
      <c r="HN82" s="48"/>
      <c r="HO82" s="232"/>
      <c r="HP82" s="232"/>
      <c r="HQ82" s="74"/>
      <c r="HR82" s="108"/>
      <c r="HS82" s="76"/>
      <c r="HT82" s="75"/>
      <c r="HU82" s="74"/>
      <c r="HV82" s="108"/>
      <c r="HW82" s="76"/>
      <c r="HX82" s="75"/>
      <c r="HY82" s="74"/>
      <c r="HZ82" s="108"/>
      <c r="IA82" s="76"/>
      <c r="IB82" s="75"/>
      <c r="IC82" s="74"/>
      <c r="ID82" s="108"/>
      <c r="IE82" s="76"/>
      <c r="IF82" s="75"/>
      <c r="IG82" s="74"/>
      <c r="IH82" s="108"/>
      <c r="II82" s="77"/>
      <c r="IJ82" s="75"/>
      <c r="IK82" s="74"/>
      <c r="IL82" s="108"/>
      <c r="IM82" s="77"/>
      <c r="IN82" s="62"/>
      <c r="IO82" s="74"/>
      <c r="IP82" s="108"/>
      <c r="IQ82" s="77"/>
      <c r="IR82" s="48"/>
      <c r="IS82" s="74"/>
      <c r="IT82" s="108"/>
      <c r="IU82" s="77"/>
      <c r="IV82" s="48"/>
      <c r="IW82" s="74"/>
      <c r="IX82" s="108"/>
      <c r="IY82" s="77"/>
      <c r="IZ82" s="48"/>
      <c r="JA82" s="74"/>
      <c r="JB82" s="108"/>
      <c r="JC82" s="77"/>
      <c r="JD82" s="48"/>
      <c r="JE82" s="74"/>
      <c r="JF82" s="108"/>
      <c r="JG82" s="80"/>
      <c r="JH82" s="48"/>
      <c r="JI82" s="74"/>
      <c r="JJ82" s="108"/>
      <c r="JK82" s="81"/>
      <c r="JL82" s="48"/>
      <c r="JM82" s="232"/>
      <c r="JN82" s="232"/>
    </row>
    <row r="83" spans="1:274">
      <c r="A83" s="249"/>
      <c r="B83" s="60"/>
      <c r="C83" s="60"/>
      <c r="D83" s="249"/>
      <c r="E83" s="36">
        <v>78</v>
      </c>
      <c r="F83" s="37"/>
      <c r="G83" s="240">
        <v>4410328100</v>
      </c>
      <c r="H83" s="236" t="s">
        <v>111</v>
      </c>
      <c r="I83" s="118">
        <v>74.2</v>
      </c>
      <c r="J83" s="229"/>
      <c r="K83" s="229"/>
      <c r="L83" s="229"/>
      <c r="M83" s="230"/>
      <c r="N83" s="231"/>
      <c r="O83" s="88"/>
      <c r="P83" s="89"/>
      <c r="Q83" s="74"/>
      <c r="R83" s="48"/>
      <c r="S83" s="88"/>
      <c r="T83" s="89"/>
      <c r="U83" s="74"/>
      <c r="V83" s="48"/>
      <c r="W83" s="88"/>
      <c r="X83" s="89"/>
      <c r="Y83" s="74"/>
      <c r="Z83" s="48"/>
      <c r="AA83" s="76"/>
      <c r="AB83" s="89"/>
      <c r="AC83" s="74"/>
      <c r="AD83" s="48"/>
      <c r="AE83" s="88"/>
      <c r="AF83" s="89"/>
      <c r="AG83" s="74"/>
      <c r="AH83" s="48"/>
      <c r="AI83" s="76"/>
      <c r="AJ83" s="89"/>
      <c r="AK83" s="74"/>
      <c r="AL83" s="75"/>
      <c r="AM83" s="77"/>
      <c r="AN83" s="48"/>
      <c r="AO83" s="74"/>
      <c r="AP83" s="75"/>
      <c r="AQ83" s="76"/>
      <c r="AR83" s="79"/>
      <c r="AS83" s="74"/>
      <c r="AT83" s="75"/>
      <c r="AU83" s="77"/>
      <c r="AV83" s="48"/>
      <c r="AW83" s="74"/>
      <c r="AX83" s="75"/>
      <c r="AY83" s="77"/>
      <c r="AZ83" s="48"/>
      <c r="BA83" s="74"/>
      <c r="BB83" s="75"/>
      <c r="BC83" s="80"/>
      <c r="BD83" s="48"/>
      <c r="BE83" s="74"/>
      <c r="BF83" s="75"/>
      <c r="BG83" s="81"/>
      <c r="BH83" s="48"/>
      <c r="BI83" s="84"/>
      <c r="BJ83" s="232"/>
      <c r="BK83" s="74"/>
      <c r="BL83" s="107"/>
      <c r="BM83" s="108"/>
      <c r="BN83" s="76"/>
      <c r="BO83" s="75"/>
      <c r="BP83" s="74"/>
      <c r="BQ83" s="107"/>
      <c r="BR83" s="108"/>
      <c r="BS83" s="76"/>
      <c r="BT83" s="75"/>
      <c r="BU83" s="74"/>
      <c r="BV83" s="107"/>
      <c r="BW83" s="108"/>
      <c r="BX83" s="76"/>
      <c r="BY83" s="75"/>
      <c r="BZ83" s="74"/>
      <c r="CA83" s="107"/>
      <c r="CB83" s="108"/>
      <c r="CC83" s="76"/>
      <c r="CD83" s="75"/>
      <c r="CE83" s="74"/>
      <c r="CF83" s="107"/>
      <c r="CG83" s="108"/>
      <c r="CH83" s="77"/>
      <c r="CI83" s="75"/>
      <c r="CJ83" s="74"/>
      <c r="CK83" s="107"/>
      <c r="CL83" s="108"/>
      <c r="CM83" s="77"/>
      <c r="CN83" s="62"/>
      <c r="CO83" s="74"/>
      <c r="CP83" s="107"/>
      <c r="CQ83" s="108"/>
      <c r="CR83" s="77"/>
      <c r="CS83" s="48"/>
      <c r="CT83" s="74"/>
      <c r="CU83" s="107"/>
      <c r="CV83" s="108"/>
      <c r="CW83" s="77"/>
      <c r="CX83" s="48"/>
      <c r="CY83" s="74"/>
      <c r="CZ83" s="107"/>
      <c r="DA83" s="108"/>
      <c r="DB83" s="77"/>
      <c r="DC83" s="48"/>
      <c r="DD83" s="74"/>
      <c r="DE83" s="107"/>
      <c r="DF83" s="108"/>
      <c r="DG83" s="77"/>
      <c r="DH83" s="48"/>
      <c r="DI83" s="74"/>
      <c r="DJ83" s="107"/>
      <c r="DK83" s="108"/>
      <c r="DL83" s="80"/>
      <c r="DM83" s="48"/>
      <c r="DN83" s="74"/>
      <c r="DO83" s="107"/>
      <c r="DP83" s="108"/>
      <c r="DQ83" s="81"/>
      <c r="DR83" s="48"/>
      <c r="DS83" s="232"/>
      <c r="DT83" s="232"/>
      <c r="DU83" s="74"/>
      <c r="DV83" s="108"/>
      <c r="DW83" s="76"/>
      <c r="DX83" s="75"/>
      <c r="DY83" s="41"/>
      <c r="DZ83" s="108"/>
      <c r="EA83" s="76"/>
      <c r="EB83" s="75"/>
      <c r="EC83" s="41"/>
      <c r="ED83" s="108"/>
      <c r="EE83" s="76"/>
      <c r="EF83" s="75"/>
      <c r="EG83" s="41"/>
      <c r="EH83" s="108">
        <v>10</v>
      </c>
      <c r="EI83" s="76"/>
      <c r="EJ83" s="48" t="s">
        <v>100</v>
      </c>
      <c r="EK83" s="41"/>
      <c r="EL83" s="108">
        <v>10</v>
      </c>
      <c r="EM83" s="77">
        <v>2</v>
      </c>
      <c r="EN83" s="75"/>
      <c r="EO83" s="41"/>
      <c r="EP83" s="108">
        <v>10</v>
      </c>
      <c r="EQ83" s="77"/>
      <c r="ER83" s="62"/>
      <c r="ES83" s="41"/>
      <c r="ET83" s="108">
        <v>10</v>
      </c>
      <c r="EU83" s="77"/>
      <c r="EV83" s="48"/>
      <c r="EW83" s="41"/>
      <c r="EX83" s="108">
        <v>10</v>
      </c>
      <c r="EY83" s="77"/>
      <c r="FA83" s="41"/>
      <c r="FB83" s="108">
        <v>10</v>
      </c>
      <c r="FC83" s="77"/>
      <c r="FD83" s="48"/>
      <c r="FE83" s="41"/>
      <c r="FF83" s="108"/>
      <c r="FG83" s="77"/>
      <c r="FH83" s="48"/>
      <c r="FI83" s="41"/>
      <c r="FJ83" s="243"/>
      <c r="FK83" s="80"/>
      <c r="FL83" s="48"/>
      <c r="FM83" s="41"/>
      <c r="FN83" s="243"/>
      <c r="FO83" s="81"/>
      <c r="FP83" s="48"/>
      <c r="FQ83" s="232"/>
      <c r="FR83" s="232"/>
      <c r="FS83" s="74"/>
      <c r="FT83" s="108"/>
      <c r="FU83" s="76"/>
      <c r="FV83" s="75"/>
      <c r="FW83" s="74"/>
      <c r="FX83" s="108"/>
      <c r="FY83" s="76"/>
      <c r="FZ83" s="75"/>
      <c r="GA83" s="74"/>
      <c r="GB83" s="108"/>
      <c r="GC83" s="76"/>
      <c r="GD83" s="75"/>
      <c r="GE83" s="74"/>
      <c r="GF83" s="108"/>
      <c r="GG83" s="76"/>
      <c r="GH83" s="75"/>
      <c r="GI83" s="74"/>
      <c r="GJ83" s="108"/>
      <c r="GK83" s="77"/>
      <c r="GL83" s="75"/>
      <c r="GM83" s="74"/>
      <c r="GN83" s="108"/>
      <c r="GO83" s="77"/>
      <c r="GP83" s="62"/>
      <c r="GQ83" s="74"/>
      <c r="GR83" s="108"/>
      <c r="GS83" s="77"/>
      <c r="GT83" s="48"/>
      <c r="GU83" s="74"/>
      <c r="GV83" s="108"/>
      <c r="GW83" s="77"/>
      <c r="GX83" s="48"/>
      <c r="GY83" s="74"/>
      <c r="GZ83" s="108"/>
      <c r="HA83" s="77"/>
      <c r="HB83" s="48"/>
      <c r="HC83" s="74"/>
      <c r="HD83" s="108"/>
      <c r="HE83" s="77"/>
      <c r="HF83" s="48"/>
      <c r="HG83" s="74"/>
      <c r="HH83" s="108"/>
      <c r="HI83" s="80"/>
      <c r="HJ83" s="48"/>
      <c r="HK83" s="74"/>
      <c r="HL83" s="108"/>
      <c r="HM83" s="81"/>
      <c r="HN83" s="48"/>
      <c r="HO83" s="232"/>
      <c r="HP83" s="232"/>
      <c r="HQ83" s="74"/>
      <c r="HR83" s="108"/>
      <c r="HS83" s="76"/>
      <c r="HT83" s="75"/>
      <c r="HU83" s="74"/>
      <c r="HV83" s="108"/>
      <c r="HW83" s="76"/>
      <c r="HX83" s="75"/>
      <c r="HY83" s="74"/>
      <c r="HZ83" s="108"/>
      <c r="IA83" s="76"/>
      <c r="IB83" s="75"/>
      <c r="IC83" s="74"/>
      <c r="ID83" s="108"/>
      <c r="IE83" s="76"/>
      <c r="IF83" s="75"/>
      <c r="IG83" s="74"/>
      <c r="IH83" s="108"/>
      <c r="II83" s="77"/>
      <c r="IJ83" s="75"/>
      <c r="IK83" s="74"/>
      <c r="IL83" s="108"/>
      <c r="IM83" s="77"/>
      <c r="IN83" s="62"/>
      <c r="IO83" s="74"/>
      <c r="IP83" s="108"/>
      <c r="IQ83" s="77"/>
      <c r="IR83" s="48"/>
      <c r="IS83" s="74"/>
      <c r="IT83" s="108"/>
      <c r="IU83" s="77"/>
      <c r="IV83" s="48"/>
      <c r="IW83" s="74"/>
      <c r="IX83" s="108"/>
      <c r="IY83" s="77"/>
      <c r="IZ83" s="48"/>
      <c r="JA83" s="74"/>
      <c r="JB83" s="108"/>
      <c r="JC83" s="77"/>
      <c r="JD83" s="48"/>
      <c r="JE83" s="74"/>
      <c r="JF83" s="108"/>
      <c r="JG83" s="80"/>
      <c r="JH83" s="48"/>
      <c r="JI83" s="74"/>
      <c r="JJ83" s="108"/>
      <c r="JK83" s="81"/>
      <c r="JL83" s="48"/>
      <c r="JM83" s="232"/>
      <c r="JN83" s="232"/>
    </row>
    <row r="84" spans="1:274">
      <c r="A84" s="249"/>
      <c r="B84" s="60"/>
      <c r="C84" s="60"/>
      <c r="D84" s="249"/>
      <c r="E84" s="36">
        <v>79</v>
      </c>
      <c r="F84" s="37"/>
      <c r="G84" s="240">
        <v>4410329001</v>
      </c>
      <c r="H84" s="236" t="s">
        <v>111</v>
      </c>
      <c r="I84" s="238">
        <v>74</v>
      </c>
      <c r="J84" s="229"/>
      <c r="K84" s="229"/>
      <c r="L84" s="229"/>
      <c r="M84" s="230"/>
      <c r="N84" s="231"/>
      <c r="O84" s="88"/>
      <c r="P84" s="89"/>
      <c r="Q84" s="74"/>
      <c r="R84" s="48"/>
      <c r="S84" s="88"/>
      <c r="T84" s="89"/>
      <c r="U84" s="74"/>
      <c r="V84" s="48"/>
      <c r="W84" s="88"/>
      <c r="X84" s="89"/>
      <c r="Y84" s="74"/>
      <c r="Z84" s="48"/>
      <c r="AA84" s="76"/>
      <c r="AB84" s="89"/>
      <c r="AC84" s="74"/>
      <c r="AD84" s="48"/>
      <c r="AE84" s="88"/>
      <c r="AF84" s="89"/>
      <c r="AG84" s="74"/>
      <c r="AH84" s="48"/>
      <c r="AI84" s="76"/>
      <c r="AJ84" s="89"/>
      <c r="AK84" s="74"/>
      <c r="AL84" s="75"/>
      <c r="AM84" s="77"/>
      <c r="AN84" s="48"/>
      <c r="AO84" s="74"/>
      <c r="AP84" s="75"/>
      <c r="AQ84" s="76"/>
      <c r="AR84" s="79"/>
      <c r="AS84" s="74"/>
      <c r="AT84" s="75"/>
      <c r="AU84" s="77"/>
      <c r="AV84" s="48"/>
      <c r="AW84" s="74"/>
      <c r="AX84" s="75"/>
      <c r="AY84" s="77"/>
      <c r="AZ84" s="48"/>
      <c r="BA84" s="74"/>
      <c r="BB84" s="75"/>
      <c r="BC84" s="80"/>
      <c r="BD84" s="48"/>
      <c r="BE84" s="74"/>
      <c r="BF84" s="75"/>
      <c r="BG84" s="81"/>
      <c r="BH84" s="48"/>
      <c r="BI84" s="84"/>
      <c r="BJ84" s="232"/>
      <c r="BK84" s="74"/>
      <c r="BL84" s="107"/>
      <c r="BM84" s="108"/>
      <c r="BN84" s="76"/>
      <c r="BO84" s="75"/>
      <c r="BP84" s="74"/>
      <c r="BQ84" s="107"/>
      <c r="BR84" s="108"/>
      <c r="BS84" s="76"/>
      <c r="BT84" s="75"/>
      <c r="BU84" s="74"/>
      <c r="BV84" s="107"/>
      <c r="BW84" s="108"/>
      <c r="BX84" s="76"/>
      <c r="BY84" s="75"/>
      <c r="BZ84" s="74"/>
      <c r="CA84" s="107"/>
      <c r="CB84" s="108"/>
      <c r="CC84" s="76"/>
      <c r="CD84" s="75"/>
      <c r="CE84" s="74"/>
      <c r="CF84" s="107"/>
      <c r="CG84" s="108"/>
      <c r="CH84" s="77"/>
      <c r="CI84" s="75"/>
      <c r="CJ84" s="74"/>
      <c r="CK84" s="107"/>
      <c r="CL84" s="108"/>
      <c r="CM84" s="77"/>
      <c r="CN84" s="62"/>
      <c r="CO84" s="74"/>
      <c r="CP84" s="107"/>
      <c r="CQ84" s="108"/>
      <c r="CR84" s="77"/>
      <c r="CS84" s="48"/>
      <c r="CT84" s="74"/>
      <c r="CU84" s="107"/>
      <c r="CV84" s="108"/>
      <c r="CW84" s="77"/>
      <c r="CX84" s="48"/>
      <c r="CY84" s="74"/>
      <c r="CZ84" s="107"/>
      <c r="DA84" s="108"/>
      <c r="DB84" s="77"/>
      <c r="DC84" s="48"/>
      <c r="DD84" s="74"/>
      <c r="DE84" s="107"/>
      <c r="DF84" s="108"/>
      <c r="DG84" s="77"/>
      <c r="DH84" s="48"/>
      <c r="DI84" s="74"/>
      <c r="DJ84" s="107"/>
      <c r="DK84" s="108"/>
      <c r="DL84" s="80"/>
      <c r="DM84" s="48"/>
      <c r="DN84" s="74"/>
      <c r="DO84" s="107"/>
      <c r="DP84" s="108"/>
      <c r="DQ84" s="81"/>
      <c r="DR84" s="48"/>
      <c r="DS84" s="232"/>
      <c r="DT84" s="232"/>
      <c r="DU84" s="74"/>
      <c r="DV84" s="108"/>
      <c r="DW84" s="76"/>
      <c r="DX84" s="75"/>
      <c r="DY84" s="41"/>
      <c r="DZ84" s="108"/>
      <c r="EA84" s="76"/>
      <c r="EB84" s="75"/>
      <c r="EC84" s="41"/>
      <c r="ED84" s="108"/>
      <c r="EE84" s="76"/>
      <c r="EF84" s="75"/>
      <c r="EG84" s="41"/>
      <c r="EH84" s="108">
        <v>10</v>
      </c>
      <c r="EI84" s="76"/>
      <c r="EJ84" s="48" t="s">
        <v>100</v>
      </c>
      <c r="EK84" s="41"/>
      <c r="EL84" s="108">
        <v>10</v>
      </c>
      <c r="EM84" s="77">
        <v>2</v>
      </c>
      <c r="EN84" s="75"/>
      <c r="EO84" s="41"/>
      <c r="EP84" s="108">
        <v>10</v>
      </c>
      <c r="EQ84" s="77"/>
      <c r="ER84" s="62"/>
      <c r="ES84" s="41"/>
      <c r="ET84" s="108">
        <v>10</v>
      </c>
      <c r="EU84" s="77"/>
      <c r="EV84" s="48"/>
      <c r="EW84" s="41"/>
      <c r="EX84" s="108">
        <v>10</v>
      </c>
      <c r="EY84" s="77"/>
      <c r="FA84" s="41"/>
      <c r="FB84" s="108">
        <v>10</v>
      </c>
      <c r="FC84" s="77"/>
      <c r="FD84" s="48"/>
      <c r="FE84" s="41"/>
      <c r="FF84" s="108"/>
      <c r="FG84" s="77"/>
      <c r="FH84" s="48"/>
      <c r="FI84" s="41"/>
      <c r="FJ84" s="243"/>
      <c r="FK84" s="80"/>
      <c r="FL84" s="48"/>
      <c r="FM84" s="41"/>
      <c r="FN84" s="243"/>
      <c r="FO84" s="81"/>
      <c r="FP84" s="48"/>
      <c r="FQ84" s="232"/>
      <c r="FR84" s="232"/>
      <c r="FS84" s="74"/>
      <c r="FT84" s="108"/>
      <c r="FU84" s="76"/>
      <c r="FV84" s="75"/>
      <c r="FW84" s="74"/>
      <c r="FX84" s="108"/>
      <c r="FY84" s="76"/>
      <c r="FZ84" s="75"/>
      <c r="GA84" s="74"/>
      <c r="GB84" s="108"/>
      <c r="GC84" s="76"/>
      <c r="GD84" s="75"/>
      <c r="GE84" s="74"/>
      <c r="GF84" s="108"/>
      <c r="GG84" s="76"/>
      <c r="GH84" s="75"/>
      <c r="GI84" s="74"/>
      <c r="GJ84" s="108"/>
      <c r="GK84" s="77"/>
      <c r="GL84" s="75"/>
      <c r="GM84" s="74"/>
      <c r="GN84" s="108"/>
      <c r="GO84" s="77"/>
      <c r="GP84" s="62"/>
      <c r="GQ84" s="74"/>
      <c r="GR84" s="108"/>
      <c r="GS84" s="77"/>
      <c r="GT84" s="48"/>
      <c r="GU84" s="74"/>
      <c r="GV84" s="108"/>
      <c r="GW84" s="77"/>
      <c r="GX84" s="48"/>
      <c r="GY84" s="74"/>
      <c r="GZ84" s="108"/>
      <c r="HA84" s="77"/>
      <c r="HB84" s="48"/>
      <c r="HC84" s="74"/>
      <c r="HD84" s="108"/>
      <c r="HE84" s="77"/>
      <c r="HF84" s="48"/>
      <c r="HG84" s="74"/>
      <c r="HH84" s="108"/>
      <c r="HI84" s="80"/>
      <c r="HJ84" s="48"/>
      <c r="HK84" s="74"/>
      <c r="HL84" s="108"/>
      <c r="HM84" s="81"/>
      <c r="HN84" s="48"/>
      <c r="HO84" s="232"/>
      <c r="HP84" s="232"/>
      <c r="HQ84" s="74"/>
      <c r="HR84" s="108"/>
      <c r="HS84" s="76"/>
      <c r="HT84" s="75"/>
      <c r="HU84" s="74"/>
      <c r="HV84" s="108"/>
      <c r="HW84" s="76"/>
      <c r="HX84" s="75"/>
      <c r="HY84" s="74"/>
      <c r="HZ84" s="108"/>
      <c r="IA84" s="76"/>
      <c r="IB84" s="75"/>
      <c r="IC84" s="74"/>
      <c r="ID84" s="108"/>
      <c r="IE84" s="76"/>
      <c r="IF84" s="75"/>
      <c r="IG84" s="74"/>
      <c r="IH84" s="108"/>
      <c r="II84" s="77"/>
      <c r="IJ84" s="75"/>
      <c r="IK84" s="74"/>
      <c r="IL84" s="108"/>
      <c r="IM84" s="77"/>
      <c r="IN84" s="62"/>
      <c r="IO84" s="74"/>
      <c r="IP84" s="108"/>
      <c r="IQ84" s="77"/>
      <c r="IR84" s="48"/>
      <c r="IS84" s="74"/>
      <c r="IT84" s="108"/>
      <c r="IU84" s="77"/>
      <c r="IV84" s="48"/>
      <c r="IW84" s="74"/>
      <c r="IX84" s="108"/>
      <c r="IY84" s="77"/>
      <c r="IZ84" s="48"/>
      <c r="JA84" s="74"/>
      <c r="JB84" s="108"/>
      <c r="JC84" s="77"/>
      <c r="JD84" s="48"/>
      <c r="JE84" s="74"/>
      <c r="JF84" s="108"/>
      <c r="JG84" s="80"/>
      <c r="JH84" s="48"/>
      <c r="JI84" s="74"/>
      <c r="JJ84" s="108"/>
      <c r="JK84" s="81"/>
      <c r="JL84" s="48"/>
      <c r="JM84" s="232"/>
      <c r="JN84" s="232"/>
    </row>
    <row r="85" spans="1:274" s="177" customFormat="1" ht="18.600000000000001" thickBot="1">
      <c r="A85" s="249"/>
      <c r="B85" s="176"/>
      <c r="C85" s="176"/>
      <c r="D85" s="249"/>
      <c r="E85" s="36">
        <v>80</v>
      </c>
      <c r="F85" s="177">
        <v>2</v>
      </c>
      <c r="G85" s="235">
        <v>4494450500</v>
      </c>
      <c r="H85" s="178" t="s">
        <v>119</v>
      </c>
      <c r="I85" s="237">
        <v>101.82</v>
      </c>
      <c r="J85" s="227"/>
      <c r="K85" s="227"/>
      <c r="L85" s="227"/>
      <c r="M85" s="179"/>
      <c r="N85" s="180"/>
      <c r="O85" s="181"/>
      <c r="P85" s="182"/>
      <c r="Q85" s="183"/>
      <c r="R85" s="184"/>
      <c r="S85" s="181"/>
      <c r="T85" s="182"/>
      <c r="U85" s="183"/>
      <c r="V85" s="184"/>
      <c r="W85" s="181"/>
      <c r="X85" s="182"/>
      <c r="Y85" s="183"/>
      <c r="Z85" s="184"/>
      <c r="AA85" s="185"/>
      <c r="AB85" s="182"/>
      <c r="AC85" s="183"/>
      <c r="AD85" s="184"/>
      <c r="AE85" s="181"/>
      <c r="AF85" s="182"/>
      <c r="AG85" s="183"/>
      <c r="AH85" s="184"/>
      <c r="AI85" s="185"/>
      <c r="AJ85" s="182"/>
      <c r="AK85" s="183"/>
      <c r="AL85" s="186"/>
      <c r="AM85" s="187"/>
      <c r="AN85" s="184"/>
      <c r="AO85" s="183"/>
      <c r="AP85" s="186"/>
      <c r="AQ85" s="185"/>
      <c r="AR85" s="188"/>
      <c r="AS85" s="183"/>
      <c r="AT85" s="186"/>
      <c r="AU85" s="187"/>
      <c r="AV85" s="184"/>
      <c r="AW85" s="183"/>
      <c r="AX85" s="186"/>
      <c r="AY85" s="187"/>
      <c r="AZ85" s="184"/>
      <c r="BA85" s="183"/>
      <c r="BB85" s="186"/>
      <c r="BC85" s="189"/>
      <c r="BD85" s="184"/>
      <c r="BE85" s="183"/>
      <c r="BF85" s="186"/>
      <c r="BG85" s="190"/>
      <c r="BH85" s="184"/>
      <c r="BI85" s="191"/>
      <c r="BJ85" s="192"/>
      <c r="BK85" s="183"/>
      <c r="BL85" s="193"/>
      <c r="BM85" s="194"/>
      <c r="BN85" s="185"/>
      <c r="BO85" s="186"/>
      <c r="BP85" s="183"/>
      <c r="BQ85" s="193"/>
      <c r="BR85" s="194"/>
      <c r="BS85" s="185"/>
      <c r="BT85" s="186"/>
      <c r="BU85" s="183"/>
      <c r="BV85" s="193"/>
      <c r="BW85" s="194"/>
      <c r="BX85" s="185"/>
      <c r="BY85" s="186"/>
      <c r="BZ85" s="183"/>
      <c r="CA85" s="193"/>
      <c r="CB85" s="194"/>
      <c r="CC85" s="185">
        <v>2</v>
      </c>
      <c r="CD85" s="186" t="s">
        <v>100</v>
      </c>
      <c r="CE85" s="183"/>
      <c r="CF85" s="193"/>
      <c r="CG85" s="194"/>
      <c r="CH85" s="187">
        <v>0</v>
      </c>
      <c r="CI85" s="186"/>
      <c r="CJ85" s="183"/>
      <c r="CK85" s="193"/>
      <c r="CL85" s="194"/>
      <c r="CM85" s="187"/>
      <c r="CN85" s="195"/>
      <c r="CO85" s="183"/>
      <c r="CP85" s="193"/>
      <c r="CQ85" s="194"/>
      <c r="CR85" s="187"/>
      <c r="CS85" s="184"/>
      <c r="CT85" s="183"/>
      <c r="CU85" s="193"/>
      <c r="CV85" s="194"/>
      <c r="CW85" s="187"/>
      <c r="CX85" s="184"/>
      <c r="CY85" s="183"/>
      <c r="CZ85" s="193"/>
      <c r="DA85" s="194"/>
      <c r="DB85" s="187"/>
      <c r="DC85" s="184"/>
      <c r="DD85" s="183"/>
      <c r="DE85" s="193"/>
      <c r="DF85" s="194"/>
      <c r="DG85" s="187"/>
      <c r="DH85" s="184"/>
      <c r="DI85" s="183"/>
      <c r="DJ85" s="193"/>
      <c r="DK85" s="194"/>
      <c r="DL85" s="189"/>
      <c r="DM85" s="184"/>
      <c r="DN85" s="183"/>
      <c r="DO85" s="193"/>
      <c r="DP85" s="194"/>
      <c r="DQ85" s="190"/>
      <c r="DR85" s="184"/>
      <c r="DS85" s="192"/>
      <c r="DT85" s="192"/>
      <c r="DU85" s="183"/>
      <c r="DV85" s="194">
        <f>ROUNDDOWN(DU85,0)</f>
        <v>0</v>
      </c>
      <c r="DW85" s="185"/>
      <c r="DX85" s="186"/>
      <c r="DY85" s="41"/>
      <c r="DZ85" s="194">
        <f>ROUNDDOWN(DY85,0)</f>
        <v>0</v>
      </c>
      <c r="EA85" s="185"/>
      <c r="EB85" s="186"/>
      <c r="EC85" s="41"/>
      <c r="ED85" s="194">
        <f>ROUNDDOWN(EC85,0)</f>
        <v>0</v>
      </c>
      <c r="EE85" s="185"/>
      <c r="EF85" s="186"/>
      <c r="EG85" s="41"/>
      <c r="EH85" s="194">
        <f>ROUNDDOWN(EG85,0)</f>
        <v>0</v>
      </c>
      <c r="EI85" s="185"/>
      <c r="EJ85" s="186"/>
      <c r="EK85" s="41"/>
      <c r="EL85" s="194">
        <f>ROUNDDOWN(EK85,0)</f>
        <v>0</v>
      </c>
      <c r="EM85" s="187"/>
      <c r="EN85" s="186"/>
      <c r="EO85" s="41"/>
      <c r="EP85" s="194">
        <f>ROUNDDOWN(EO85,0)</f>
        <v>0</v>
      </c>
      <c r="EQ85" s="187"/>
      <c r="ER85" s="195"/>
      <c r="ES85" s="41"/>
      <c r="ET85" s="194">
        <f>ROUNDDOWN(ES85,0)</f>
        <v>0</v>
      </c>
      <c r="EU85" s="187"/>
      <c r="EV85" s="184"/>
      <c r="EW85" s="41"/>
      <c r="EX85" s="194">
        <f>ROUNDDOWN(EW85,0)</f>
        <v>0</v>
      </c>
      <c r="EY85" s="187"/>
      <c r="EZ85" s="184"/>
      <c r="FA85" s="41"/>
      <c r="FB85" s="194">
        <f>ROUNDDOWN(FA85,0)</f>
        <v>0</v>
      </c>
      <c r="FC85" s="187"/>
      <c r="FD85" s="184"/>
      <c r="FE85" s="41"/>
      <c r="FF85" s="194">
        <f>ROUNDDOWN(FE85,0)</f>
        <v>0</v>
      </c>
      <c r="FG85" s="187"/>
      <c r="FH85" s="184"/>
      <c r="FI85" s="41"/>
      <c r="FJ85" s="244">
        <f>ROUNDDOWN(FI85,0)</f>
        <v>0</v>
      </c>
      <c r="FK85" s="189"/>
      <c r="FL85" s="184"/>
      <c r="FM85" s="41"/>
      <c r="FN85" s="244">
        <f>ROUNDDOWN(FM85,0)</f>
        <v>0</v>
      </c>
      <c r="FO85" s="190"/>
      <c r="FP85" s="184"/>
      <c r="FQ85" s="192">
        <f>DU85+DY85+EC85+EG85+EK85+EO85+ES85+EW85+FA85+FE85+FI85+FM85</f>
        <v>0</v>
      </c>
      <c r="FR85" s="192">
        <f>FQ85*$I85</f>
        <v>0</v>
      </c>
      <c r="FS85" s="183"/>
      <c r="FT85" s="194">
        <f>ROUNDDOWN(FS85,0)</f>
        <v>0</v>
      </c>
      <c r="FU85" s="185"/>
      <c r="FV85" s="186"/>
      <c r="FW85" s="183"/>
      <c r="FX85" s="194">
        <f>ROUNDDOWN(FW85,0)</f>
        <v>0</v>
      </c>
      <c r="FY85" s="185"/>
      <c r="FZ85" s="186"/>
      <c r="GA85" s="183"/>
      <c r="GB85" s="194">
        <f>ROUNDDOWN(GA85,0)</f>
        <v>0</v>
      </c>
      <c r="GC85" s="185"/>
      <c r="GD85" s="186"/>
      <c r="GE85" s="183"/>
      <c r="GF85" s="194">
        <f>ROUNDDOWN(GE85,0)</f>
        <v>0</v>
      </c>
      <c r="GG85" s="185"/>
      <c r="GH85" s="186"/>
      <c r="GI85" s="183"/>
      <c r="GJ85" s="194">
        <f>ROUNDDOWN(GI85,0)</f>
        <v>0</v>
      </c>
      <c r="GK85" s="187"/>
      <c r="GL85" s="186"/>
      <c r="GM85" s="183"/>
      <c r="GN85" s="194">
        <f>ROUNDDOWN(GM85,0)</f>
        <v>0</v>
      </c>
      <c r="GO85" s="187"/>
      <c r="GP85" s="195"/>
      <c r="GQ85" s="183"/>
      <c r="GR85" s="194">
        <f>ROUNDDOWN(GQ85,0)</f>
        <v>0</v>
      </c>
      <c r="GS85" s="187"/>
      <c r="GT85" s="184"/>
      <c r="GU85" s="183"/>
      <c r="GV85" s="194">
        <f>ROUNDDOWN(GU85,0)</f>
        <v>0</v>
      </c>
      <c r="GW85" s="187"/>
      <c r="GX85" s="184"/>
      <c r="GY85" s="183"/>
      <c r="GZ85" s="194">
        <f>ROUNDDOWN(GY85,0)</f>
        <v>0</v>
      </c>
      <c r="HA85" s="187"/>
      <c r="HB85" s="184"/>
      <c r="HC85" s="183"/>
      <c r="HD85" s="194">
        <f>ROUNDDOWN(HC85,0)</f>
        <v>0</v>
      </c>
      <c r="HE85" s="187"/>
      <c r="HF85" s="184"/>
      <c r="HG85" s="183"/>
      <c r="HH85" s="194">
        <f>ROUNDDOWN(HG85,0)</f>
        <v>0</v>
      </c>
      <c r="HI85" s="189"/>
      <c r="HJ85" s="184"/>
      <c r="HK85" s="183"/>
      <c r="HL85" s="194">
        <f>ROUNDDOWN(HK85,0)</f>
        <v>0</v>
      </c>
      <c r="HM85" s="190"/>
      <c r="HN85" s="184"/>
      <c r="HO85" s="192">
        <f>FS85+FW85+GA85+GE85+GI85+GM85+GQ85+GU85+GY85+HC85+HG85+HK85</f>
        <v>0</v>
      </c>
      <c r="HP85" s="192">
        <f>HO85*$I85</f>
        <v>0</v>
      </c>
      <c r="HQ85" s="183"/>
      <c r="HR85" s="194">
        <f>ROUNDDOWN(HQ85,0)</f>
        <v>0</v>
      </c>
      <c r="HS85" s="185"/>
      <c r="HT85" s="186"/>
      <c r="HU85" s="183"/>
      <c r="HV85" s="194">
        <f>ROUNDDOWN(HU85,0)</f>
        <v>0</v>
      </c>
      <c r="HW85" s="185"/>
      <c r="HX85" s="186"/>
      <c r="HY85" s="183"/>
      <c r="HZ85" s="194">
        <f>ROUNDDOWN(HY85,0)</f>
        <v>0</v>
      </c>
      <c r="IA85" s="185"/>
      <c r="IB85" s="186"/>
      <c r="IC85" s="183"/>
      <c r="ID85" s="194">
        <f>ROUNDDOWN(IC85,0)</f>
        <v>0</v>
      </c>
      <c r="IE85" s="185"/>
      <c r="IF85" s="186"/>
      <c r="IG85" s="183"/>
      <c r="IH85" s="194">
        <f>ROUNDDOWN(IG85,0)</f>
        <v>0</v>
      </c>
      <c r="II85" s="187"/>
      <c r="IJ85" s="186"/>
      <c r="IK85" s="183"/>
      <c r="IL85" s="194">
        <f>ROUNDDOWN(IK85,0)</f>
        <v>0</v>
      </c>
      <c r="IM85" s="187"/>
      <c r="IN85" s="195"/>
      <c r="IO85" s="183"/>
      <c r="IP85" s="194">
        <f>ROUNDDOWN(IO85,0)</f>
        <v>0</v>
      </c>
      <c r="IQ85" s="187"/>
      <c r="IR85" s="184"/>
      <c r="IS85" s="183"/>
      <c r="IT85" s="194">
        <f>ROUNDDOWN(IS85,0)</f>
        <v>0</v>
      </c>
      <c r="IU85" s="187"/>
      <c r="IV85" s="184"/>
      <c r="IW85" s="183"/>
      <c r="IX85" s="194">
        <f>ROUNDDOWN(IW85,0)</f>
        <v>0</v>
      </c>
      <c r="IY85" s="187"/>
      <c r="IZ85" s="184"/>
      <c r="JA85" s="183"/>
      <c r="JB85" s="194">
        <f>ROUNDDOWN(JA85,0)</f>
        <v>0</v>
      </c>
      <c r="JC85" s="187"/>
      <c r="JD85" s="184"/>
      <c r="JE85" s="183"/>
      <c r="JF85" s="194">
        <f>ROUNDDOWN(JE85,0)</f>
        <v>0</v>
      </c>
      <c r="JG85" s="189"/>
      <c r="JH85" s="184"/>
      <c r="JI85" s="183"/>
      <c r="JJ85" s="194">
        <f>ROUNDDOWN(JI85,0)</f>
        <v>0</v>
      </c>
      <c r="JK85" s="190"/>
      <c r="JL85" s="184"/>
      <c r="JM85" s="192">
        <f>HQ85+HU85+HY85+IC85+IG85+IK85+IO85+IS85+IW85+JA85+JE85+JI85</f>
        <v>0</v>
      </c>
      <c r="JN85" s="192">
        <f>JM85*$I85</f>
        <v>0</v>
      </c>
    </row>
    <row r="86" spans="1:274" s="113" customFormat="1">
      <c r="A86" s="249"/>
      <c r="B86" s="114"/>
      <c r="C86" s="114"/>
      <c r="D86" s="249"/>
      <c r="E86" s="36">
        <v>81</v>
      </c>
      <c r="F86" s="164">
        <v>2</v>
      </c>
      <c r="G86" s="165">
        <v>4462907000</v>
      </c>
      <c r="H86" s="166" t="s">
        <v>120</v>
      </c>
      <c r="I86" s="167">
        <v>1168.9789184234648</v>
      </c>
      <c r="J86" s="168"/>
      <c r="K86" s="168"/>
      <c r="L86" s="168"/>
      <c r="M86" s="168"/>
      <c r="N86" s="168"/>
      <c r="O86" s="169"/>
      <c r="P86" s="169"/>
      <c r="Q86" s="136"/>
      <c r="R86" s="136"/>
      <c r="S86" s="169"/>
      <c r="T86" s="169"/>
      <c r="U86" s="136"/>
      <c r="V86" s="136"/>
      <c r="W86" s="169"/>
      <c r="X86" s="169"/>
      <c r="Y86" s="136"/>
      <c r="Z86" s="136"/>
      <c r="AA86" s="136"/>
      <c r="AB86" s="169"/>
      <c r="AC86" s="136"/>
      <c r="AD86" s="136"/>
      <c r="AE86" s="169"/>
      <c r="AF86" s="169"/>
      <c r="AG86" s="136"/>
      <c r="AH86" s="136"/>
      <c r="AI86" s="136"/>
      <c r="AJ86" s="169"/>
      <c r="AK86" s="136"/>
      <c r="AL86" s="136"/>
      <c r="AM86" s="170"/>
      <c r="AN86" s="136"/>
      <c r="AO86" s="136"/>
      <c r="AP86" s="136"/>
      <c r="AQ86" s="136"/>
      <c r="AR86" s="136"/>
      <c r="AS86" s="136"/>
      <c r="AT86" s="136"/>
      <c r="AU86" s="170"/>
      <c r="AV86" s="136"/>
      <c r="AW86" s="136"/>
      <c r="AX86" s="136"/>
      <c r="AY86" s="170"/>
      <c r="AZ86" s="136"/>
      <c r="BA86" s="136"/>
      <c r="BB86" s="136"/>
      <c r="BC86" s="136"/>
      <c r="BD86" s="136"/>
      <c r="BE86" s="136"/>
      <c r="BF86" s="136"/>
      <c r="BG86" s="171"/>
      <c r="BH86" s="136"/>
      <c r="BI86" s="142"/>
      <c r="BJ86" s="142"/>
      <c r="BK86" s="136"/>
      <c r="BL86" s="172"/>
      <c r="BM86" s="172"/>
      <c r="BN86" s="136"/>
      <c r="BO86" s="136"/>
      <c r="BP86" s="136"/>
      <c r="BQ86" s="172"/>
      <c r="BR86" s="172"/>
      <c r="BS86" s="136"/>
      <c r="BT86" s="136"/>
      <c r="BU86" s="136"/>
      <c r="BV86" s="172"/>
      <c r="BW86" s="172"/>
      <c r="BX86" s="136"/>
      <c r="BY86" s="136"/>
      <c r="BZ86" s="136"/>
      <c r="CA86" s="172"/>
      <c r="CB86" s="172"/>
      <c r="CC86" s="136"/>
      <c r="CD86" s="136"/>
      <c r="CE86" s="147"/>
      <c r="CF86" s="173"/>
      <c r="CG86" s="174"/>
      <c r="CH86" s="150">
        <v>5</v>
      </c>
      <c r="CI86" s="151" t="s">
        <v>121</v>
      </c>
      <c r="CJ86" s="147"/>
      <c r="CK86" s="173"/>
      <c r="CL86" s="174"/>
      <c r="CM86" s="150"/>
      <c r="CN86" s="62"/>
      <c r="CO86" s="147"/>
      <c r="CP86" s="173"/>
      <c r="CQ86" s="174"/>
      <c r="CR86" s="150"/>
      <c r="CS86" s="62"/>
      <c r="CT86" s="147"/>
      <c r="CU86" s="173"/>
      <c r="CV86" s="174"/>
      <c r="CW86" s="150"/>
      <c r="CX86" s="62"/>
      <c r="CY86" s="147"/>
      <c r="CZ86" s="173"/>
      <c r="DA86" s="174"/>
      <c r="DB86" s="150"/>
      <c r="DC86" s="62"/>
      <c r="DD86" s="147"/>
      <c r="DE86" s="173"/>
      <c r="DF86" s="174"/>
      <c r="DG86" s="150">
        <v>20</v>
      </c>
      <c r="DH86" s="62"/>
      <c r="DI86" s="147"/>
      <c r="DJ86" s="173"/>
      <c r="DK86" s="174"/>
      <c r="DL86" s="152"/>
      <c r="DM86" s="62"/>
      <c r="DN86" s="147"/>
      <c r="DO86" s="173"/>
      <c r="DP86" s="174"/>
      <c r="DQ86" s="153"/>
      <c r="DR86" s="62"/>
      <c r="DS86" s="154"/>
      <c r="DT86" s="154"/>
      <c r="DU86" s="147"/>
      <c r="DV86" s="175"/>
      <c r="DW86" s="149"/>
      <c r="DX86" s="151"/>
      <c r="DY86" s="147"/>
      <c r="DZ86" s="175"/>
      <c r="EA86" s="149"/>
      <c r="EB86" s="151"/>
      <c r="EC86" s="147"/>
      <c r="ED86" s="147"/>
      <c r="EE86" s="149"/>
      <c r="EF86" s="151"/>
      <c r="EG86" s="147"/>
      <c r="EH86" s="147"/>
      <c r="EI86" s="149"/>
      <c r="EJ86" s="49"/>
      <c r="EK86" s="147"/>
      <c r="EL86" s="62"/>
      <c r="EM86" s="150"/>
      <c r="EN86" s="151"/>
      <c r="EO86" s="147"/>
      <c r="EP86" s="62"/>
      <c r="EQ86" s="150"/>
      <c r="ER86" s="62"/>
      <c r="ES86" s="147"/>
      <c r="ET86" s="62"/>
      <c r="EU86" s="150"/>
      <c r="EV86" s="62"/>
      <c r="EW86" s="147"/>
      <c r="EX86" s="62"/>
      <c r="EY86" s="150"/>
      <c r="EZ86" s="62"/>
      <c r="FA86" s="147"/>
      <c r="FB86" s="62"/>
      <c r="FC86" s="150"/>
      <c r="FD86" s="62"/>
      <c r="FE86" s="147"/>
      <c r="FF86" s="62"/>
      <c r="FG86" s="150"/>
      <c r="FH86" s="62"/>
      <c r="FI86" s="147"/>
      <c r="FJ86" s="62"/>
      <c r="FK86" s="152"/>
      <c r="FL86" s="62"/>
      <c r="FM86" s="147"/>
      <c r="FN86" s="62"/>
      <c r="FO86" s="153"/>
      <c r="FP86" s="62"/>
      <c r="FQ86" s="154"/>
      <c r="FR86" s="154"/>
      <c r="FS86" s="147"/>
      <c r="FT86" s="175"/>
      <c r="FU86" s="149"/>
      <c r="FV86" s="151"/>
      <c r="FW86" s="147"/>
      <c r="FX86" s="175"/>
      <c r="FY86" s="149"/>
      <c r="FZ86" s="151"/>
      <c r="GA86" s="147"/>
      <c r="GB86" s="175"/>
      <c r="GC86" s="149"/>
      <c r="GD86" s="151"/>
      <c r="GE86" s="147"/>
      <c r="GF86" s="175"/>
      <c r="GG86" s="149"/>
      <c r="GH86" s="49"/>
      <c r="GI86" s="147"/>
      <c r="GJ86" s="175"/>
      <c r="GK86" s="150"/>
      <c r="GL86" s="151"/>
      <c r="GM86" s="147"/>
      <c r="GN86" s="175"/>
      <c r="GO86" s="150"/>
      <c r="GP86" s="62"/>
      <c r="GQ86" s="147"/>
      <c r="GR86" s="175"/>
      <c r="GS86" s="150"/>
      <c r="GT86" s="62"/>
      <c r="GU86" s="147"/>
      <c r="GV86" s="175"/>
      <c r="GW86" s="150"/>
      <c r="GX86" s="62"/>
      <c r="GY86" s="147"/>
      <c r="GZ86" s="175"/>
      <c r="HA86" s="150"/>
      <c r="HB86" s="62"/>
      <c r="HC86" s="147"/>
      <c r="HD86" s="175"/>
      <c r="HE86" s="150"/>
      <c r="HF86" s="62"/>
      <c r="HG86" s="147"/>
      <c r="HH86" s="175"/>
      <c r="HI86" s="152"/>
      <c r="HJ86" s="62"/>
      <c r="HK86" s="147"/>
      <c r="HL86" s="175"/>
      <c r="HM86" s="153"/>
      <c r="HN86" s="62"/>
      <c r="HO86" s="154"/>
      <c r="HP86" s="154"/>
      <c r="HQ86" s="147"/>
      <c r="HR86" s="175"/>
      <c r="HS86" s="149"/>
      <c r="HT86" s="151"/>
      <c r="HU86" s="147"/>
      <c r="HV86" s="175"/>
      <c r="HW86" s="149"/>
      <c r="HX86" s="151"/>
      <c r="HY86" s="147"/>
      <c r="HZ86" s="175"/>
      <c r="IA86" s="149"/>
      <c r="IB86" s="151"/>
      <c r="IC86" s="147"/>
      <c r="ID86" s="175"/>
      <c r="IE86" s="149"/>
      <c r="IF86" s="49"/>
      <c r="IG86" s="147"/>
      <c r="IH86" s="175"/>
      <c r="II86" s="150"/>
      <c r="IJ86" s="151"/>
      <c r="IK86" s="147"/>
      <c r="IL86" s="175"/>
      <c r="IM86" s="150"/>
      <c r="IN86" s="62"/>
      <c r="IO86" s="147"/>
      <c r="IP86" s="175"/>
      <c r="IQ86" s="150"/>
      <c r="IR86" s="62"/>
      <c r="IS86" s="147"/>
      <c r="IT86" s="175"/>
      <c r="IU86" s="150"/>
      <c r="IV86" s="62"/>
      <c r="IW86" s="147"/>
      <c r="IX86" s="175"/>
      <c r="IY86" s="150"/>
      <c r="IZ86" s="62"/>
      <c r="JA86" s="147"/>
      <c r="JB86" s="175"/>
      <c r="JC86" s="150"/>
      <c r="JD86" s="62"/>
      <c r="JE86" s="147"/>
      <c r="JF86" s="175"/>
      <c r="JG86" s="152"/>
      <c r="JH86" s="62"/>
      <c r="JI86" s="147"/>
      <c r="JJ86" s="175"/>
      <c r="JK86" s="153"/>
      <c r="JL86" s="62"/>
      <c r="JM86" s="154"/>
      <c r="JN86" s="154"/>
    </row>
    <row r="87" spans="1:274" s="113" customFormat="1">
      <c r="A87" s="249"/>
      <c r="B87" s="114"/>
      <c r="C87" s="114"/>
      <c r="D87" s="249"/>
      <c r="E87" s="36">
        <v>82</v>
      </c>
      <c r="F87" s="115">
        <v>2</v>
      </c>
      <c r="G87" s="116">
        <v>4324109070</v>
      </c>
      <c r="H87" s="117" t="s">
        <v>122</v>
      </c>
      <c r="I87" s="118">
        <v>436.54335472043999</v>
      </c>
      <c r="J87" s="119"/>
      <c r="K87" s="119"/>
      <c r="L87" s="119"/>
      <c r="M87" s="119"/>
      <c r="N87" s="119"/>
      <c r="O87" s="120"/>
      <c r="P87" s="120"/>
      <c r="Q87" s="121"/>
      <c r="R87" s="121"/>
      <c r="S87" s="120"/>
      <c r="T87" s="120"/>
      <c r="U87" s="121"/>
      <c r="V87" s="121"/>
      <c r="W87" s="120"/>
      <c r="X87" s="120"/>
      <c r="Y87" s="121"/>
      <c r="Z87" s="121"/>
      <c r="AA87" s="121"/>
      <c r="AB87" s="120"/>
      <c r="AC87" s="121"/>
      <c r="AD87" s="121"/>
      <c r="AE87" s="120"/>
      <c r="AF87" s="120"/>
      <c r="AG87" s="121"/>
      <c r="AH87" s="121"/>
      <c r="AI87" s="121"/>
      <c r="AJ87" s="120"/>
      <c r="AK87" s="121"/>
      <c r="AL87" s="121"/>
      <c r="AM87" s="122"/>
      <c r="AN87" s="121"/>
      <c r="AO87" s="121"/>
      <c r="AP87" s="121"/>
      <c r="AQ87" s="121"/>
      <c r="AR87" s="121"/>
      <c r="AS87" s="121"/>
      <c r="AT87" s="121"/>
      <c r="AU87" s="122"/>
      <c r="AV87" s="121"/>
      <c r="AW87" s="121"/>
      <c r="AX87" s="121"/>
      <c r="AY87" s="122"/>
      <c r="AZ87" s="121"/>
      <c r="BA87" s="121"/>
      <c r="BB87" s="121"/>
      <c r="BC87" s="121"/>
      <c r="BD87" s="121"/>
      <c r="BE87" s="121"/>
      <c r="BF87" s="121"/>
      <c r="BG87" s="123"/>
      <c r="BH87" s="121"/>
      <c r="BI87" s="124"/>
      <c r="BJ87" s="124"/>
      <c r="BK87" s="121"/>
      <c r="BL87" s="125"/>
      <c r="BM87" s="125"/>
      <c r="BN87" s="121"/>
      <c r="BO87" s="121"/>
      <c r="BP87" s="121"/>
      <c r="BQ87" s="125"/>
      <c r="BR87" s="125"/>
      <c r="BS87" s="121"/>
      <c r="BT87" s="121"/>
      <c r="BU87" s="121"/>
      <c r="BV87" s="125"/>
      <c r="BW87" s="125"/>
      <c r="BX87" s="121"/>
      <c r="BY87" s="121"/>
      <c r="BZ87" s="121"/>
      <c r="CA87" s="125"/>
      <c r="CB87" s="125"/>
      <c r="CC87" s="121"/>
      <c r="CD87" s="121"/>
      <c r="CE87" s="74"/>
      <c r="CF87" s="107"/>
      <c r="CG87" s="108"/>
      <c r="CH87" s="77">
        <v>60</v>
      </c>
      <c r="CI87" s="75" t="s">
        <v>121</v>
      </c>
      <c r="CJ87" s="74"/>
      <c r="CK87" s="107"/>
      <c r="CL87" s="108"/>
      <c r="CM87" s="77"/>
      <c r="CN87" s="62"/>
      <c r="CO87" s="74"/>
      <c r="CP87" s="107"/>
      <c r="CQ87" s="108"/>
      <c r="CR87" s="77"/>
      <c r="CS87" s="48"/>
      <c r="CT87" s="74"/>
      <c r="CU87" s="107"/>
      <c r="CV87" s="108"/>
      <c r="CW87" s="77"/>
      <c r="CX87" s="48"/>
      <c r="CY87" s="74"/>
      <c r="CZ87" s="107"/>
      <c r="DA87" s="108"/>
      <c r="DB87" s="77"/>
      <c r="DC87" s="48"/>
      <c r="DD87" s="74"/>
      <c r="DE87" s="107"/>
      <c r="DF87" s="108"/>
      <c r="DG87" s="77"/>
      <c r="DH87" s="48"/>
      <c r="DI87" s="74"/>
      <c r="DJ87" s="107"/>
      <c r="DK87" s="108"/>
      <c r="DL87" s="80"/>
      <c r="DM87" s="48"/>
      <c r="DN87" s="74"/>
      <c r="DO87" s="107"/>
      <c r="DP87" s="108"/>
      <c r="DQ87" s="81"/>
      <c r="DR87" s="48"/>
      <c r="DS87" s="54"/>
      <c r="DT87" s="54"/>
      <c r="DU87" s="74"/>
      <c r="DV87" s="56"/>
      <c r="DW87" s="76"/>
      <c r="DX87" s="75"/>
      <c r="DY87" s="74"/>
      <c r="DZ87" s="56"/>
      <c r="EA87" s="76"/>
      <c r="EB87" s="75"/>
      <c r="EC87" s="74"/>
      <c r="ED87" s="74"/>
      <c r="EE87" s="76"/>
      <c r="EF87" s="75"/>
      <c r="EG87" s="74"/>
      <c r="EH87" s="74"/>
      <c r="EI87" s="76"/>
      <c r="EJ87" s="42"/>
      <c r="EK87" s="74"/>
      <c r="EL87" s="48"/>
      <c r="EM87" s="77"/>
      <c r="EN87" s="75"/>
      <c r="EO87" s="74"/>
      <c r="EP87" s="48"/>
      <c r="EQ87" s="77"/>
      <c r="ER87" s="62"/>
      <c r="ES87" s="74"/>
      <c r="ET87" s="48"/>
      <c r="EU87" s="77"/>
      <c r="EV87" s="48"/>
      <c r="EW87" s="74"/>
      <c r="EX87" s="48"/>
      <c r="EY87" s="77"/>
      <c r="EZ87" s="48"/>
      <c r="FA87" s="74"/>
      <c r="FB87" s="48"/>
      <c r="FC87" s="77"/>
      <c r="FD87" s="48"/>
      <c r="FE87" s="74"/>
      <c r="FF87" s="48"/>
      <c r="FG87" s="77"/>
      <c r="FH87" s="48"/>
      <c r="FI87" s="74"/>
      <c r="FJ87" s="48"/>
      <c r="FK87" s="80"/>
      <c r="FL87" s="48"/>
      <c r="FM87" s="74"/>
      <c r="FN87" s="48"/>
      <c r="FO87" s="81"/>
      <c r="FP87" s="48"/>
      <c r="FQ87" s="54"/>
      <c r="FR87" s="54"/>
      <c r="FS87" s="74"/>
      <c r="FT87" s="56"/>
      <c r="FU87" s="76"/>
      <c r="FV87" s="75"/>
      <c r="FW87" s="74"/>
      <c r="FX87" s="56"/>
      <c r="FY87" s="76"/>
      <c r="FZ87" s="75"/>
      <c r="GA87" s="74"/>
      <c r="GB87" s="56"/>
      <c r="GC87" s="76"/>
      <c r="GD87" s="75"/>
      <c r="GE87" s="74"/>
      <c r="GF87" s="56"/>
      <c r="GG87" s="76"/>
      <c r="GH87" s="42"/>
      <c r="GI87" s="74"/>
      <c r="GJ87" s="56"/>
      <c r="GK87" s="77"/>
      <c r="GL87" s="75"/>
      <c r="GM87" s="74"/>
      <c r="GN87" s="56"/>
      <c r="GO87" s="77"/>
      <c r="GP87" s="62"/>
      <c r="GQ87" s="74"/>
      <c r="GR87" s="56"/>
      <c r="GS87" s="77"/>
      <c r="GT87" s="48"/>
      <c r="GU87" s="74"/>
      <c r="GV87" s="56"/>
      <c r="GW87" s="77"/>
      <c r="GX87" s="48"/>
      <c r="GY87" s="74"/>
      <c r="GZ87" s="56"/>
      <c r="HA87" s="77"/>
      <c r="HB87" s="48"/>
      <c r="HC87" s="74"/>
      <c r="HD87" s="56"/>
      <c r="HE87" s="77"/>
      <c r="HF87" s="48"/>
      <c r="HG87" s="74"/>
      <c r="HH87" s="56"/>
      <c r="HI87" s="80"/>
      <c r="HJ87" s="48"/>
      <c r="HK87" s="74"/>
      <c r="HL87" s="56"/>
      <c r="HM87" s="81"/>
      <c r="HN87" s="48"/>
      <c r="HO87" s="54"/>
      <c r="HP87" s="54"/>
      <c r="HQ87" s="74"/>
      <c r="HR87" s="56"/>
      <c r="HS87" s="76"/>
      <c r="HT87" s="75"/>
      <c r="HU87" s="74"/>
      <c r="HV87" s="56"/>
      <c r="HW87" s="76"/>
      <c r="HX87" s="75"/>
      <c r="HY87" s="74"/>
      <c r="HZ87" s="56"/>
      <c r="IA87" s="76"/>
      <c r="IB87" s="75"/>
      <c r="IC87" s="74"/>
      <c r="ID87" s="56"/>
      <c r="IE87" s="76"/>
      <c r="IF87" s="42"/>
      <c r="IG87" s="74"/>
      <c r="IH87" s="56"/>
      <c r="II87" s="77"/>
      <c r="IJ87" s="75"/>
      <c r="IK87" s="74"/>
      <c r="IL87" s="56"/>
      <c r="IM87" s="77"/>
      <c r="IN87" s="62"/>
      <c r="IO87" s="74"/>
      <c r="IP87" s="56"/>
      <c r="IQ87" s="77"/>
      <c r="IR87" s="48"/>
      <c r="IS87" s="74"/>
      <c r="IT87" s="56"/>
      <c r="IU87" s="77"/>
      <c r="IV87" s="48"/>
      <c r="IW87" s="74"/>
      <c r="IX87" s="56"/>
      <c r="IY87" s="77"/>
      <c r="IZ87" s="48"/>
      <c r="JA87" s="74"/>
      <c r="JB87" s="56"/>
      <c r="JC87" s="77"/>
      <c r="JD87" s="48"/>
      <c r="JE87" s="74"/>
      <c r="JF87" s="56"/>
      <c r="JG87" s="80"/>
      <c r="JH87" s="48"/>
      <c r="JI87" s="74"/>
      <c r="JJ87" s="56"/>
      <c r="JK87" s="81"/>
      <c r="JL87" s="48"/>
      <c r="JM87" s="54"/>
      <c r="JN87" s="54"/>
    </row>
    <row r="88" spans="1:274" s="113" customFormat="1">
      <c r="A88" s="249"/>
      <c r="B88" s="114"/>
      <c r="C88" s="114"/>
      <c r="D88" s="249"/>
      <c r="E88" s="36">
        <v>83</v>
      </c>
      <c r="F88" s="115">
        <v>2</v>
      </c>
      <c r="G88" s="116">
        <v>4324200080</v>
      </c>
      <c r="H88" s="117" t="s">
        <v>122</v>
      </c>
      <c r="I88" s="118">
        <v>809.45994500458301</v>
      </c>
      <c r="J88" s="119"/>
      <c r="K88" s="119"/>
      <c r="L88" s="119"/>
      <c r="M88" s="119"/>
      <c r="N88" s="119"/>
      <c r="O88" s="120"/>
      <c r="P88" s="120"/>
      <c r="Q88" s="121"/>
      <c r="R88" s="121"/>
      <c r="S88" s="120"/>
      <c r="T88" s="120"/>
      <c r="U88" s="121"/>
      <c r="V88" s="121"/>
      <c r="W88" s="120"/>
      <c r="X88" s="120"/>
      <c r="Y88" s="121"/>
      <c r="Z88" s="121"/>
      <c r="AA88" s="121"/>
      <c r="AB88" s="120"/>
      <c r="AC88" s="121"/>
      <c r="AD88" s="121"/>
      <c r="AE88" s="120"/>
      <c r="AF88" s="120"/>
      <c r="AG88" s="121"/>
      <c r="AH88" s="121"/>
      <c r="AI88" s="121"/>
      <c r="AJ88" s="120"/>
      <c r="AK88" s="121"/>
      <c r="AL88" s="121"/>
      <c r="AM88" s="122"/>
      <c r="AN88" s="121"/>
      <c r="AO88" s="121"/>
      <c r="AP88" s="121"/>
      <c r="AQ88" s="121"/>
      <c r="AR88" s="121"/>
      <c r="AS88" s="121"/>
      <c r="AT88" s="121"/>
      <c r="AU88" s="122"/>
      <c r="AV88" s="121"/>
      <c r="AW88" s="121"/>
      <c r="AX88" s="121"/>
      <c r="AY88" s="122"/>
      <c r="AZ88" s="121"/>
      <c r="BA88" s="121"/>
      <c r="BB88" s="121"/>
      <c r="BC88" s="121"/>
      <c r="BD88" s="121"/>
      <c r="BE88" s="121"/>
      <c r="BF88" s="121"/>
      <c r="BG88" s="123"/>
      <c r="BH88" s="121"/>
      <c r="BI88" s="124"/>
      <c r="BJ88" s="124"/>
      <c r="BK88" s="121"/>
      <c r="BL88" s="125"/>
      <c r="BM88" s="125"/>
      <c r="BN88" s="121"/>
      <c r="BO88" s="121"/>
      <c r="BP88" s="121"/>
      <c r="BQ88" s="125"/>
      <c r="BR88" s="125"/>
      <c r="BS88" s="121"/>
      <c r="BT88" s="121"/>
      <c r="BU88" s="121"/>
      <c r="BV88" s="125"/>
      <c r="BW88" s="125"/>
      <c r="BX88" s="121"/>
      <c r="BY88" s="121"/>
      <c r="BZ88" s="121"/>
      <c r="CA88" s="125"/>
      <c r="CB88" s="125"/>
      <c r="CC88" s="121"/>
      <c r="CD88" s="121"/>
      <c r="CE88" s="74"/>
      <c r="CF88" s="107"/>
      <c r="CG88" s="108"/>
      <c r="CH88" s="77">
        <v>2</v>
      </c>
      <c r="CI88" s="75" t="s">
        <v>121</v>
      </c>
      <c r="CJ88" s="74"/>
      <c r="CK88" s="107"/>
      <c r="CL88" s="108"/>
      <c r="CM88" s="77"/>
      <c r="CN88" s="62"/>
      <c r="CO88" s="74"/>
      <c r="CP88" s="107"/>
      <c r="CQ88" s="108"/>
      <c r="CR88" s="77"/>
      <c r="CS88" s="48"/>
      <c r="CT88" s="74"/>
      <c r="CU88" s="107"/>
      <c r="CV88" s="108"/>
      <c r="CW88" s="77"/>
      <c r="CX88" s="48"/>
      <c r="CY88" s="74"/>
      <c r="CZ88" s="107"/>
      <c r="DA88" s="108"/>
      <c r="DB88" s="77"/>
      <c r="DC88" s="48"/>
      <c r="DD88" s="74"/>
      <c r="DE88" s="107"/>
      <c r="DF88" s="108"/>
      <c r="DG88" s="77"/>
      <c r="DH88" s="48"/>
      <c r="DI88" s="74"/>
      <c r="DJ88" s="107"/>
      <c r="DK88" s="108"/>
      <c r="DL88" s="80"/>
      <c r="DM88" s="48"/>
      <c r="DN88" s="74"/>
      <c r="DO88" s="107"/>
      <c r="DP88" s="108"/>
      <c r="DQ88" s="81"/>
      <c r="DR88" s="48"/>
      <c r="DS88" s="54"/>
      <c r="DT88" s="54"/>
      <c r="DU88" s="74"/>
      <c r="DV88" s="56"/>
      <c r="DW88" s="76"/>
      <c r="DX88" s="75"/>
      <c r="DY88" s="74"/>
      <c r="DZ88" s="56"/>
      <c r="EA88" s="76"/>
      <c r="EB88" s="75"/>
      <c r="EC88" s="74"/>
      <c r="ED88" s="74"/>
      <c r="EE88" s="76"/>
      <c r="EF88" s="75"/>
      <c r="EG88" s="74"/>
      <c r="EH88" s="74"/>
      <c r="EI88" s="76"/>
      <c r="EJ88" s="42"/>
      <c r="EK88" s="74"/>
      <c r="EL88" s="48"/>
      <c r="EM88" s="77"/>
      <c r="EN88" s="75"/>
      <c r="EO88" s="74"/>
      <c r="EP88" s="48"/>
      <c r="EQ88" s="77"/>
      <c r="ER88" s="62"/>
      <c r="ES88" s="74"/>
      <c r="ET88" s="48"/>
      <c r="EU88" s="77"/>
      <c r="EV88" s="48"/>
      <c r="EW88" s="74"/>
      <c r="EX88" s="48"/>
      <c r="EY88" s="77"/>
      <c r="EZ88" s="48"/>
      <c r="FA88" s="74"/>
      <c r="FB88" s="48"/>
      <c r="FC88" s="77"/>
      <c r="FD88" s="48"/>
      <c r="FE88" s="74"/>
      <c r="FF88" s="48"/>
      <c r="FG88" s="77"/>
      <c r="FH88" s="48"/>
      <c r="FI88" s="74"/>
      <c r="FJ88" s="48"/>
      <c r="FK88" s="80"/>
      <c r="FL88" s="48"/>
      <c r="FM88" s="74"/>
      <c r="FN88" s="48"/>
      <c r="FO88" s="81"/>
      <c r="FP88" s="48"/>
      <c r="FQ88" s="54"/>
      <c r="FR88" s="54"/>
      <c r="FS88" s="74"/>
      <c r="FT88" s="56"/>
      <c r="FU88" s="76"/>
      <c r="FV88" s="75"/>
      <c r="FW88" s="74"/>
      <c r="FX88" s="56"/>
      <c r="FY88" s="76"/>
      <c r="FZ88" s="75"/>
      <c r="GA88" s="74"/>
      <c r="GB88" s="56"/>
      <c r="GC88" s="76"/>
      <c r="GD88" s="75"/>
      <c r="GE88" s="74"/>
      <c r="GF88" s="56"/>
      <c r="GG88" s="76"/>
      <c r="GH88" s="42"/>
      <c r="GI88" s="74"/>
      <c r="GJ88" s="56"/>
      <c r="GK88" s="77"/>
      <c r="GL88" s="75"/>
      <c r="GM88" s="74"/>
      <c r="GN88" s="56"/>
      <c r="GO88" s="77"/>
      <c r="GP88" s="62"/>
      <c r="GQ88" s="74"/>
      <c r="GR88" s="56"/>
      <c r="GS88" s="77"/>
      <c r="GT88" s="48"/>
      <c r="GU88" s="74"/>
      <c r="GV88" s="56"/>
      <c r="GW88" s="77"/>
      <c r="GX88" s="48"/>
      <c r="GY88" s="74"/>
      <c r="GZ88" s="56"/>
      <c r="HA88" s="77"/>
      <c r="HB88" s="48"/>
      <c r="HC88" s="74"/>
      <c r="HD88" s="56"/>
      <c r="HE88" s="77"/>
      <c r="HF88" s="48"/>
      <c r="HG88" s="74"/>
      <c r="HH88" s="56"/>
      <c r="HI88" s="80"/>
      <c r="HJ88" s="48"/>
      <c r="HK88" s="74"/>
      <c r="HL88" s="56"/>
      <c r="HM88" s="81"/>
      <c r="HN88" s="48"/>
      <c r="HO88" s="54"/>
      <c r="HP88" s="54"/>
      <c r="HQ88" s="74"/>
      <c r="HR88" s="56"/>
      <c r="HS88" s="76"/>
      <c r="HT88" s="75"/>
      <c r="HU88" s="74"/>
      <c r="HV88" s="56"/>
      <c r="HW88" s="76"/>
      <c r="HX88" s="75"/>
      <c r="HY88" s="74"/>
      <c r="HZ88" s="56"/>
      <c r="IA88" s="76"/>
      <c r="IB88" s="75"/>
      <c r="IC88" s="74"/>
      <c r="ID88" s="56"/>
      <c r="IE88" s="76"/>
      <c r="IF88" s="42"/>
      <c r="IG88" s="74"/>
      <c r="IH88" s="56"/>
      <c r="II88" s="77"/>
      <c r="IJ88" s="75"/>
      <c r="IK88" s="74"/>
      <c r="IL88" s="56"/>
      <c r="IM88" s="77"/>
      <c r="IN88" s="62"/>
      <c r="IO88" s="74"/>
      <c r="IP88" s="56"/>
      <c r="IQ88" s="77"/>
      <c r="IR88" s="48"/>
      <c r="IS88" s="74"/>
      <c r="IT88" s="56"/>
      <c r="IU88" s="77"/>
      <c r="IV88" s="48"/>
      <c r="IW88" s="74"/>
      <c r="IX88" s="56"/>
      <c r="IY88" s="77"/>
      <c r="IZ88" s="48"/>
      <c r="JA88" s="74"/>
      <c r="JB88" s="56"/>
      <c r="JC88" s="77"/>
      <c r="JD88" s="48"/>
      <c r="JE88" s="74"/>
      <c r="JF88" s="56"/>
      <c r="JG88" s="80"/>
      <c r="JH88" s="48"/>
      <c r="JI88" s="74"/>
      <c r="JJ88" s="56"/>
      <c r="JK88" s="81"/>
      <c r="JL88" s="48"/>
      <c r="JM88" s="54"/>
      <c r="JN88" s="54"/>
    </row>
    <row r="89" spans="1:274" s="113" customFormat="1">
      <c r="A89" s="249"/>
      <c r="B89" s="114"/>
      <c r="C89" s="114"/>
      <c r="D89" s="249"/>
      <c r="E89" s="36">
        <v>84</v>
      </c>
      <c r="F89" s="115">
        <v>2</v>
      </c>
      <c r="G89" s="116">
        <v>4640061020</v>
      </c>
      <c r="H89" s="117" t="s">
        <v>123</v>
      </c>
      <c r="I89" s="118">
        <v>311.68102658111826</v>
      </c>
      <c r="J89" s="119"/>
      <c r="K89" s="119"/>
      <c r="L89" s="119"/>
      <c r="M89" s="119"/>
      <c r="N89" s="119"/>
      <c r="O89" s="120"/>
      <c r="P89" s="120"/>
      <c r="Q89" s="121"/>
      <c r="R89" s="121"/>
      <c r="S89" s="120"/>
      <c r="T89" s="120"/>
      <c r="U89" s="121"/>
      <c r="V89" s="121"/>
      <c r="W89" s="120"/>
      <c r="X89" s="120"/>
      <c r="Y89" s="121"/>
      <c r="Z89" s="121"/>
      <c r="AA89" s="121"/>
      <c r="AB89" s="120"/>
      <c r="AC89" s="121"/>
      <c r="AD89" s="121"/>
      <c r="AE89" s="120"/>
      <c r="AF89" s="120"/>
      <c r="AG89" s="121"/>
      <c r="AH89" s="121"/>
      <c r="AI89" s="121"/>
      <c r="AJ89" s="120"/>
      <c r="AK89" s="121"/>
      <c r="AL89" s="121"/>
      <c r="AM89" s="122"/>
      <c r="AN89" s="121"/>
      <c r="AO89" s="121"/>
      <c r="AP89" s="121"/>
      <c r="AQ89" s="121"/>
      <c r="AR89" s="121"/>
      <c r="AS89" s="121"/>
      <c r="AT89" s="121"/>
      <c r="AU89" s="122"/>
      <c r="AV89" s="121"/>
      <c r="AW89" s="121"/>
      <c r="AX89" s="121"/>
      <c r="AY89" s="122"/>
      <c r="AZ89" s="121"/>
      <c r="BA89" s="121"/>
      <c r="BB89" s="121"/>
      <c r="BC89" s="121"/>
      <c r="BD89" s="121"/>
      <c r="BE89" s="121"/>
      <c r="BF89" s="121"/>
      <c r="BG89" s="123"/>
      <c r="BH89" s="121"/>
      <c r="BI89" s="124"/>
      <c r="BJ89" s="124"/>
      <c r="BK89" s="121"/>
      <c r="BL89" s="125"/>
      <c r="BM89" s="125"/>
      <c r="BN89" s="121"/>
      <c r="BO89" s="121"/>
      <c r="BP89" s="121"/>
      <c r="BQ89" s="125"/>
      <c r="BR89" s="125"/>
      <c r="BS89" s="121"/>
      <c r="BT89" s="121"/>
      <c r="BU89" s="121"/>
      <c r="BV89" s="125"/>
      <c r="BW89" s="125"/>
      <c r="BX89" s="121"/>
      <c r="BY89" s="121"/>
      <c r="BZ89" s="121"/>
      <c r="CA89" s="125"/>
      <c r="CB89" s="125"/>
      <c r="CC89" s="121"/>
      <c r="CD89" s="121"/>
      <c r="CE89" s="74"/>
      <c r="CF89" s="107"/>
      <c r="CG89" s="108"/>
      <c r="CH89" s="77">
        <v>20</v>
      </c>
      <c r="CI89" s="75" t="s">
        <v>121</v>
      </c>
      <c r="CJ89" s="74"/>
      <c r="CK89" s="107"/>
      <c r="CL89" s="108"/>
      <c r="CM89" s="77">
        <v>15</v>
      </c>
      <c r="CN89" s="62"/>
      <c r="CO89" s="74"/>
      <c r="CP89" s="107"/>
      <c r="CQ89" s="108"/>
      <c r="CR89" s="77"/>
      <c r="CS89" s="48"/>
      <c r="CT89" s="74"/>
      <c r="CU89" s="107"/>
      <c r="CV89" s="108"/>
      <c r="CW89" s="77"/>
      <c r="CX89" s="48"/>
      <c r="CY89" s="74"/>
      <c r="CZ89" s="107"/>
      <c r="DA89" s="108"/>
      <c r="DB89" s="77"/>
      <c r="DC89" s="48"/>
      <c r="DD89" s="74"/>
      <c r="DE89" s="107"/>
      <c r="DF89" s="108"/>
      <c r="DG89" s="77">
        <v>1</v>
      </c>
      <c r="DH89" s="48"/>
      <c r="DI89" s="74"/>
      <c r="DJ89" s="107"/>
      <c r="DK89" s="108"/>
      <c r="DL89" s="80"/>
      <c r="DM89" s="48"/>
      <c r="DN89" s="74"/>
      <c r="DO89" s="107"/>
      <c r="DP89" s="108"/>
      <c r="DQ89" s="81"/>
      <c r="DR89" s="48"/>
      <c r="DS89" s="54"/>
      <c r="DT89" s="54"/>
      <c r="DU89" s="74"/>
      <c r="DV89" s="56"/>
      <c r="DW89" s="76"/>
      <c r="DX89" s="75"/>
      <c r="DY89" s="74"/>
      <c r="DZ89" s="56"/>
      <c r="EA89" s="76">
        <v>5</v>
      </c>
      <c r="EB89" s="75"/>
      <c r="EC89" s="74"/>
      <c r="ED89" s="74"/>
      <c r="EE89" s="76"/>
      <c r="EF89" s="75"/>
      <c r="EG89" s="74"/>
      <c r="EH89" s="74"/>
      <c r="EI89" s="76">
        <v>12</v>
      </c>
      <c r="EJ89" s="42"/>
      <c r="EK89" s="74"/>
      <c r="EL89" s="48"/>
      <c r="EM89" s="77"/>
      <c r="EN89" s="75"/>
      <c r="EO89" s="74"/>
      <c r="EP89" s="48"/>
      <c r="EQ89" s="77"/>
      <c r="ER89" s="62"/>
      <c r="ES89" s="74"/>
      <c r="ET89" s="48"/>
      <c r="EU89" s="77"/>
      <c r="EV89" s="48"/>
      <c r="EW89" s="74"/>
      <c r="EX89" s="48"/>
      <c r="EY89" s="77"/>
      <c r="EZ89" s="48"/>
      <c r="FA89" s="74"/>
      <c r="FB89" s="48"/>
      <c r="FC89" s="77"/>
      <c r="FD89" s="48"/>
      <c r="FE89" s="74"/>
      <c r="FF89" s="48"/>
      <c r="FG89" s="77"/>
      <c r="FH89" s="48"/>
      <c r="FI89" s="74"/>
      <c r="FJ89" s="48"/>
      <c r="FK89" s="80"/>
      <c r="FL89" s="48"/>
      <c r="FM89" s="74"/>
      <c r="FN89" s="48"/>
      <c r="FO89" s="81"/>
      <c r="FP89" s="48"/>
      <c r="FQ89" s="54"/>
      <c r="FR89" s="54"/>
      <c r="FS89" s="74"/>
      <c r="FT89" s="56"/>
      <c r="FU89" s="76"/>
      <c r="FV89" s="75"/>
      <c r="FW89" s="74"/>
      <c r="FX89" s="56"/>
      <c r="FY89" s="76"/>
      <c r="FZ89" s="75"/>
      <c r="GA89" s="74"/>
      <c r="GB89" s="56"/>
      <c r="GC89" s="76"/>
      <c r="GD89" s="75"/>
      <c r="GE89" s="74"/>
      <c r="GF89" s="56"/>
      <c r="GG89" s="76"/>
      <c r="GH89" s="42"/>
      <c r="GI89" s="74"/>
      <c r="GJ89" s="56"/>
      <c r="GK89" s="77"/>
      <c r="GL89" s="75"/>
      <c r="GM89" s="74"/>
      <c r="GN89" s="56"/>
      <c r="GO89" s="77"/>
      <c r="GP89" s="62"/>
      <c r="GQ89" s="74"/>
      <c r="GR89" s="56"/>
      <c r="GS89" s="77"/>
      <c r="GT89" s="48"/>
      <c r="GU89" s="74"/>
      <c r="GV89" s="56"/>
      <c r="GW89" s="77"/>
      <c r="GX89" s="48"/>
      <c r="GY89" s="74"/>
      <c r="GZ89" s="56"/>
      <c r="HA89" s="77"/>
      <c r="HB89" s="48"/>
      <c r="HC89" s="74"/>
      <c r="HD89" s="56"/>
      <c r="HE89" s="77"/>
      <c r="HF89" s="48"/>
      <c r="HG89" s="74"/>
      <c r="HH89" s="56"/>
      <c r="HI89" s="80"/>
      <c r="HJ89" s="48"/>
      <c r="HK89" s="74"/>
      <c r="HL89" s="56"/>
      <c r="HM89" s="81"/>
      <c r="HN89" s="48"/>
      <c r="HO89" s="54"/>
      <c r="HP89" s="54"/>
      <c r="HQ89" s="74"/>
      <c r="HR89" s="56"/>
      <c r="HS89" s="76"/>
      <c r="HT89" s="75"/>
      <c r="HU89" s="74"/>
      <c r="HV89" s="56"/>
      <c r="HW89" s="76"/>
      <c r="HX89" s="75"/>
      <c r="HY89" s="74"/>
      <c r="HZ89" s="56"/>
      <c r="IA89" s="76"/>
      <c r="IB89" s="75"/>
      <c r="IC89" s="74"/>
      <c r="ID89" s="56"/>
      <c r="IE89" s="76"/>
      <c r="IF89" s="42"/>
      <c r="IG89" s="74"/>
      <c r="IH89" s="56"/>
      <c r="II89" s="77"/>
      <c r="IJ89" s="75"/>
      <c r="IK89" s="74"/>
      <c r="IL89" s="56"/>
      <c r="IM89" s="77"/>
      <c r="IN89" s="62"/>
      <c r="IO89" s="74"/>
      <c r="IP89" s="56"/>
      <c r="IQ89" s="77"/>
      <c r="IR89" s="48"/>
      <c r="IS89" s="74"/>
      <c r="IT89" s="56"/>
      <c r="IU89" s="77"/>
      <c r="IV89" s="48"/>
      <c r="IW89" s="74"/>
      <c r="IX89" s="56"/>
      <c r="IY89" s="77"/>
      <c r="IZ89" s="48"/>
      <c r="JA89" s="74"/>
      <c r="JB89" s="56"/>
      <c r="JC89" s="77"/>
      <c r="JD89" s="48"/>
      <c r="JE89" s="74"/>
      <c r="JF89" s="56"/>
      <c r="JG89" s="80"/>
      <c r="JH89" s="48"/>
      <c r="JI89" s="74"/>
      <c r="JJ89" s="56"/>
      <c r="JK89" s="81"/>
      <c r="JL89" s="48"/>
      <c r="JM89" s="54"/>
      <c r="JN89" s="54"/>
    </row>
    <row r="90" spans="1:274" s="113" customFormat="1">
      <c r="A90" s="249"/>
      <c r="B90" s="114"/>
      <c r="C90" s="114"/>
      <c r="D90" s="249"/>
      <c r="E90" s="36">
        <v>85</v>
      </c>
      <c r="F90" s="115">
        <v>2</v>
      </c>
      <c r="G90" s="116">
        <v>9630010520</v>
      </c>
      <c r="H90" s="117" t="s">
        <v>124</v>
      </c>
      <c r="I90" s="118">
        <v>724.08945921173245</v>
      </c>
      <c r="J90" s="119"/>
      <c r="K90" s="119"/>
      <c r="L90" s="119"/>
      <c r="M90" s="119"/>
      <c r="N90" s="119"/>
      <c r="O90" s="120"/>
      <c r="P90" s="120"/>
      <c r="Q90" s="121"/>
      <c r="R90" s="121"/>
      <c r="S90" s="120"/>
      <c r="T90" s="120"/>
      <c r="U90" s="121"/>
      <c r="V90" s="121"/>
      <c r="W90" s="120"/>
      <c r="X90" s="120"/>
      <c r="Y90" s="121"/>
      <c r="Z90" s="121"/>
      <c r="AA90" s="121"/>
      <c r="AB90" s="120"/>
      <c r="AC90" s="121"/>
      <c r="AD90" s="121"/>
      <c r="AE90" s="120"/>
      <c r="AF90" s="120"/>
      <c r="AG90" s="121"/>
      <c r="AH90" s="121"/>
      <c r="AI90" s="121"/>
      <c r="AJ90" s="120"/>
      <c r="AK90" s="121"/>
      <c r="AL90" s="121"/>
      <c r="AM90" s="122"/>
      <c r="AN90" s="121"/>
      <c r="AO90" s="121"/>
      <c r="AP90" s="121"/>
      <c r="AQ90" s="121"/>
      <c r="AR90" s="121"/>
      <c r="AS90" s="121"/>
      <c r="AT90" s="121"/>
      <c r="AU90" s="122"/>
      <c r="AV90" s="121"/>
      <c r="AW90" s="121"/>
      <c r="AX90" s="121"/>
      <c r="AY90" s="122"/>
      <c r="AZ90" s="121"/>
      <c r="BA90" s="121"/>
      <c r="BB90" s="121"/>
      <c r="BC90" s="121"/>
      <c r="BD90" s="121"/>
      <c r="BE90" s="121"/>
      <c r="BF90" s="121"/>
      <c r="BG90" s="123"/>
      <c r="BH90" s="121"/>
      <c r="BI90" s="124"/>
      <c r="BJ90" s="124"/>
      <c r="BK90" s="121"/>
      <c r="BL90" s="125"/>
      <c r="BM90" s="125"/>
      <c r="BN90" s="121"/>
      <c r="BO90" s="121"/>
      <c r="BP90" s="121"/>
      <c r="BQ90" s="125"/>
      <c r="BR90" s="125"/>
      <c r="BS90" s="121"/>
      <c r="BT90" s="121"/>
      <c r="BU90" s="121"/>
      <c r="BV90" s="125"/>
      <c r="BW90" s="125"/>
      <c r="BX90" s="121"/>
      <c r="BY90" s="121"/>
      <c r="BZ90" s="121"/>
      <c r="CA90" s="125"/>
      <c r="CB90" s="125"/>
      <c r="CC90" s="121"/>
      <c r="CD90" s="121"/>
      <c r="CE90" s="74"/>
      <c r="CF90" s="107"/>
      <c r="CG90" s="108"/>
      <c r="CH90" s="77">
        <v>2</v>
      </c>
      <c r="CI90" s="75" t="s">
        <v>121</v>
      </c>
      <c r="CJ90" s="74"/>
      <c r="CK90" s="107"/>
      <c r="CL90" s="108"/>
      <c r="CM90" s="77">
        <v>2</v>
      </c>
      <c r="CN90" s="62"/>
      <c r="CO90" s="74"/>
      <c r="CP90" s="107"/>
      <c r="CQ90" s="108"/>
      <c r="CR90" s="77"/>
      <c r="CS90" s="48"/>
      <c r="CT90" s="74"/>
      <c r="CU90" s="107"/>
      <c r="CV90" s="108"/>
      <c r="CW90" s="77"/>
      <c r="CX90" s="48"/>
      <c r="CY90" s="74"/>
      <c r="CZ90" s="107"/>
      <c r="DA90" s="108"/>
      <c r="DB90" s="77"/>
      <c r="DC90" s="48"/>
      <c r="DD90" s="74"/>
      <c r="DE90" s="107"/>
      <c r="DF90" s="108"/>
      <c r="DG90" s="77"/>
      <c r="DH90" s="48"/>
      <c r="DI90" s="74"/>
      <c r="DJ90" s="107"/>
      <c r="DK90" s="108"/>
      <c r="DL90" s="80"/>
      <c r="DM90" s="48"/>
      <c r="DN90" s="74"/>
      <c r="DO90" s="107"/>
      <c r="DP90" s="108"/>
      <c r="DQ90" s="81"/>
      <c r="DR90" s="48"/>
      <c r="DS90" s="54"/>
      <c r="DT90" s="54"/>
      <c r="DU90" s="74"/>
      <c r="DV90" s="56"/>
      <c r="DW90" s="76"/>
      <c r="DX90" s="75"/>
      <c r="DY90" s="74"/>
      <c r="DZ90" s="56"/>
      <c r="EA90" s="76"/>
      <c r="EB90" s="75"/>
      <c r="EC90" s="74"/>
      <c r="ED90" s="74"/>
      <c r="EE90" s="76"/>
      <c r="EF90" s="75"/>
      <c r="EG90" s="74"/>
      <c r="EH90" s="74"/>
      <c r="EI90" s="76"/>
      <c r="EJ90" s="42"/>
      <c r="EK90" s="74"/>
      <c r="EL90" s="48"/>
      <c r="EM90" s="77"/>
      <c r="EN90" s="75"/>
      <c r="EO90" s="74"/>
      <c r="EP90" s="48"/>
      <c r="EQ90" s="77"/>
      <c r="ER90" s="62"/>
      <c r="ES90" s="74"/>
      <c r="ET90" s="48"/>
      <c r="EU90" s="77"/>
      <c r="EV90" s="48"/>
      <c r="EW90" s="74"/>
      <c r="EX90" s="48"/>
      <c r="EY90" s="77"/>
      <c r="EZ90" s="48"/>
      <c r="FA90" s="74"/>
      <c r="FB90" s="48"/>
      <c r="FC90" s="77"/>
      <c r="FD90" s="48"/>
      <c r="FE90" s="74"/>
      <c r="FF90" s="48"/>
      <c r="FG90" s="77"/>
      <c r="FH90" s="48"/>
      <c r="FI90" s="74"/>
      <c r="FJ90" s="48"/>
      <c r="FK90" s="80"/>
      <c r="FL90" s="48"/>
      <c r="FM90" s="74"/>
      <c r="FN90" s="48"/>
      <c r="FO90" s="81"/>
      <c r="FP90" s="48"/>
      <c r="FQ90" s="54"/>
      <c r="FR90" s="54"/>
      <c r="FS90" s="74"/>
      <c r="FT90" s="56"/>
      <c r="FU90" s="76"/>
      <c r="FV90" s="75"/>
      <c r="FW90" s="74"/>
      <c r="FX90" s="56"/>
      <c r="FY90" s="76"/>
      <c r="FZ90" s="75"/>
      <c r="GA90" s="74"/>
      <c r="GB90" s="56"/>
      <c r="GC90" s="76"/>
      <c r="GD90" s="75"/>
      <c r="GE90" s="74"/>
      <c r="GF90" s="56"/>
      <c r="GG90" s="76"/>
      <c r="GH90" s="42"/>
      <c r="GI90" s="74"/>
      <c r="GJ90" s="56"/>
      <c r="GK90" s="77"/>
      <c r="GL90" s="75"/>
      <c r="GM90" s="74"/>
      <c r="GN90" s="56"/>
      <c r="GO90" s="77"/>
      <c r="GP90" s="62"/>
      <c r="GQ90" s="74"/>
      <c r="GR90" s="56"/>
      <c r="GS90" s="77"/>
      <c r="GT90" s="48"/>
      <c r="GU90" s="74"/>
      <c r="GV90" s="56"/>
      <c r="GW90" s="77"/>
      <c r="GX90" s="48"/>
      <c r="GY90" s="74"/>
      <c r="GZ90" s="56"/>
      <c r="HA90" s="77"/>
      <c r="HB90" s="48"/>
      <c r="HC90" s="74"/>
      <c r="HD90" s="56"/>
      <c r="HE90" s="77"/>
      <c r="HF90" s="48"/>
      <c r="HG90" s="74"/>
      <c r="HH90" s="56"/>
      <c r="HI90" s="80"/>
      <c r="HJ90" s="48"/>
      <c r="HK90" s="74"/>
      <c r="HL90" s="56"/>
      <c r="HM90" s="81"/>
      <c r="HN90" s="48"/>
      <c r="HO90" s="54"/>
      <c r="HP90" s="54"/>
      <c r="HQ90" s="74"/>
      <c r="HR90" s="56"/>
      <c r="HS90" s="76"/>
      <c r="HT90" s="75"/>
      <c r="HU90" s="74"/>
      <c r="HV90" s="56"/>
      <c r="HW90" s="76"/>
      <c r="HX90" s="75"/>
      <c r="HY90" s="74"/>
      <c r="HZ90" s="56"/>
      <c r="IA90" s="76"/>
      <c r="IB90" s="75"/>
      <c r="IC90" s="74"/>
      <c r="ID90" s="56"/>
      <c r="IE90" s="76"/>
      <c r="IF90" s="42"/>
      <c r="IG90" s="74"/>
      <c r="IH90" s="56"/>
      <c r="II90" s="77"/>
      <c r="IJ90" s="75"/>
      <c r="IK90" s="74"/>
      <c r="IL90" s="56"/>
      <c r="IM90" s="77"/>
      <c r="IN90" s="62"/>
      <c r="IO90" s="74"/>
      <c r="IP90" s="56"/>
      <c r="IQ90" s="77"/>
      <c r="IR90" s="48"/>
      <c r="IS90" s="74"/>
      <c r="IT90" s="56"/>
      <c r="IU90" s="77"/>
      <c r="IV90" s="48"/>
      <c r="IW90" s="74"/>
      <c r="IX90" s="56"/>
      <c r="IY90" s="77"/>
      <c r="IZ90" s="48"/>
      <c r="JA90" s="74"/>
      <c r="JB90" s="56"/>
      <c r="JC90" s="77"/>
      <c r="JD90" s="48"/>
      <c r="JE90" s="74"/>
      <c r="JF90" s="56"/>
      <c r="JG90" s="80"/>
      <c r="JH90" s="48"/>
      <c r="JI90" s="74"/>
      <c r="JJ90" s="56"/>
      <c r="JK90" s="81"/>
      <c r="JL90" s="48"/>
      <c r="JM90" s="54"/>
      <c r="JN90" s="54"/>
    </row>
    <row r="91" spans="1:274" s="113" customFormat="1">
      <c r="A91" s="249"/>
      <c r="B91" s="114"/>
      <c r="C91" s="114"/>
      <c r="D91" s="249"/>
      <c r="E91" s="36">
        <v>86</v>
      </c>
      <c r="F91" s="115">
        <v>2</v>
      </c>
      <c r="G91" s="116">
        <v>4640062010</v>
      </c>
      <c r="H91" s="117" t="s">
        <v>125</v>
      </c>
      <c r="I91" s="118">
        <v>316.70614115490378</v>
      </c>
      <c r="J91" s="119"/>
      <c r="K91" s="119"/>
      <c r="L91" s="119"/>
      <c r="M91" s="119"/>
      <c r="N91" s="119"/>
      <c r="O91" s="120"/>
      <c r="P91" s="120"/>
      <c r="Q91" s="121"/>
      <c r="R91" s="121"/>
      <c r="S91" s="120"/>
      <c r="T91" s="120"/>
      <c r="U91" s="121"/>
      <c r="V91" s="121"/>
      <c r="W91" s="120"/>
      <c r="X91" s="120"/>
      <c r="Y91" s="121"/>
      <c r="Z91" s="121"/>
      <c r="AA91" s="121"/>
      <c r="AB91" s="120"/>
      <c r="AC91" s="121"/>
      <c r="AD91" s="121"/>
      <c r="AE91" s="120"/>
      <c r="AF91" s="120"/>
      <c r="AG91" s="121"/>
      <c r="AH91" s="121"/>
      <c r="AI91" s="121"/>
      <c r="AJ91" s="120"/>
      <c r="AK91" s="121"/>
      <c r="AL91" s="121"/>
      <c r="AM91" s="122"/>
      <c r="AN91" s="121"/>
      <c r="AO91" s="121"/>
      <c r="AP91" s="121"/>
      <c r="AQ91" s="121"/>
      <c r="AR91" s="121"/>
      <c r="AS91" s="121"/>
      <c r="AT91" s="121"/>
      <c r="AU91" s="122"/>
      <c r="AV91" s="121"/>
      <c r="AW91" s="121"/>
      <c r="AX91" s="121"/>
      <c r="AY91" s="122"/>
      <c r="AZ91" s="121"/>
      <c r="BA91" s="121"/>
      <c r="BB91" s="121"/>
      <c r="BC91" s="121"/>
      <c r="BD91" s="121"/>
      <c r="BE91" s="121"/>
      <c r="BF91" s="121"/>
      <c r="BG91" s="123"/>
      <c r="BH91" s="121"/>
      <c r="BI91" s="124"/>
      <c r="BJ91" s="124"/>
      <c r="BK91" s="121"/>
      <c r="BL91" s="125"/>
      <c r="BM91" s="125"/>
      <c r="BN91" s="121"/>
      <c r="BO91" s="121"/>
      <c r="BP91" s="121"/>
      <c r="BQ91" s="125"/>
      <c r="BR91" s="125"/>
      <c r="BS91" s="121"/>
      <c r="BT91" s="121"/>
      <c r="BU91" s="121"/>
      <c r="BV91" s="125"/>
      <c r="BW91" s="125"/>
      <c r="BX91" s="121"/>
      <c r="BY91" s="121"/>
      <c r="BZ91" s="121"/>
      <c r="CA91" s="125"/>
      <c r="CB91" s="125"/>
      <c r="CC91" s="121"/>
      <c r="CD91" s="121"/>
      <c r="CE91" s="74"/>
      <c r="CF91" s="107"/>
      <c r="CG91" s="108"/>
      <c r="CH91" s="77">
        <v>5</v>
      </c>
      <c r="CI91" s="75" t="s">
        <v>121</v>
      </c>
      <c r="CJ91" s="74"/>
      <c r="CK91" s="107"/>
      <c r="CL91" s="108"/>
      <c r="CM91" s="77">
        <v>3</v>
      </c>
      <c r="CN91" s="62"/>
      <c r="CO91" s="74"/>
      <c r="CP91" s="107"/>
      <c r="CQ91" s="108"/>
      <c r="CR91" s="77"/>
      <c r="CS91" s="48"/>
      <c r="CT91" s="74"/>
      <c r="CU91" s="107"/>
      <c r="CV91" s="108"/>
      <c r="CW91" s="77"/>
      <c r="CX91" s="48"/>
      <c r="CY91" s="74"/>
      <c r="CZ91" s="107"/>
      <c r="DA91" s="108"/>
      <c r="DB91" s="77"/>
      <c r="DC91" s="48"/>
      <c r="DD91" s="74"/>
      <c r="DE91" s="107"/>
      <c r="DF91" s="108"/>
      <c r="DG91" s="77"/>
      <c r="DH91" s="48"/>
      <c r="DI91" s="74"/>
      <c r="DJ91" s="107"/>
      <c r="DK91" s="108"/>
      <c r="DL91" s="80"/>
      <c r="DM91" s="48"/>
      <c r="DN91" s="74"/>
      <c r="DO91" s="107"/>
      <c r="DP91" s="108"/>
      <c r="DQ91" s="81"/>
      <c r="DR91" s="48"/>
      <c r="DS91" s="54"/>
      <c r="DT91" s="54"/>
      <c r="DU91" s="74"/>
      <c r="DV91" s="56"/>
      <c r="DW91" s="76"/>
      <c r="DX91" s="75"/>
      <c r="DY91" s="74"/>
      <c r="DZ91" s="56"/>
      <c r="EA91" s="76"/>
      <c r="EB91" s="75"/>
      <c r="EC91" s="74"/>
      <c r="ED91" s="74"/>
      <c r="EE91" s="76"/>
      <c r="EF91" s="75"/>
      <c r="EG91" s="74"/>
      <c r="EH91" s="74"/>
      <c r="EI91" s="76"/>
      <c r="EJ91" s="42"/>
      <c r="EK91" s="74"/>
      <c r="EL91" s="48"/>
      <c r="EM91" s="77"/>
      <c r="EN91" s="75"/>
      <c r="EO91" s="74"/>
      <c r="EP91" s="48"/>
      <c r="EQ91" s="77"/>
      <c r="ER91" s="62"/>
      <c r="ES91" s="74"/>
      <c r="ET91" s="48"/>
      <c r="EU91" s="77"/>
      <c r="EV91" s="48"/>
      <c r="EW91" s="74"/>
      <c r="EX91" s="48"/>
      <c r="EY91" s="77"/>
      <c r="EZ91" s="48"/>
      <c r="FA91" s="74"/>
      <c r="FB91" s="48"/>
      <c r="FC91" s="77"/>
      <c r="FD91" s="48"/>
      <c r="FE91" s="74"/>
      <c r="FF91" s="48"/>
      <c r="FG91" s="77"/>
      <c r="FH91" s="48"/>
      <c r="FI91" s="74"/>
      <c r="FJ91" s="48"/>
      <c r="FK91" s="80"/>
      <c r="FL91" s="48"/>
      <c r="FM91" s="74"/>
      <c r="FN91" s="48"/>
      <c r="FO91" s="81"/>
      <c r="FP91" s="48"/>
      <c r="FQ91" s="54"/>
      <c r="FR91" s="54"/>
      <c r="FS91" s="74"/>
      <c r="FT91" s="56"/>
      <c r="FU91" s="76"/>
      <c r="FV91" s="75"/>
      <c r="FW91" s="74"/>
      <c r="FX91" s="56"/>
      <c r="FY91" s="76"/>
      <c r="FZ91" s="75"/>
      <c r="GA91" s="74"/>
      <c r="GB91" s="56"/>
      <c r="GC91" s="76"/>
      <c r="GD91" s="75"/>
      <c r="GE91" s="74"/>
      <c r="GF91" s="56"/>
      <c r="GG91" s="76"/>
      <c r="GH91" s="42"/>
      <c r="GI91" s="74"/>
      <c r="GJ91" s="56"/>
      <c r="GK91" s="77"/>
      <c r="GL91" s="75"/>
      <c r="GM91" s="74"/>
      <c r="GN91" s="56"/>
      <c r="GO91" s="77"/>
      <c r="GP91" s="62"/>
      <c r="GQ91" s="74"/>
      <c r="GR91" s="56"/>
      <c r="GS91" s="77"/>
      <c r="GT91" s="48"/>
      <c r="GU91" s="74"/>
      <c r="GV91" s="56"/>
      <c r="GW91" s="77"/>
      <c r="GX91" s="48"/>
      <c r="GY91" s="74"/>
      <c r="GZ91" s="56"/>
      <c r="HA91" s="77"/>
      <c r="HB91" s="48"/>
      <c r="HC91" s="74"/>
      <c r="HD91" s="56"/>
      <c r="HE91" s="77"/>
      <c r="HF91" s="48"/>
      <c r="HG91" s="74"/>
      <c r="HH91" s="56"/>
      <c r="HI91" s="80"/>
      <c r="HJ91" s="48"/>
      <c r="HK91" s="74"/>
      <c r="HL91" s="56"/>
      <c r="HM91" s="81"/>
      <c r="HN91" s="48"/>
      <c r="HO91" s="54"/>
      <c r="HP91" s="54"/>
      <c r="HQ91" s="74"/>
      <c r="HR91" s="56"/>
      <c r="HS91" s="76"/>
      <c r="HT91" s="75"/>
      <c r="HU91" s="74"/>
      <c r="HV91" s="56"/>
      <c r="HW91" s="76"/>
      <c r="HX91" s="75"/>
      <c r="HY91" s="74"/>
      <c r="HZ91" s="56"/>
      <c r="IA91" s="76"/>
      <c r="IB91" s="75"/>
      <c r="IC91" s="74"/>
      <c r="ID91" s="56"/>
      <c r="IE91" s="76"/>
      <c r="IF91" s="42"/>
      <c r="IG91" s="74"/>
      <c r="IH91" s="56"/>
      <c r="II91" s="77"/>
      <c r="IJ91" s="75"/>
      <c r="IK91" s="74"/>
      <c r="IL91" s="56"/>
      <c r="IM91" s="77"/>
      <c r="IN91" s="62"/>
      <c r="IO91" s="74"/>
      <c r="IP91" s="56"/>
      <c r="IQ91" s="77"/>
      <c r="IR91" s="48"/>
      <c r="IS91" s="74"/>
      <c r="IT91" s="56"/>
      <c r="IU91" s="77"/>
      <c r="IV91" s="48"/>
      <c r="IW91" s="74"/>
      <c r="IX91" s="56"/>
      <c r="IY91" s="77"/>
      <c r="IZ91" s="48"/>
      <c r="JA91" s="74"/>
      <c r="JB91" s="56"/>
      <c r="JC91" s="77"/>
      <c r="JD91" s="48"/>
      <c r="JE91" s="74"/>
      <c r="JF91" s="56"/>
      <c r="JG91" s="80"/>
      <c r="JH91" s="48"/>
      <c r="JI91" s="74"/>
      <c r="JJ91" s="56"/>
      <c r="JK91" s="81"/>
      <c r="JL91" s="48"/>
      <c r="JM91" s="54"/>
      <c r="JN91" s="54"/>
    </row>
    <row r="92" spans="1:274" s="113" customFormat="1">
      <c r="A92" s="249"/>
      <c r="B92" s="114"/>
      <c r="C92" s="114"/>
      <c r="D92" s="249"/>
      <c r="E92" s="36">
        <v>87</v>
      </c>
      <c r="F92" s="115">
        <v>2</v>
      </c>
      <c r="G92" s="116">
        <v>4497110800</v>
      </c>
      <c r="H92" s="117" t="s">
        <v>126</v>
      </c>
      <c r="I92" s="118">
        <v>84.101191567369398</v>
      </c>
      <c r="J92" s="119"/>
      <c r="K92" s="119"/>
      <c r="L92" s="119"/>
      <c r="M92" s="119"/>
      <c r="N92" s="119"/>
      <c r="O92" s="120"/>
      <c r="P92" s="120"/>
      <c r="Q92" s="121"/>
      <c r="R92" s="121"/>
      <c r="S92" s="120"/>
      <c r="T92" s="120"/>
      <c r="U92" s="121"/>
      <c r="V92" s="121"/>
      <c r="W92" s="120"/>
      <c r="X92" s="120"/>
      <c r="Y92" s="121"/>
      <c r="Z92" s="121"/>
      <c r="AA92" s="121"/>
      <c r="AB92" s="120"/>
      <c r="AC92" s="121"/>
      <c r="AD92" s="121"/>
      <c r="AE92" s="120"/>
      <c r="AF92" s="120"/>
      <c r="AG92" s="121"/>
      <c r="AH92" s="121"/>
      <c r="AI92" s="121"/>
      <c r="AJ92" s="120"/>
      <c r="AK92" s="121"/>
      <c r="AL92" s="121"/>
      <c r="AM92" s="122"/>
      <c r="AN92" s="121"/>
      <c r="AO92" s="121"/>
      <c r="AP92" s="121"/>
      <c r="AQ92" s="121"/>
      <c r="AR92" s="121"/>
      <c r="AS92" s="121"/>
      <c r="AT92" s="121"/>
      <c r="AU92" s="122"/>
      <c r="AV92" s="121"/>
      <c r="AW92" s="121"/>
      <c r="AX92" s="121"/>
      <c r="AY92" s="122"/>
      <c r="AZ92" s="121"/>
      <c r="BA92" s="121"/>
      <c r="BB92" s="121"/>
      <c r="BC92" s="121"/>
      <c r="BD92" s="121"/>
      <c r="BE92" s="121"/>
      <c r="BF92" s="121"/>
      <c r="BG92" s="123"/>
      <c r="BH92" s="121"/>
      <c r="BI92" s="124"/>
      <c r="BJ92" s="124"/>
      <c r="BK92" s="121"/>
      <c r="BL92" s="125"/>
      <c r="BM92" s="125"/>
      <c r="BN92" s="121"/>
      <c r="BO92" s="121"/>
      <c r="BP92" s="121"/>
      <c r="BQ92" s="125"/>
      <c r="BR92" s="125"/>
      <c r="BS92" s="121"/>
      <c r="BT92" s="121"/>
      <c r="BU92" s="121"/>
      <c r="BV92" s="125"/>
      <c r="BW92" s="125"/>
      <c r="BX92" s="121"/>
      <c r="BY92" s="121"/>
      <c r="BZ92" s="121"/>
      <c r="CA92" s="125"/>
      <c r="CB92" s="125"/>
      <c r="CC92" s="121"/>
      <c r="CD92" s="121"/>
      <c r="CE92" s="74"/>
      <c r="CF92" s="107"/>
      <c r="CG92" s="108"/>
      <c r="CH92" s="77">
        <v>10</v>
      </c>
      <c r="CI92" s="75" t="s">
        <v>121</v>
      </c>
      <c r="CJ92" s="74"/>
      <c r="CK92" s="107"/>
      <c r="CL92" s="108"/>
      <c r="CM92" s="77"/>
      <c r="CN92" s="62"/>
      <c r="CO92" s="74"/>
      <c r="CP92" s="107"/>
      <c r="CQ92" s="108"/>
      <c r="CR92" s="77"/>
      <c r="CS92" s="48"/>
      <c r="CT92" s="74"/>
      <c r="CU92" s="107"/>
      <c r="CV92" s="108"/>
      <c r="CW92" s="77"/>
      <c r="CX92" s="48"/>
      <c r="CY92" s="74"/>
      <c r="CZ92" s="107"/>
      <c r="DA92" s="108"/>
      <c r="DB92" s="77"/>
      <c r="DC92" s="48"/>
      <c r="DD92" s="74"/>
      <c r="DE92" s="107"/>
      <c r="DF92" s="108"/>
      <c r="DG92" s="77"/>
      <c r="DH92" s="48"/>
      <c r="DI92" s="74"/>
      <c r="DJ92" s="107"/>
      <c r="DK92" s="108"/>
      <c r="DL92" s="80"/>
      <c r="DM92" s="48"/>
      <c r="DN92" s="74"/>
      <c r="DO92" s="107"/>
      <c r="DP92" s="108"/>
      <c r="DQ92" s="81"/>
      <c r="DR92" s="48"/>
      <c r="DS92" s="54"/>
      <c r="DT92" s="54"/>
      <c r="DU92" s="74"/>
      <c r="DV92" s="56"/>
      <c r="DW92" s="76"/>
      <c r="DX92" s="75"/>
      <c r="DY92" s="74"/>
      <c r="DZ92" s="56"/>
      <c r="EA92" s="76"/>
      <c r="EB92" s="75"/>
      <c r="EC92" s="74"/>
      <c r="ED92" s="74"/>
      <c r="EE92" s="76"/>
      <c r="EF92" s="75"/>
      <c r="EG92" s="74"/>
      <c r="EH92" s="74"/>
      <c r="EI92" s="76"/>
      <c r="EJ92" s="42"/>
      <c r="EK92" s="74"/>
      <c r="EL92" s="48"/>
      <c r="EM92" s="77"/>
      <c r="EN92" s="75"/>
      <c r="EO92" s="74"/>
      <c r="EP92" s="48"/>
      <c r="EQ92" s="77"/>
      <c r="ER92" s="62"/>
      <c r="ES92" s="74"/>
      <c r="ET92" s="48"/>
      <c r="EU92" s="77"/>
      <c r="EV92" s="48"/>
      <c r="EW92" s="74"/>
      <c r="EX92" s="48"/>
      <c r="EY92" s="77"/>
      <c r="EZ92" s="48"/>
      <c r="FA92" s="74"/>
      <c r="FB92" s="48"/>
      <c r="FC92" s="77"/>
      <c r="FD92" s="48"/>
      <c r="FE92" s="74"/>
      <c r="FF92" s="48"/>
      <c r="FG92" s="77"/>
      <c r="FH92" s="48"/>
      <c r="FI92" s="74"/>
      <c r="FJ92" s="48"/>
      <c r="FK92" s="80"/>
      <c r="FL92" s="48"/>
      <c r="FM92" s="74"/>
      <c r="FN92" s="48"/>
      <c r="FO92" s="81"/>
      <c r="FP92" s="48"/>
      <c r="FQ92" s="54"/>
      <c r="FR92" s="54"/>
      <c r="FS92" s="74"/>
      <c r="FT92" s="56"/>
      <c r="FU92" s="76"/>
      <c r="FV92" s="75"/>
      <c r="FW92" s="74"/>
      <c r="FX92" s="56"/>
      <c r="FY92" s="76"/>
      <c r="FZ92" s="75"/>
      <c r="GA92" s="74"/>
      <c r="GB92" s="56"/>
      <c r="GC92" s="76"/>
      <c r="GD92" s="75"/>
      <c r="GE92" s="74"/>
      <c r="GF92" s="56"/>
      <c r="GG92" s="76"/>
      <c r="GH92" s="42"/>
      <c r="GI92" s="74"/>
      <c r="GJ92" s="56"/>
      <c r="GK92" s="77"/>
      <c r="GL92" s="75"/>
      <c r="GM92" s="74"/>
      <c r="GN92" s="56"/>
      <c r="GO92" s="77"/>
      <c r="GP92" s="62"/>
      <c r="GQ92" s="74"/>
      <c r="GR92" s="56"/>
      <c r="GS92" s="77"/>
      <c r="GT92" s="48"/>
      <c r="GU92" s="74"/>
      <c r="GV92" s="56"/>
      <c r="GW92" s="77"/>
      <c r="GX92" s="48"/>
      <c r="GY92" s="74"/>
      <c r="GZ92" s="56"/>
      <c r="HA92" s="77"/>
      <c r="HB92" s="48"/>
      <c r="HC92" s="74"/>
      <c r="HD92" s="56"/>
      <c r="HE92" s="77"/>
      <c r="HF92" s="48"/>
      <c r="HG92" s="74"/>
      <c r="HH92" s="56"/>
      <c r="HI92" s="80"/>
      <c r="HJ92" s="48"/>
      <c r="HK92" s="74"/>
      <c r="HL92" s="56"/>
      <c r="HM92" s="81"/>
      <c r="HN92" s="48"/>
      <c r="HO92" s="54"/>
      <c r="HP92" s="54"/>
      <c r="HQ92" s="74"/>
      <c r="HR92" s="56"/>
      <c r="HS92" s="76"/>
      <c r="HT92" s="75"/>
      <c r="HU92" s="74"/>
      <c r="HV92" s="56"/>
      <c r="HW92" s="76"/>
      <c r="HX92" s="75"/>
      <c r="HY92" s="74"/>
      <c r="HZ92" s="56"/>
      <c r="IA92" s="76"/>
      <c r="IB92" s="75"/>
      <c r="IC92" s="74"/>
      <c r="ID92" s="56"/>
      <c r="IE92" s="76"/>
      <c r="IF92" s="42"/>
      <c r="IG92" s="74"/>
      <c r="IH92" s="56"/>
      <c r="II92" s="77"/>
      <c r="IJ92" s="75"/>
      <c r="IK92" s="74"/>
      <c r="IL92" s="56"/>
      <c r="IM92" s="77"/>
      <c r="IN92" s="62"/>
      <c r="IO92" s="74"/>
      <c r="IP92" s="56"/>
      <c r="IQ92" s="77"/>
      <c r="IR92" s="48"/>
      <c r="IS92" s="74"/>
      <c r="IT92" s="56"/>
      <c r="IU92" s="77"/>
      <c r="IV92" s="48"/>
      <c r="IW92" s="74"/>
      <c r="IX92" s="56"/>
      <c r="IY92" s="77"/>
      <c r="IZ92" s="48"/>
      <c r="JA92" s="74"/>
      <c r="JB92" s="56"/>
      <c r="JC92" s="77"/>
      <c r="JD92" s="48"/>
      <c r="JE92" s="74"/>
      <c r="JF92" s="56"/>
      <c r="JG92" s="80"/>
      <c r="JH92" s="48"/>
      <c r="JI92" s="74"/>
      <c r="JJ92" s="56"/>
      <c r="JK92" s="81"/>
      <c r="JL92" s="48"/>
      <c r="JM92" s="54"/>
      <c r="JN92" s="54"/>
    </row>
    <row r="93" spans="1:274" s="113" customFormat="1">
      <c r="A93" s="249"/>
      <c r="B93" s="114"/>
      <c r="C93" s="114"/>
      <c r="D93" s="249"/>
      <c r="E93" s="36">
        <v>88</v>
      </c>
      <c r="F93" s="115">
        <v>2</v>
      </c>
      <c r="G93" s="126">
        <v>9700514240</v>
      </c>
      <c r="H93" s="127" t="s">
        <v>127</v>
      </c>
      <c r="I93" s="94">
        <v>317.00311640696611</v>
      </c>
      <c r="J93" s="119"/>
      <c r="K93" s="119"/>
      <c r="L93" s="119"/>
      <c r="M93" s="119"/>
      <c r="N93" s="119"/>
      <c r="O93" s="120"/>
      <c r="P93" s="120"/>
      <c r="Q93" s="121"/>
      <c r="R93" s="121"/>
      <c r="S93" s="120"/>
      <c r="T93" s="120"/>
      <c r="U93" s="121"/>
      <c r="V93" s="121"/>
      <c r="W93" s="120"/>
      <c r="X93" s="120"/>
      <c r="Y93" s="121"/>
      <c r="Z93" s="121"/>
      <c r="AA93" s="121"/>
      <c r="AB93" s="120"/>
      <c r="AC93" s="121"/>
      <c r="AD93" s="121"/>
      <c r="AE93" s="120"/>
      <c r="AF93" s="120"/>
      <c r="AG93" s="121"/>
      <c r="AH93" s="121"/>
      <c r="AI93" s="121"/>
      <c r="AJ93" s="120"/>
      <c r="AK93" s="121"/>
      <c r="AL93" s="121"/>
      <c r="AM93" s="122"/>
      <c r="AN93" s="121"/>
      <c r="AO93" s="121"/>
      <c r="AP93" s="121"/>
      <c r="AQ93" s="121"/>
      <c r="AR93" s="121"/>
      <c r="AS93" s="121"/>
      <c r="AT93" s="121"/>
      <c r="AU93" s="122"/>
      <c r="AV93" s="121"/>
      <c r="AW93" s="121"/>
      <c r="AX93" s="121"/>
      <c r="AY93" s="122"/>
      <c r="AZ93" s="121"/>
      <c r="BA93" s="121"/>
      <c r="BB93" s="121"/>
      <c r="BC93" s="121"/>
      <c r="BD93" s="121"/>
      <c r="BE93" s="121"/>
      <c r="BF93" s="121"/>
      <c r="BG93" s="123"/>
      <c r="BH93" s="121"/>
      <c r="BI93" s="124"/>
      <c r="BJ93" s="124"/>
      <c r="BK93" s="121"/>
      <c r="BL93" s="125"/>
      <c r="BM93" s="125"/>
      <c r="BN93" s="121"/>
      <c r="BO93" s="121"/>
      <c r="BP93" s="121"/>
      <c r="BQ93" s="125"/>
      <c r="BR93" s="125"/>
      <c r="BS93" s="121"/>
      <c r="BT93" s="121"/>
      <c r="BU93" s="121"/>
      <c r="BV93" s="125"/>
      <c r="BW93" s="125"/>
      <c r="BX93" s="121"/>
      <c r="BY93" s="121"/>
      <c r="BZ93" s="121"/>
      <c r="CA93" s="125"/>
      <c r="CB93" s="125"/>
      <c r="CC93" s="121"/>
      <c r="CD93" s="121"/>
      <c r="CE93" s="121"/>
      <c r="CF93" s="125"/>
      <c r="CG93" s="125"/>
      <c r="CH93" s="77">
        <v>1</v>
      </c>
      <c r="CI93" s="128" t="s">
        <v>121</v>
      </c>
      <c r="CJ93" s="74"/>
      <c r="CK93" s="107"/>
      <c r="CL93" s="129"/>
      <c r="CM93" s="77"/>
      <c r="CN93" s="130"/>
      <c r="CO93" s="74"/>
      <c r="CP93" s="107"/>
      <c r="CQ93" s="108"/>
      <c r="CR93" s="77"/>
      <c r="CS93" s="48"/>
      <c r="CT93" s="74"/>
      <c r="CU93" s="107"/>
      <c r="CV93" s="108"/>
      <c r="CW93" s="77"/>
      <c r="CX93" s="48"/>
      <c r="CY93" s="74"/>
      <c r="CZ93" s="107"/>
      <c r="DA93" s="108"/>
      <c r="DB93" s="77"/>
      <c r="DC93" s="48"/>
      <c r="DD93" s="74"/>
      <c r="DE93" s="107"/>
      <c r="DF93" s="108"/>
      <c r="DG93" s="77"/>
      <c r="DH93" s="48"/>
      <c r="DI93" s="74"/>
      <c r="DJ93" s="107"/>
      <c r="DK93" s="108"/>
      <c r="DL93" s="80"/>
      <c r="DM93" s="48"/>
      <c r="DN93" s="74"/>
      <c r="DO93" s="107"/>
      <c r="DP93" s="108"/>
      <c r="DQ93" s="81"/>
      <c r="DR93" s="48"/>
      <c r="DS93" s="54"/>
      <c r="DT93" s="54"/>
      <c r="DU93" s="74"/>
      <c r="DV93" s="56"/>
      <c r="DW93" s="76"/>
      <c r="DX93" s="75"/>
      <c r="DY93" s="74"/>
      <c r="DZ93" s="56"/>
      <c r="EA93" s="76"/>
      <c r="EB93" s="75"/>
      <c r="EC93" s="74"/>
      <c r="ED93" s="74"/>
      <c r="EE93" s="76"/>
      <c r="EF93" s="75"/>
      <c r="EG93" s="74"/>
      <c r="EH93" s="74"/>
      <c r="EI93" s="76"/>
      <c r="EJ93" s="42"/>
      <c r="EK93" s="74"/>
      <c r="EL93" s="48"/>
      <c r="EM93" s="77"/>
      <c r="EN93" s="75"/>
      <c r="EO93" s="74"/>
      <c r="EP93" s="48"/>
      <c r="EQ93" s="77"/>
      <c r="ER93" s="62"/>
      <c r="ES93" s="74"/>
      <c r="ET93" s="48"/>
      <c r="EU93" s="77"/>
      <c r="EV93" s="48"/>
      <c r="EW93" s="74"/>
      <c r="EX93" s="48"/>
      <c r="EY93" s="77"/>
      <c r="EZ93" s="48"/>
      <c r="FA93" s="74"/>
      <c r="FB93" s="48"/>
      <c r="FC93" s="77"/>
      <c r="FD93" s="48"/>
      <c r="FE93" s="74"/>
      <c r="FF93" s="48"/>
      <c r="FG93" s="77"/>
      <c r="FH93" s="48"/>
      <c r="FI93" s="74"/>
      <c r="FJ93" s="48"/>
      <c r="FK93" s="80"/>
      <c r="FL93" s="48"/>
      <c r="FM93" s="74"/>
      <c r="FN93" s="48"/>
      <c r="FO93" s="81"/>
      <c r="FP93" s="48"/>
      <c r="FQ93" s="54"/>
      <c r="FR93" s="54"/>
      <c r="FS93" s="74"/>
      <c r="FT93" s="56"/>
      <c r="FU93" s="76"/>
      <c r="FV93" s="75"/>
      <c r="FW93" s="74"/>
      <c r="FX93" s="56"/>
      <c r="FY93" s="76"/>
      <c r="FZ93" s="75"/>
      <c r="GA93" s="74"/>
      <c r="GB93" s="56"/>
      <c r="GC93" s="76"/>
      <c r="GD93" s="75"/>
      <c r="GE93" s="74"/>
      <c r="GF93" s="56"/>
      <c r="GG93" s="76"/>
      <c r="GH93" s="42"/>
      <c r="GI93" s="74"/>
      <c r="GJ93" s="56"/>
      <c r="GK93" s="77"/>
      <c r="GL93" s="75"/>
      <c r="GM93" s="74"/>
      <c r="GN93" s="56"/>
      <c r="GO93" s="77"/>
      <c r="GP93" s="62"/>
      <c r="GQ93" s="74"/>
      <c r="GR93" s="56"/>
      <c r="GS93" s="77"/>
      <c r="GT93" s="48"/>
      <c r="GU93" s="74"/>
      <c r="GV93" s="56"/>
      <c r="GW93" s="77"/>
      <c r="GX93" s="48"/>
      <c r="GY93" s="74"/>
      <c r="GZ93" s="56"/>
      <c r="HA93" s="77"/>
      <c r="HB93" s="48"/>
      <c r="HC93" s="74"/>
      <c r="HD93" s="56"/>
      <c r="HE93" s="77"/>
      <c r="HF93" s="48"/>
      <c r="HG93" s="74"/>
      <c r="HH93" s="56"/>
      <c r="HI93" s="80"/>
      <c r="HJ93" s="48"/>
      <c r="HK93" s="74"/>
      <c r="HL93" s="56"/>
      <c r="HM93" s="81"/>
      <c r="HN93" s="48"/>
      <c r="HO93" s="54"/>
      <c r="HP93" s="54"/>
      <c r="HQ93" s="74"/>
      <c r="HR93" s="56"/>
      <c r="HS93" s="76"/>
      <c r="HT93" s="75"/>
      <c r="HU93" s="74"/>
      <c r="HV93" s="56"/>
      <c r="HW93" s="76"/>
      <c r="HX93" s="75"/>
      <c r="HY93" s="74"/>
      <c r="HZ93" s="56"/>
      <c r="IA93" s="76"/>
      <c r="IB93" s="75"/>
      <c r="IC93" s="74"/>
      <c r="ID93" s="56"/>
      <c r="IE93" s="76"/>
      <c r="IF93" s="42"/>
      <c r="IG93" s="74"/>
      <c r="IH93" s="56"/>
      <c r="II93" s="77"/>
      <c r="IJ93" s="75"/>
      <c r="IK93" s="74"/>
      <c r="IL93" s="56"/>
      <c r="IM93" s="77"/>
      <c r="IN93" s="62"/>
      <c r="IO93" s="74"/>
      <c r="IP93" s="56"/>
      <c r="IQ93" s="77"/>
      <c r="IR93" s="48"/>
      <c r="IS93" s="74"/>
      <c r="IT93" s="56"/>
      <c r="IU93" s="77"/>
      <c r="IV93" s="48"/>
      <c r="IW93" s="74"/>
      <c r="IX93" s="56"/>
      <c r="IY93" s="77"/>
      <c r="IZ93" s="48"/>
      <c r="JA93" s="74"/>
      <c r="JB93" s="56"/>
      <c r="JC93" s="77"/>
      <c r="JD93" s="48"/>
      <c r="JE93" s="74"/>
      <c r="JF93" s="56"/>
      <c r="JG93" s="80"/>
      <c r="JH93" s="48"/>
      <c r="JI93" s="74"/>
      <c r="JJ93" s="56"/>
      <c r="JK93" s="81"/>
      <c r="JL93" s="48"/>
      <c r="JM93" s="54"/>
      <c r="JN93" s="54"/>
    </row>
    <row r="94" spans="1:274" s="113" customFormat="1">
      <c r="A94" s="249"/>
      <c r="B94" s="114"/>
      <c r="C94" s="114"/>
      <c r="D94" s="249"/>
      <c r="E94" s="36">
        <v>89</v>
      </c>
      <c r="F94" s="131">
        <v>2</v>
      </c>
      <c r="G94" s="132">
        <v>9607310110</v>
      </c>
      <c r="H94" s="133" t="s">
        <v>128</v>
      </c>
      <c r="I94" s="220">
        <f>3750.64/11</f>
        <v>340.9672727272727</v>
      </c>
      <c r="J94" s="119"/>
      <c r="K94" s="119"/>
      <c r="L94" s="119"/>
      <c r="M94" s="134"/>
      <c r="N94" s="134"/>
      <c r="O94" s="135"/>
      <c r="P94" s="135"/>
      <c r="Q94" s="130"/>
      <c r="R94" s="130"/>
      <c r="S94" s="135"/>
      <c r="T94" s="135"/>
      <c r="U94" s="130"/>
      <c r="V94" s="130"/>
      <c r="W94" s="135"/>
      <c r="X94" s="135"/>
      <c r="Y94" s="130"/>
      <c r="Z94" s="130"/>
      <c r="AA94" s="130"/>
      <c r="AB94" s="135"/>
      <c r="AC94" s="130"/>
      <c r="AD94" s="130"/>
      <c r="AE94" s="135"/>
      <c r="AF94" s="135"/>
      <c r="AG94" s="130"/>
      <c r="AH94" s="130"/>
      <c r="AI94" s="130"/>
      <c r="AJ94" s="135"/>
      <c r="AK94" s="130"/>
      <c r="AL94" s="136"/>
      <c r="AM94" s="137"/>
      <c r="AN94" s="130"/>
      <c r="AO94" s="130"/>
      <c r="AP94" s="136"/>
      <c r="AQ94" s="136"/>
      <c r="AR94" s="138"/>
      <c r="AS94" s="130"/>
      <c r="AT94" s="130"/>
      <c r="AU94" s="137"/>
      <c r="AV94" s="130"/>
      <c r="AW94" s="130"/>
      <c r="AX94" s="130"/>
      <c r="AY94" s="137"/>
      <c r="AZ94" s="130"/>
      <c r="BA94" s="130"/>
      <c r="BB94" s="130"/>
      <c r="BC94" s="139"/>
      <c r="BD94" s="130"/>
      <c r="BE94" s="130"/>
      <c r="BF94" s="130"/>
      <c r="BG94" s="140"/>
      <c r="BH94" s="130"/>
      <c r="BI94" s="141"/>
      <c r="BJ94" s="142"/>
      <c r="BK94" s="130"/>
      <c r="BL94" s="143"/>
      <c r="BM94" s="143"/>
      <c r="BN94" s="130"/>
      <c r="BO94" s="130"/>
      <c r="BP94" s="130"/>
      <c r="BQ94" s="143"/>
      <c r="BR94" s="143"/>
      <c r="BS94" s="130"/>
      <c r="BT94" s="130"/>
      <c r="BU94" s="130"/>
      <c r="BV94" s="143"/>
      <c r="BW94" s="143"/>
      <c r="BX94" s="130"/>
      <c r="BY94" s="130"/>
      <c r="BZ94" s="130"/>
      <c r="CA94" s="143"/>
      <c r="CB94" s="143"/>
      <c r="CC94" s="130"/>
      <c r="CD94" s="130"/>
      <c r="CE94" s="130"/>
      <c r="CF94" s="143"/>
      <c r="CG94" s="143"/>
      <c r="CH94" s="77"/>
      <c r="CI94" s="128"/>
      <c r="CJ94" s="74"/>
      <c r="CK94" s="107"/>
      <c r="CL94" s="129"/>
      <c r="CM94" s="77">
        <v>44</v>
      </c>
      <c r="CN94" s="130"/>
      <c r="CO94" s="74"/>
      <c r="CP94" s="107"/>
      <c r="CQ94" s="108"/>
      <c r="CR94" s="77"/>
      <c r="CS94" s="48"/>
      <c r="CT94" s="74"/>
      <c r="CU94" s="107"/>
      <c r="CV94" s="108"/>
      <c r="CW94" s="77"/>
      <c r="CX94" s="48"/>
      <c r="CY94" s="74"/>
      <c r="CZ94" s="107"/>
      <c r="DA94" s="108"/>
      <c r="DB94" s="77"/>
      <c r="DC94" s="48"/>
      <c r="DD94" s="74"/>
      <c r="DE94" s="107"/>
      <c r="DF94" s="108"/>
      <c r="DG94" s="77"/>
      <c r="DH94" s="48"/>
      <c r="DI94" s="74"/>
      <c r="DJ94" s="107"/>
      <c r="DK94" s="108"/>
      <c r="DL94" s="80"/>
      <c r="DM94" s="48"/>
      <c r="DN94" s="74"/>
      <c r="DO94" s="107"/>
      <c r="DP94" s="108"/>
      <c r="DQ94" s="81"/>
      <c r="DR94" s="48"/>
      <c r="DS94" s="54"/>
      <c r="DT94" s="54"/>
      <c r="DU94" s="74"/>
      <c r="DV94" s="56"/>
      <c r="DW94" s="76"/>
      <c r="DX94" s="75"/>
      <c r="DY94" s="74"/>
      <c r="DZ94" s="56"/>
      <c r="EA94" s="76"/>
      <c r="EB94" s="75"/>
      <c r="EC94" s="74"/>
      <c r="ED94" s="74"/>
      <c r="EE94" s="76"/>
      <c r="EF94" s="75"/>
      <c r="EG94" s="74"/>
      <c r="EH94" s="74"/>
      <c r="EI94" s="76"/>
      <c r="EJ94" s="42"/>
      <c r="EK94" s="74"/>
      <c r="EL94" s="48"/>
      <c r="EM94" s="77">
        <v>10</v>
      </c>
      <c r="EN94" s="75"/>
      <c r="EO94" s="74"/>
      <c r="EP94" s="48"/>
      <c r="EQ94" s="77"/>
      <c r="ER94" s="62"/>
      <c r="ES94" s="74"/>
      <c r="ET94" s="48"/>
      <c r="EU94" s="77"/>
      <c r="EV94" s="48"/>
      <c r="EW94" s="74"/>
      <c r="EX94" s="48"/>
      <c r="EY94" s="77"/>
      <c r="EZ94" s="48"/>
      <c r="FA94" s="74"/>
      <c r="FB94" s="48"/>
      <c r="FC94" s="77"/>
      <c r="FD94" s="48"/>
      <c r="FE94" s="74"/>
      <c r="FF94" s="48"/>
      <c r="FG94" s="77"/>
      <c r="FH94" s="48"/>
      <c r="FI94" s="74"/>
      <c r="FJ94" s="48"/>
      <c r="FK94" s="80"/>
      <c r="FL94" s="48"/>
      <c r="FM94" s="74"/>
      <c r="FN94" s="48"/>
      <c r="FO94" s="81"/>
      <c r="FP94" s="48"/>
      <c r="FQ94" s="54"/>
      <c r="FR94" s="54"/>
      <c r="FS94" s="74"/>
      <c r="FT94" s="56"/>
      <c r="FU94" s="76"/>
      <c r="FV94" s="75"/>
      <c r="FW94" s="74"/>
      <c r="FX94" s="56"/>
      <c r="FY94" s="76"/>
      <c r="FZ94" s="75"/>
      <c r="GA94" s="74"/>
      <c r="GB94" s="56"/>
      <c r="GC94" s="76"/>
      <c r="GD94" s="75"/>
      <c r="GE94" s="74"/>
      <c r="GF94" s="56"/>
      <c r="GG94" s="76"/>
      <c r="GH94" s="42"/>
      <c r="GI94" s="74"/>
      <c r="GJ94" s="56"/>
      <c r="GK94" s="77"/>
      <c r="GL94" s="75"/>
      <c r="GM94" s="74"/>
      <c r="GN94" s="56"/>
      <c r="GO94" s="77"/>
      <c r="GP94" s="62"/>
      <c r="GQ94" s="74"/>
      <c r="GR94" s="56"/>
      <c r="GS94" s="77"/>
      <c r="GT94" s="48"/>
      <c r="GU94" s="74"/>
      <c r="GV94" s="56"/>
      <c r="GW94" s="77"/>
      <c r="GX94" s="48"/>
      <c r="GY94" s="74"/>
      <c r="GZ94" s="56"/>
      <c r="HA94" s="77"/>
      <c r="HB94" s="48"/>
      <c r="HC94" s="74"/>
      <c r="HD94" s="56"/>
      <c r="HE94" s="77"/>
      <c r="HF94" s="48"/>
      <c r="HG94" s="74"/>
      <c r="HH94" s="56"/>
      <c r="HI94" s="80"/>
      <c r="HJ94" s="48"/>
      <c r="HK94" s="74"/>
      <c r="HL94" s="56"/>
      <c r="HM94" s="81"/>
      <c r="HN94" s="48"/>
      <c r="HO94" s="54"/>
      <c r="HP94" s="54"/>
      <c r="HQ94" s="74"/>
      <c r="HR94" s="56"/>
      <c r="HS94" s="76"/>
      <c r="HT94" s="75"/>
      <c r="HU94" s="74"/>
      <c r="HV94" s="56"/>
      <c r="HW94" s="76"/>
      <c r="HX94" s="75"/>
      <c r="HY94" s="74"/>
      <c r="HZ94" s="56"/>
      <c r="IA94" s="76"/>
      <c r="IB94" s="75"/>
      <c r="IC94" s="74"/>
      <c r="ID94" s="56"/>
      <c r="IE94" s="76"/>
      <c r="IF94" s="42"/>
      <c r="IG94" s="74"/>
      <c r="IH94" s="56"/>
      <c r="II94" s="77"/>
      <c r="IJ94" s="75"/>
      <c r="IK94" s="74"/>
      <c r="IL94" s="56"/>
      <c r="IM94" s="77"/>
      <c r="IN94" s="62"/>
      <c r="IO94" s="74"/>
      <c r="IP94" s="56"/>
      <c r="IQ94" s="77"/>
      <c r="IR94" s="48"/>
      <c r="IS94" s="74"/>
      <c r="IT94" s="56"/>
      <c r="IU94" s="77"/>
      <c r="IV94" s="48"/>
      <c r="IW94" s="74"/>
      <c r="IX94" s="56"/>
      <c r="IY94" s="77"/>
      <c r="IZ94" s="48"/>
      <c r="JA94" s="74"/>
      <c r="JB94" s="56"/>
      <c r="JC94" s="77"/>
      <c r="JD94" s="48"/>
      <c r="JE94" s="74"/>
      <c r="JF94" s="56"/>
      <c r="JG94" s="80"/>
      <c r="JH94" s="48"/>
      <c r="JI94" s="74"/>
      <c r="JJ94" s="56"/>
      <c r="JK94" s="81"/>
      <c r="JL94" s="48"/>
      <c r="JM94" s="54"/>
      <c r="JN94" s="54"/>
    </row>
    <row r="95" spans="1:274" s="113" customFormat="1">
      <c r="A95" s="249"/>
      <c r="B95" s="114"/>
      <c r="C95" s="114"/>
      <c r="D95" s="249"/>
      <c r="E95" s="36">
        <v>90</v>
      </c>
      <c r="F95" s="131">
        <v>2</v>
      </c>
      <c r="G95" s="132">
        <v>8946000742</v>
      </c>
      <c r="H95" s="133" t="s">
        <v>129</v>
      </c>
      <c r="I95" s="220">
        <f>1341.83/11</f>
        <v>121.98454545454545</v>
      </c>
      <c r="J95" s="119"/>
      <c r="K95" s="119"/>
      <c r="L95" s="119"/>
      <c r="M95" s="134"/>
      <c r="N95" s="134"/>
      <c r="O95" s="135"/>
      <c r="P95" s="135"/>
      <c r="Q95" s="130"/>
      <c r="R95" s="130"/>
      <c r="S95" s="135"/>
      <c r="T95" s="135"/>
      <c r="U95" s="130"/>
      <c r="V95" s="130"/>
      <c r="W95" s="135"/>
      <c r="X95" s="135"/>
      <c r="Y95" s="130"/>
      <c r="Z95" s="130"/>
      <c r="AA95" s="130"/>
      <c r="AB95" s="135"/>
      <c r="AC95" s="130"/>
      <c r="AD95" s="130"/>
      <c r="AE95" s="135"/>
      <c r="AF95" s="135"/>
      <c r="AG95" s="130"/>
      <c r="AH95" s="130"/>
      <c r="AI95" s="130"/>
      <c r="AJ95" s="135"/>
      <c r="AK95" s="130"/>
      <c r="AL95" s="136"/>
      <c r="AM95" s="137"/>
      <c r="AN95" s="130"/>
      <c r="AO95" s="130"/>
      <c r="AP95" s="136"/>
      <c r="AQ95" s="136"/>
      <c r="AR95" s="138"/>
      <c r="AS95" s="130"/>
      <c r="AT95" s="130"/>
      <c r="AU95" s="137"/>
      <c r="AV95" s="130"/>
      <c r="AW95" s="130"/>
      <c r="AX95" s="130"/>
      <c r="AY95" s="137"/>
      <c r="AZ95" s="130"/>
      <c r="BA95" s="130"/>
      <c r="BB95" s="130"/>
      <c r="BC95" s="139"/>
      <c r="BD95" s="130"/>
      <c r="BE95" s="130"/>
      <c r="BF95" s="130"/>
      <c r="BG95" s="140"/>
      <c r="BH95" s="130"/>
      <c r="BI95" s="141"/>
      <c r="BJ95" s="142"/>
      <c r="BK95" s="130"/>
      <c r="BL95" s="143"/>
      <c r="BM95" s="143"/>
      <c r="BN95" s="130"/>
      <c r="BO95" s="130"/>
      <c r="BP95" s="130"/>
      <c r="BQ95" s="143"/>
      <c r="BR95" s="143"/>
      <c r="BS95" s="130"/>
      <c r="BT95" s="130"/>
      <c r="BU95" s="130"/>
      <c r="BV95" s="143"/>
      <c r="BW95" s="143"/>
      <c r="BX95" s="130"/>
      <c r="BY95" s="130"/>
      <c r="BZ95" s="130"/>
      <c r="CA95" s="143"/>
      <c r="CB95" s="143"/>
      <c r="CC95" s="130"/>
      <c r="CD95" s="130"/>
      <c r="CE95" s="130"/>
      <c r="CF95" s="143"/>
      <c r="CG95" s="143"/>
      <c r="CH95" s="77"/>
      <c r="CI95" s="128"/>
      <c r="CJ95" s="74"/>
      <c r="CK95" s="107"/>
      <c r="CL95" s="129"/>
      <c r="CM95" s="77">
        <v>10</v>
      </c>
      <c r="CN95" s="130"/>
      <c r="CO95" s="74"/>
      <c r="CP95" s="107"/>
      <c r="CQ95" s="108"/>
      <c r="CR95" s="77"/>
      <c r="CS95" s="48"/>
      <c r="CT95" s="74"/>
      <c r="CU95" s="107"/>
      <c r="CV95" s="108"/>
      <c r="CW95" s="77"/>
      <c r="CX95" s="48"/>
      <c r="CY95" s="74"/>
      <c r="CZ95" s="107"/>
      <c r="DA95" s="108"/>
      <c r="DB95" s="77"/>
      <c r="DC95" s="48"/>
      <c r="DD95" s="74"/>
      <c r="DE95" s="107"/>
      <c r="DF95" s="108"/>
      <c r="DG95" s="77">
        <v>1</v>
      </c>
      <c r="DH95" s="48"/>
      <c r="DI95" s="74"/>
      <c r="DJ95" s="107"/>
      <c r="DK95" s="108"/>
      <c r="DL95" s="80"/>
      <c r="DM95" s="48"/>
      <c r="DN95" s="74"/>
      <c r="DO95" s="107"/>
      <c r="DP95" s="108"/>
      <c r="DQ95" s="81"/>
      <c r="DR95" s="48"/>
      <c r="DS95" s="54"/>
      <c r="DT95" s="54"/>
      <c r="DU95" s="74"/>
      <c r="DV95" s="56"/>
      <c r="DW95" s="76"/>
      <c r="DX95" s="75"/>
      <c r="DY95" s="74"/>
      <c r="DZ95" s="56"/>
      <c r="EA95" s="76"/>
      <c r="EB95" s="75"/>
      <c r="EC95" s="74"/>
      <c r="ED95" s="74"/>
      <c r="EE95" s="76"/>
      <c r="EF95" s="75"/>
      <c r="EG95" s="74"/>
      <c r="EH95" s="74"/>
      <c r="EI95" s="76"/>
      <c r="EJ95" s="42"/>
      <c r="EK95" s="74"/>
      <c r="EL95" s="48"/>
      <c r="EM95" s="77">
        <v>3</v>
      </c>
      <c r="EN95" s="75"/>
      <c r="EO95" s="74"/>
      <c r="EP95" s="48"/>
      <c r="EQ95" s="77"/>
      <c r="ER95" s="62"/>
      <c r="ES95" s="74"/>
      <c r="ET95" s="48"/>
      <c r="EU95" s="77"/>
      <c r="EV95" s="48"/>
      <c r="EW95" s="74"/>
      <c r="EX95" s="48"/>
      <c r="EY95" s="77"/>
      <c r="EZ95" s="48"/>
      <c r="FA95" s="74"/>
      <c r="FB95" s="48"/>
      <c r="FC95" s="77"/>
      <c r="FD95" s="48"/>
      <c r="FE95" s="74"/>
      <c r="FF95" s="48"/>
      <c r="FG95" s="77"/>
      <c r="FH95" s="48"/>
      <c r="FI95" s="74"/>
      <c r="FJ95" s="48"/>
      <c r="FK95" s="80"/>
      <c r="FL95" s="48"/>
      <c r="FM95" s="74"/>
      <c r="FN95" s="48"/>
      <c r="FO95" s="81"/>
      <c r="FP95" s="48"/>
      <c r="FQ95" s="54"/>
      <c r="FR95" s="54"/>
      <c r="FS95" s="74"/>
      <c r="FT95" s="56"/>
      <c r="FU95" s="76"/>
      <c r="FV95" s="75"/>
      <c r="FW95" s="74"/>
      <c r="FX95" s="56"/>
      <c r="FY95" s="76"/>
      <c r="FZ95" s="75"/>
      <c r="GA95" s="74"/>
      <c r="GB95" s="56"/>
      <c r="GC95" s="76"/>
      <c r="GD95" s="75"/>
      <c r="GE95" s="74"/>
      <c r="GF95" s="56"/>
      <c r="GG95" s="76"/>
      <c r="GH95" s="42"/>
      <c r="GI95" s="74"/>
      <c r="GJ95" s="56"/>
      <c r="GK95" s="77"/>
      <c r="GL95" s="75"/>
      <c r="GM95" s="74"/>
      <c r="GN95" s="56"/>
      <c r="GO95" s="77"/>
      <c r="GP95" s="62"/>
      <c r="GQ95" s="74"/>
      <c r="GR95" s="56"/>
      <c r="GS95" s="77"/>
      <c r="GT95" s="48"/>
      <c r="GU95" s="74"/>
      <c r="GV95" s="56"/>
      <c r="GW95" s="77"/>
      <c r="GX95" s="48"/>
      <c r="GY95" s="74"/>
      <c r="GZ95" s="56"/>
      <c r="HA95" s="77"/>
      <c r="HB95" s="48"/>
      <c r="HC95" s="74"/>
      <c r="HD95" s="56"/>
      <c r="HE95" s="77"/>
      <c r="HF95" s="48"/>
      <c r="HG95" s="74"/>
      <c r="HH95" s="56"/>
      <c r="HI95" s="80"/>
      <c r="HJ95" s="48"/>
      <c r="HK95" s="74"/>
      <c r="HL95" s="56"/>
      <c r="HM95" s="81"/>
      <c r="HN95" s="48"/>
      <c r="HO95" s="54"/>
      <c r="HP95" s="54"/>
      <c r="HQ95" s="74"/>
      <c r="HR95" s="56"/>
      <c r="HS95" s="76"/>
      <c r="HT95" s="75"/>
      <c r="HU95" s="74"/>
      <c r="HV95" s="56"/>
      <c r="HW95" s="76"/>
      <c r="HX95" s="75"/>
      <c r="HY95" s="74"/>
      <c r="HZ95" s="56"/>
      <c r="IA95" s="76"/>
      <c r="IB95" s="75"/>
      <c r="IC95" s="74"/>
      <c r="ID95" s="56"/>
      <c r="IE95" s="76"/>
      <c r="IF95" s="42"/>
      <c r="IG95" s="74"/>
      <c r="IH95" s="56"/>
      <c r="II95" s="77"/>
      <c r="IJ95" s="75"/>
      <c r="IK95" s="74"/>
      <c r="IL95" s="56"/>
      <c r="IM95" s="77"/>
      <c r="IN95" s="62"/>
      <c r="IO95" s="74"/>
      <c r="IP95" s="56"/>
      <c r="IQ95" s="77"/>
      <c r="IR95" s="48"/>
      <c r="IS95" s="74"/>
      <c r="IT95" s="56"/>
      <c r="IU95" s="77"/>
      <c r="IV95" s="48"/>
      <c r="IW95" s="74"/>
      <c r="IX95" s="56"/>
      <c r="IY95" s="77"/>
      <c r="IZ95" s="48"/>
      <c r="JA95" s="74"/>
      <c r="JB95" s="56"/>
      <c r="JC95" s="77"/>
      <c r="JD95" s="48"/>
      <c r="JE95" s="74"/>
      <c r="JF95" s="56"/>
      <c r="JG95" s="80"/>
      <c r="JH95" s="48"/>
      <c r="JI95" s="74"/>
      <c r="JJ95" s="56"/>
      <c r="JK95" s="81"/>
      <c r="JL95" s="48"/>
      <c r="JM95" s="54"/>
      <c r="JN95" s="54"/>
    </row>
    <row r="96" spans="1:274" s="113" customFormat="1">
      <c r="A96" s="249"/>
      <c r="B96" s="114"/>
      <c r="C96" s="114"/>
      <c r="D96" s="249"/>
      <c r="E96" s="36">
        <v>91</v>
      </c>
      <c r="F96" s="131">
        <v>2</v>
      </c>
      <c r="G96" s="132">
        <v>4499271200</v>
      </c>
      <c r="H96" s="133" t="s">
        <v>113</v>
      </c>
      <c r="I96" s="220">
        <f>3194.28/11</f>
        <v>290.38909090909095</v>
      </c>
      <c r="J96" s="119"/>
      <c r="K96" s="119"/>
      <c r="L96" s="119"/>
      <c r="M96" s="134"/>
      <c r="N96" s="134"/>
      <c r="O96" s="135"/>
      <c r="P96" s="135"/>
      <c r="Q96" s="130"/>
      <c r="R96" s="130"/>
      <c r="S96" s="135"/>
      <c r="T96" s="135"/>
      <c r="U96" s="130"/>
      <c r="V96" s="130"/>
      <c r="W96" s="135"/>
      <c r="X96" s="135"/>
      <c r="Y96" s="130"/>
      <c r="Z96" s="130"/>
      <c r="AA96" s="130"/>
      <c r="AB96" s="135"/>
      <c r="AC96" s="130"/>
      <c r="AD96" s="130"/>
      <c r="AE96" s="135"/>
      <c r="AF96" s="135"/>
      <c r="AG96" s="130"/>
      <c r="AH96" s="130"/>
      <c r="AI96" s="130"/>
      <c r="AJ96" s="135"/>
      <c r="AK96" s="130"/>
      <c r="AL96" s="136"/>
      <c r="AM96" s="137"/>
      <c r="AN96" s="130"/>
      <c r="AO96" s="130"/>
      <c r="AP96" s="136"/>
      <c r="AQ96" s="136"/>
      <c r="AR96" s="138"/>
      <c r="AS96" s="130"/>
      <c r="AT96" s="130"/>
      <c r="AU96" s="137"/>
      <c r="AV96" s="130"/>
      <c r="AW96" s="130"/>
      <c r="AX96" s="130"/>
      <c r="AY96" s="137"/>
      <c r="AZ96" s="130"/>
      <c r="BA96" s="130"/>
      <c r="BB96" s="130"/>
      <c r="BC96" s="139"/>
      <c r="BD96" s="130"/>
      <c r="BE96" s="130"/>
      <c r="BF96" s="130"/>
      <c r="BG96" s="140"/>
      <c r="BH96" s="130"/>
      <c r="BI96" s="141"/>
      <c r="BJ96" s="142"/>
      <c r="BK96" s="130"/>
      <c r="BL96" s="143"/>
      <c r="BM96" s="143"/>
      <c r="BN96" s="130"/>
      <c r="BO96" s="130"/>
      <c r="BP96" s="130"/>
      <c r="BQ96" s="143"/>
      <c r="BR96" s="143"/>
      <c r="BS96" s="130"/>
      <c r="BT96" s="130"/>
      <c r="BU96" s="130"/>
      <c r="BV96" s="143"/>
      <c r="BW96" s="143"/>
      <c r="BX96" s="130"/>
      <c r="BY96" s="130"/>
      <c r="BZ96" s="130"/>
      <c r="CA96" s="143"/>
      <c r="CB96" s="143"/>
      <c r="CC96" s="130"/>
      <c r="CD96" s="130"/>
      <c r="CE96" s="130"/>
      <c r="CF96" s="143"/>
      <c r="CG96" s="143"/>
      <c r="CH96" s="77"/>
      <c r="CI96" s="128"/>
      <c r="CJ96" s="74"/>
      <c r="CK96" s="107"/>
      <c r="CL96" s="129"/>
      <c r="CM96" s="77">
        <v>10</v>
      </c>
      <c r="CN96" s="130"/>
      <c r="CO96" s="74"/>
      <c r="CP96" s="107"/>
      <c r="CQ96" s="108"/>
      <c r="CR96" s="77"/>
      <c r="CS96" s="48"/>
      <c r="CT96" s="74"/>
      <c r="CU96" s="107"/>
      <c r="CV96" s="108"/>
      <c r="CW96" s="77"/>
      <c r="CX96" s="48"/>
      <c r="CY96" s="74"/>
      <c r="CZ96" s="107"/>
      <c r="DA96" s="108"/>
      <c r="DB96" s="77"/>
      <c r="DC96" s="48"/>
      <c r="DD96" s="74"/>
      <c r="DE96" s="107"/>
      <c r="DF96" s="108"/>
      <c r="DG96" s="77"/>
      <c r="DH96" s="48"/>
      <c r="DI96" s="74"/>
      <c r="DJ96" s="107"/>
      <c r="DK96" s="108"/>
      <c r="DL96" s="80"/>
      <c r="DM96" s="48"/>
      <c r="DN96" s="74"/>
      <c r="DO96" s="107"/>
      <c r="DP96" s="108"/>
      <c r="DQ96" s="81"/>
      <c r="DR96" s="48"/>
      <c r="DS96" s="54"/>
      <c r="DT96" s="54"/>
      <c r="DU96" s="74"/>
      <c r="DV96" s="56"/>
      <c r="DW96" s="76"/>
      <c r="DX96" s="75"/>
      <c r="DY96" s="74"/>
      <c r="DZ96" s="56"/>
      <c r="EA96" s="76"/>
      <c r="EB96" s="75"/>
      <c r="EC96" s="74"/>
      <c r="ED96" s="74"/>
      <c r="EE96" s="76"/>
      <c r="EF96" s="75"/>
      <c r="EG96" s="74"/>
      <c r="EH96" s="74"/>
      <c r="EI96" s="76"/>
      <c r="EJ96" s="42"/>
      <c r="EK96" s="74"/>
      <c r="EL96" s="48"/>
      <c r="EM96" s="77"/>
      <c r="EN96" s="75"/>
      <c r="EO96" s="74"/>
      <c r="EP96" s="48"/>
      <c r="EQ96" s="77"/>
      <c r="ER96" s="62"/>
      <c r="ES96" s="74"/>
      <c r="ET96" s="48"/>
      <c r="EU96" s="77"/>
      <c r="EV96" s="48"/>
      <c r="EW96" s="74"/>
      <c r="EX96" s="48"/>
      <c r="EY96" s="77"/>
      <c r="EZ96" s="48"/>
      <c r="FA96" s="74"/>
      <c r="FB96" s="48"/>
      <c r="FC96" s="77"/>
      <c r="FD96" s="48"/>
      <c r="FE96" s="74"/>
      <c r="FF96" s="48"/>
      <c r="FG96" s="77"/>
      <c r="FH96" s="48"/>
      <c r="FI96" s="74"/>
      <c r="FJ96" s="48"/>
      <c r="FK96" s="80"/>
      <c r="FL96" s="48"/>
      <c r="FM96" s="74"/>
      <c r="FN96" s="48"/>
      <c r="FO96" s="81"/>
      <c r="FP96" s="48"/>
      <c r="FQ96" s="54"/>
      <c r="FR96" s="54"/>
      <c r="FS96" s="74"/>
      <c r="FT96" s="56"/>
      <c r="FU96" s="76"/>
      <c r="FV96" s="75"/>
      <c r="FW96" s="74"/>
      <c r="FX96" s="56"/>
      <c r="FY96" s="76"/>
      <c r="FZ96" s="75"/>
      <c r="GA96" s="74"/>
      <c r="GB96" s="56"/>
      <c r="GC96" s="76"/>
      <c r="GD96" s="75"/>
      <c r="GE96" s="74"/>
      <c r="GF96" s="56"/>
      <c r="GG96" s="76"/>
      <c r="GH96" s="42"/>
      <c r="GI96" s="74"/>
      <c r="GJ96" s="56"/>
      <c r="GK96" s="77"/>
      <c r="GL96" s="75"/>
      <c r="GM96" s="74"/>
      <c r="GN96" s="56"/>
      <c r="GO96" s="77"/>
      <c r="GP96" s="62"/>
      <c r="GQ96" s="74"/>
      <c r="GR96" s="56"/>
      <c r="GS96" s="77"/>
      <c r="GT96" s="48"/>
      <c r="GU96" s="74"/>
      <c r="GV96" s="56"/>
      <c r="GW96" s="77"/>
      <c r="GX96" s="48"/>
      <c r="GY96" s="74"/>
      <c r="GZ96" s="56"/>
      <c r="HA96" s="77"/>
      <c r="HB96" s="48"/>
      <c r="HC96" s="74"/>
      <c r="HD96" s="56"/>
      <c r="HE96" s="77"/>
      <c r="HF96" s="48"/>
      <c r="HG96" s="74"/>
      <c r="HH96" s="56"/>
      <c r="HI96" s="80"/>
      <c r="HJ96" s="48"/>
      <c r="HK96" s="74"/>
      <c r="HL96" s="56"/>
      <c r="HM96" s="81"/>
      <c r="HN96" s="48"/>
      <c r="HO96" s="54"/>
      <c r="HP96" s="54"/>
      <c r="HQ96" s="74"/>
      <c r="HR96" s="56"/>
      <c r="HS96" s="76"/>
      <c r="HT96" s="75"/>
      <c r="HU96" s="74"/>
      <c r="HV96" s="56"/>
      <c r="HW96" s="76"/>
      <c r="HX96" s="75"/>
      <c r="HY96" s="74"/>
      <c r="HZ96" s="56"/>
      <c r="IA96" s="76"/>
      <c r="IB96" s="75"/>
      <c r="IC96" s="74"/>
      <c r="ID96" s="56"/>
      <c r="IE96" s="76"/>
      <c r="IF96" s="42"/>
      <c r="IG96" s="74"/>
      <c r="IH96" s="56"/>
      <c r="II96" s="77"/>
      <c r="IJ96" s="75"/>
      <c r="IK96" s="74"/>
      <c r="IL96" s="56"/>
      <c r="IM96" s="77"/>
      <c r="IN96" s="62"/>
      <c r="IO96" s="74"/>
      <c r="IP96" s="56"/>
      <c r="IQ96" s="77"/>
      <c r="IR96" s="48"/>
      <c r="IS96" s="74"/>
      <c r="IT96" s="56"/>
      <c r="IU96" s="77"/>
      <c r="IV96" s="48"/>
      <c r="IW96" s="74"/>
      <c r="IX96" s="56"/>
      <c r="IY96" s="77"/>
      <c r="IZ96" s="48"/>
      <c r="JA96" s="74"/>
      <c r="JB96" s="56"/>
      <c r="JC96" s="77"/>
      <c r="JD96" s="48"/>
      <c r="JE96" s="74"/>
      <c r="JF96" s="56"/>
      <c r="JG96" s="80"/>
      <c r="JH96" s="48"/>
      <c r="JI96" s="74"/>
      <c r="JJ96" s="56"/>
      <c r="JK96" s="81"/>
      <c r="JL96" s="48"/>
      <c r="JM96" s="54"/>
      <c r="JN96" s="54"/>
    </row>
    <row r="97" spans="1:274" s="113" customFormat="1">
      <c r="A97" s="249"/>
      <c r="B97" s="114"/>
      <c r="C97" s="114"/>
      <c r="D97" s="249"/>
      <c r="E97" s="36">
        <v>92</v>
      </c>
      <c r="F97" s="131">
        <v>2</v>
      </c>
      <c r="G97" s="132">
        <v>4640023307</v>
      </c>
      <c r="H97" s="133" t="s">
        <v>117</v>
      </c>
      <c r="I97" s="220">
        <f>3545.31/11</f>
        <v>322.3009090909091</v>
      </c>
      <c r="J97" s="119"/>
      <c r="K97" s="119"/>
      <c r="L97" s="119"/>
      <c r="M97" s="134"/>
      <c r="N97" s="134"/>
      <c r="O97" s="135"/>
      <c r="P97" s="135"/>
      <c r="Q97" s="130"/>
      <c r="R97" s="130"/>
      <c r="S97" s="135"/>
      <c r="T97" s="135"/>
      <c r="U97" s="130"/>
      <c r="V97" s="130"/>
      <c r="W97" s="135"/>
      <c r="X97" s="135"/>
      <c r="Y97" s="130"/>
      <c r="Z97" s="130"/>
      <c r="AA97" s="130"/>
      <c r="AB97" s="135"/>
      <c r="AC97" s="130"/>
      <c r="AD97" s="130"/>
      <c r="AE97" s="135"/>
      <c r="AF97" s="135"/>
      <c r="AG97" s="130"/>
      <c r="AH97" s="130"/>
      <c r="AI97" s="130"/>
      <c r="AJ97" s="135"/>
      <c r="AK97" s="130"/>
      <c r="AL97" s="136"/>
      <c r="AM97" s="137"/>
      <c r="AN97" s="130"/>
      <c r="AO97" s="130"/>
      <c r="AP97" s="136"/>
      <c r="AQ97" s="136"/>
      <c r="AR97" s="138"/>
      <c r="AS97" s="130"/>
      <c r="AT97" s="130"/>
      <c r="AU97" s="137"/>
      <c r="AV97" s="130"/>
      <c r="AW97" s="130"/>
      <c r="AX97" s="130"/>
      <c r="AY97" s="137"/>
      <c r="AZ97" s="130"/>
      <c r="BA97" s="130"/>
      <c r="BB97" s="130"/>
      <c r="BC97" s="139"/>
      <c r="BD97" s="130"/>
      <c r="BE97" s="130"/>
      <c r="BF97" s="130"/>
      <c r="BG97" s="140"/>
      <c r="BH97" s="130"/>
      <c r="BI97" s="141"/>
      <c r="BJ97" s="142"/>
      <c r="BK97" s="130"/>
      <c r="BL97" s="143"/>
      <c r="BM97" s="143"/>
      <c r="BN97" s="130"/>
      <c r="BO97" s="130"/>
      <c r="BP97" s="130"/>
      <c r="BQ97" s="143"/>
      <c r="BR97" s="143"/>
      <c r="BS97" s="130"/>
      <c r="BT97" s="130"/>
      <c r="BU97" s="130"/>
      <c r="BV97" s="143"/>
      <c r="BW97" s="143"/>
      <c r="BX97" s="130"/>
      <c r="BY97" s="130"/>
      <c r="BZ97" s="130"/>
      <c r="CA97" s="143"/>
      <c r="CB97" s="143"/>
      <c r="CC97" s="130"/>
      <c r="CD97" s="130"/>
      <c r="CE97" s="130"/>
      <c r="CF97" s="143"/>
      <c r="CG97" s="143"/>
      <c r="CH97" s="77"/>
      <c r="CI97" s="128"/>
      <c r="CJ97" s="74"/>
      <c r="CK97" s="107"/>
      <c r="CL97" s="129"/>
      <c r="CM97" s="77">
        <v>10</v>
      </c>
      <c r="CN97" s="130"/>
      <c r="CO97" s="74"/>
      <c r="CP97" s="107"/>
      <c r="CQ97" s="108"/>
      <c r="CR97" s="77"/>
      <c r="CS97" s="48"/>
      <c r="CT97" s="74"/>
      <c r="CU97" s="107"/>
      <c r="CV97" s="108"/>
      <c r="CW97" s="77"/>
      <c r="CX97" s="48"/>
      <c r="CY97" s="74"/>
      <c r="CZ97" s="107"/>
      <c r="DA97" s="108"/>
      <c r="DB97" s="77"/>
      <c r="DC97" s="48"/>
      <c r="DD97" s="74"/>
      <c r="DE97" s="107"/>
      <c r="DF97" s="108"/>
      <c r="DG97" s="77"/>
      <c r="DH97" s="48"/>
      <c r="DI97" s="74"/>
      <c r="DJ97" s="107"/>
      <c r="DK97" s="108"/>
      <c r="DL97" s="80"/>
      <c r="DM97" s="48"/>
      <c r="DN97" s="74"/>
      <c r="DO97" s="107"/>
      <c r="DP97" s="108"/>
      <c r="DQ97" s="81"/>
      <c r="DR97" s="48"/>
      <c r="DS97" s="54"/>
      <c r="DT97" s="54"/>
      <c r="DU97" s="74"/>
      <c r="DV97" s="56"/>
      <c r="DW97" s="76"/>
      <c r="DX97" s="75"/>
      <c r="DY97" s="74"/>
      <c r="DZ97" s="56"/>
      <c r="EA97" s="76">
        <v>1</v>
      </c>
      <c r="EB97" s="75"/>
      <c r="EC97" s="74"/>
      <c r="ED97" s="74"/>
      <c r="EE97" s="76"/>
      <c r="EF97" s="75"/>
      <c r="EG97" s="74"/>
      <c r="EH97" s="74"/>
      <c r="EI97" s="76">
        <v>3</v>
      </c>
      <c r="EJ97" s="42"/>
      <c r="EK97" s="74"/>
      <c r="EL97" s="48"/>
      <c r="EM97" s="77"/>
      <c r="EN97" s="75"/>
      <c r="EO97" s="74"/>
      <c r="EP97" s="48"/>
      <c r="EQ97" s="77"/>
      <c r="ER97" s="62"/>
      <c r="ES97" s="74"/>
      <c r="ET97" s="48"/>
      <c r="EU97" s="77"/>
      <c r="EV97" s="48"/>
      <c r="EW97" s="74"/>
      <c r="EX97" s="48"/>
      <c r="EY97" s="77"/>
      <c r="EZ97" s="48"/>
      <c r="FA97" s="74"/>
      <c r="FB97" s="48"/>
      <c r="FC97" s="77"/>
      <c r="FD97" s="48"/>
      <c r="FE97" s="74"/>
      <c r="FF97" s="48"/>
      <c r="FG97" s="77"/>
      <c r="FH97" s="48"/>
      <c r="FI97" s="74"/>
      <c r="FJ97" s="48"/>
      <c r="FK97" s="80"/>
      <c r="FL97" s="48"/>
      <c r="FM97" s="74"/>
      <c r="FN97" s="48"/>
      <c r="FO97" s="81"/>
      <c r="FP97" s="48"/>
      <c r="FQ97" s="54"/>
      <c r="FR97" s="54"/>
      <c r="FS97" s="74"/>
      <c r="FT97" s="56"/>
      <c r="FU97" s="76"/>
      <c r="FV97" s="75"/>
      <c r="FW97" s="74"/>
      <c r="FX97" s="56"/>
      <c r="FY97" s="76"/>
      <c r="FZ97" s="75"/>
      <c r="GA97" s="74"/>
      <c r="GB97" s="56"/>
      <c r="GC97" s="76"/>
      <c r="GD97" s="75"/>
      <c r="GE97" s="74"/>
      <c r="GF97" s="56"/>
      <c r="GG97" s="76"/>
      <c r="GH97" s="42"/>
      <c r="GI97" s="74"/>
      <c r="GJ97" s="56"/>
      <c r="GK97" s="77"/>
      <c r="GL97" s="75"/>
      <c r="GM97" s="74"/>
      <c r="GN97" s="56"/>
      <c r="GO97" s="77"/>
      <c r="GP97" s="62"/>
      <c r="GQ97" s="74"/>
      <c r="GR97" s="56"/>
      <c r="GS97" s="77"/>
      <c r="GT97" s="48"/>
      <c r="GU97" s="74"/>
      <c r="GV97" s="56"/>
      <c r="GW97" s="77"/>
      <c r="GX97" s="48"/>
      <c r="GY97" s="74"/>
      <c r="GZ97" s="56"/>
      <c r="HA97" s="77"/>
      <c r="HB97" s="48"/>
      <c r="HC97" s="74"/>
      <c r="HD97" s="56"/>
      <c r="HE97" s="77"/>
      <c r="HF97" s="48"/>
      <c r="HG97" s="74"/>
      <c r="HH97" s="56"/>
      <c r="HI97" s="80"/>
      <c r="HJ97" s="48"/>
      <c r="HK97" s="74"/>
      <c r="HL97" s="56"/>
      <c r="HM97" s="81"/>
      <c r="HN97" s="48"/>
      <c r="HO97" s="54"/>
      <c r="HP97" s="54"/>
      <c r="HQ97" s="74"/>
      <c r="HR97" s="56"/>
      <c r="HS97" s="76"/>
      <c r="HT97" s="75"/>
      <c r="HU97" s="74"/>
      <c r="HV97" s="56"/>
      <c r="HW97" s="76"/>
      <c r="HX97" s="75"/>
      <c r="HY97" s="74"/>
      <c r="HZ97" s="56"/>
      <c r="IA97" s="76"/>
      <c r="IB97" s="75"/>
      <c r="IC97" s="74"/>
      <c r="ID97" s="56"/>
      <c r="IE97" s="76"/>
      <c r="IF97" s="42"/>
      <c r="IG97" s="74"/>
      <c r="IH97" s="56"/>
      <c r="II97" s="77"/>
      <c r="IJ97" s="75"/>
      <c r="IK97" s="74"/>
      <c r="IL97" s="56"/>
      <c r="IM97" s="77"/>
      <c r="IN97" s="62"/>
      <c r="IO97" s="74"/>
      <c r="IP97" s="56"/>
      <c r="IQ97" s="77"/>
      <c r="IR97" s="48"/>
      <c r="IS97" s="74"/>
      <c r="IT97" s="56"/>
      <c r="IU97" s="77"/>
      <c r="IV97" s="48"/>
      <c r="IW97" s="74"/>
      <c r="IX97" s="56"/>
      <c r="IY97" s="77"/>
      <c r="IZ97" s="48"/>
      <c r="JA97" s="74"/>
      <c r="JB97" s="56"/>
      <c r="JC97" s="77"/>
      <c r="JD97" s="48"/>
      <c r="JE97" s="74"/>
      <c r="JF97" s="56"/>
      <c r="JG97" s="80"/>
      <c r="JH97" s="48"/>
      <c r="JI97" s="74"/>
      <c r="JJ97" s="56"/>
      <c r="JK97" s="81"/>
      <c r="JL97" s="48"/>
      <c r="JM97" s="54"/>
      <c r="JN97" s="54"/>
    </row>
    <row r="98" spans="1:274" s="113" customFormat="1">
      <c r="A98" s="249"/>
      <c r="B98" s="114"/>
      <c r="C98" s="114"/>
      <c r="D98" s="249"/>
      <c r="E98" s="36">
        <v>93</v>
      </c>
      <c r="F98" s="144">
        <v>2</v>
      </c>
      <c r="G98" s="132">
        <v>4630903160</v>
      </c>
      <c r="H98" s="133" t="s">
        <v>130</v>
      </c>
      <c r="I98" s="220">
        <f>9990.82/11</f>
        <v>908.25636363636363</v>
      </c>
      <c r="J98" s="119"/>
      <c r="K98" s="119"/>
      <c r="L98" s="119"/>
      <c r="M98" s="134"/>
      <c r="N98" s="134"/>
      <c r="O98" s="135"/>
      <c r="P98" s="135"/>
      <c r="Q98" s="130"/>
      <c r="R98" s="130"/>
      <c r="S98" s="135"/>
      <c r="T98" s="135"/>
      <c r="U98" s="130"/>
      <c r="V98" s="130"/>
      <c r="W98" s="135"/>
      <c r="X98" s="135"/>
      <c r="Y98" s="130"/>
      <c r="Z98" s="130"/>
      <c r="AA98" s="130"/>
      <c r="AB98" s="135"/>
      <c r="AC98" s="130"/>
      <c r="AD98" s="130"/>
      <c r="AE98" s="135"/>
      <c r="AF98" s="135"/>
      <c r="AG98" s="130"/>
      <c r="AH98" s="130"/>
      <c r="AI98" s="130"/>
      <c r="AJ98" s="135"/>
      <c r="AK98" s="130"/>
      <c r="AL98" s="136"/>
      <c r="AM98" s="137"/>
      <c r="AN98" s="130"/>
      <c r="AO98" s="130"/>
      <c r="AP98" s="136"/>
      <c r="AQ98" s="136"/>
      <c r="AR98" s="138"/>
      <c r="AS98" s="130"/>
      <c r="AT98" s="130"/>
      <c r="AU98" s="137"/>
      <c r="AV98" s="130"/>
      <c r="AW98" s="130"/>
      <c r="AX98" s="130"/>
      <c r="AY98" s="137"/>
      <c r="AZ98" s="130"/>
      <c r="BA98" s="130"/>
      <c r="BB98" s="130"/>
      <c r="BC98" s="139"/>
      <c r="BD98" s="130"/>
      <c r="BE98" s="130"/>
      <c r="BF98" s="130"/>
      <c r="BG98" s="140"/>
      <c r="BH98" s="130"/>
      <c r="BI98" s="141"/>
      <c r="BJ98" s="142"/>
      <c r="BK98" s="130"/>
      <c r="BL98" s="143"/>
      <c r="BM98" s="143"/>
      <c r="BN98" s="130"/>
      <c r="BO98" s="130"/>
      <c r="BP98" s="130"/>
      <c r="BQ98" s="143"/>
      <c r="BR98" s="143"/>
      <c r="BS98" s="130"/>
      <c r="BT98" s="130"/>
      <c r="BU98" s="130"/>
      <c r="BV98" s="143"/>
      <c r="BW98" s="143"/>
      <c r="BX98" s="130"/>
      <c r="BY98" s="130"/>
      <c r="BZ98" s="130"/>
      <c r="CA98" s="143"/>
      <c r="CB98" s="143"/>
      <c r="CC98" s="130"/>
      <c r="CD98" s="130"/>
      <c r="CE98" s="130"/>
      <c r="CF98" s="143"/>
      <c r="CG98" s="143"/>
      <c r="CH98" s="77"/>
      <c r="CI98" s="128"/>
      <c r="CJ98" s="74"/>
      <c r="CK98" s="107"/>
      <c r="CL98" s="129"/>
      <c r="CM98" s="77">
        <v>2</v>
      </c>
      <c r="CN98" s="130"/>
      <c r="CO98" s="74"/>
      <c r="CP98" s="107"/>
      <c r="CQ98" s="108"/>
      <c r="CR98" s="77"/>
      <c r="CS98" s="48"/>
      <c r="CT98" s="74"/>
      <c r="CU98" s="107"/>
      <c r="CV98" s="108"/>
      <c r="CW98" s="77"/>
      <c r="CX98" s="48"/>
      <c r="CY98" s="74"/>
      <c r="CZ98" s="107"/>
      <c r="DA98" s="108"/>
      <c r="DB98" s="77"/>
      <c r="DC98" s="48"/>
      <c r="DD98" s="74"/>
      <c r="DE98" s="107"/>
      <c r="DF98" s="108"/>
      <c r="DG98" s="77">
        <v>1</v>
      </c>
      <c r="DH98" s="48"/>
      <c r="DI98" s="74"/>
      <c r="DJ98" s="107"/>
      <c r="DK98" s="108"/>
      <c r="DL98" s="80"/>
      <c r="DM98" s="48"/>
      <c r="DN98" s="74"/>
      <c r="DO98" s="107"/>
      <c r="DP98" s="108"/>
      <c r="DQ98" s="81"/>
      <c r="DR98" s="48"/>
      <c r="DS98" s="54"/>
      <c r="DT98" s="54"/>
      <c r="DU98" s="74"/>
      <c r="DV98" s="56"/>
      <c r="DW98" s="76"/>
      <c r="DX98" s="75"/>
      <c r="DY98" s="74"/>
      <c r="DZ98" s="56"/>
      <c r="EA98" s="76">
        <v>1</v>
      </c>
      <c r="EB98" s="75"/>
      <c r="EC98" s="74"/>
      <c r="ED98" s="74"/>
      <c r="EE98" s="76"/>
      <c r="EF98" s="75"/>
      <c r="EG98" s="74"/>
      <c r="EH98" s="74"/>
      <c r="EI98" s="76">
        <v>2</v>
      </c>
      <c r="EJ98" s="42"/>
      <c r="EK98" s="74"/>
      <c r="EL98" s="48"/>
      <c r="EM98" s="77"/>
      <c r="EN98" s="75"/>
      <c r="EO98" s="74"/>
      <c r="EP98" s="48"/>
      <c r="EQ98" s="77"/>
      <c r="ER98" s="62"/>
      <c r="ES98" s="74"/>
      <c r="ET98" s="48"/>
      <c r="EU98" s="77"/>
      <c r="EV98" s="48"/>
      <c r="EW98" s="74"/>
      <c r="EX98" s="48"/>
      <c r="EY98" s="77"/>
      <c r="EZ98" s="48"/>
      <c r="FA98" s="74"/>
      <c r="FB98" s="48"/>
      <c r="FC98" s="77"/>
      <c r="FD98" s="48"/>
      <c r="FE98" s="74"/>
      <c r="FF98" s="48"/>
      <c r="FG98" s="77"/>
      <c r="FH98" s="48"/>
      <c r="FI98" s="74"/>
      <c r="FJ98" s="48"/>
      <c r="FK98" s="80"/>
      <c r="FL98" s="48"/>
      <c r="FM98" s="74"/>
      <c r="FN98" s="48"/>
      <c r="FO98" s="81"/>
      <c r="FP98" s="48"/>
      <c r="FQ98" s="54"/>
      <c r="FR98" s="54"/>
      <c r="FS98" s="74"/>
      <c r="FT98" s="56"/>
      <c r="FU98" s="76"/>
      <c r="FV98" s="75"/>
      <c r="FW98" s="74"/>
      <c r="FX98" s="56"/>
      <c r="FY98" s="76"/>
      <c r="FZ98" s="75"/>
      <c r="GA98" s="74"/>
      <c r="GB98" s="56"/>
      <c r="GC98" s="76"/>
      <c r="GD98" s="75"/>
      <c r="GE98" s="74"/>
      <c r="GF98" s="56"/>
      <c r="GG98" s="76"/>
      <c r="GH98" s="42"/>
      <c r="GI98" s="74"/>
      <c r="GJ98" s="56"/>
      <c r="GK98" s="77"/>
      <c r="GL98" s="75"/>
      <c r="GM98" s="74"/>
      <c r="GN98" s="56"/>
      <c r="GO98" s="77"/>
      <c r="GP98" s="62"/>
      <c r="GQ98" s="74"/>
      <c r="GR98" s="56"/>
      <c r="GS98" s="77"/>
      <c r="GT98" s="48"/>
      <c r="GU98" s="74"/>
      <c r="GV98" s="56"/>
      <c r="GW98" s="77"/>
      <c r="GX98" s="48"/>
      <c r="GY98" s="74"/>
      <c r="GZ98" s="56"/>
      <c r="HA98" s="77"/>
      <c r="HB98" s="48"/>
      <c r="HC98" s="74"/>
      <c r="HD98" s="56"/>
      <c r="HE98" s="77"/>
      <c r="HF98" s="48"/>
      <c r="HG98" s="74"/>
      <c r="HH98" s="56"/>
      <c r="HI98" s="80"/>
      <c r="HJ98" s="48"/>
      <c r="HK98" s="74"/>
      <c r="HL98" s="56"/>
      <c r="HM98" s="81"/>
      <c r="HN98" s="48"/>
      <c r="HO98" s="54"/>
      <c r="HP98" s="54"/>
      <c r="HQ98" s="74"/>
      <c r="HR98" s="56"/>
      <c r="HS98" s="76"/>
      <c r="HT98" s="75"/>
      <c r="HU98" s="74"/>
      <c r="HV98" s="56"/>
      <c r="HW98" s="76"/>
      <c r="HX98" s="75"/>
      <c r="HY98" s="74"/>
      <c r="HZ98" s="56"/>
      <c r="IA98" s="76"/>
      <c r="IB98" s="75"/>
      <c r="IC98" s="74"/>
      <c r="ID98" s="56"/>
      <c r="IE98" s="76"/>
      <c r="IF98" s="42"/>
      <c r="IG98" s="74"/>
      <c r="IH98" s="56"/>
      <c r="II98" s="77"/>
      <c r="IJ98" s="75"/>
      <c r="IK98" s="74"/>
      <c r="IL98" s="56"/>
      <c r="IM98" s="77"/>
      <c r="IN98" s="62"/>
      <c r="IO98" s="74"/>
      <c r="IP98" s="56"/>
      <c r="IQ98" s="77"/>
      <c r="IR98" s="48"/>
      <c r="IS98" s="74"/>
      <c r="IT98" s="56"/>
      <c r="IU98" s="77"/>
      <c r="IV98" s="48"/>
      <c r="IW98" s="74"/>
      <c r="IX98" s="56"/>
      <c r="IY98" s="77"/>
      <c r="IZ98" s="48"/>
      <c r="JA98" s="74"/>
      <c r="JB98" s="56"/>
      <c r="JC98" s="77"/>
      <c r="JD98" s="48"/>
      <c r="JE98" s="74"/>
      <c r="JF98" s="56"/>
      <c r="JG98" s="80"/>
      <c r="JH98" s="48"/>
      <c r="JI98" s="74"/>
      <c r="JJ98" s="56"/>
      <c r="JK98" s="81"/>
      <c r="JL98" s="48"/>
      <c r="JM98" s="54"/>
      <c r="JN98" s="54"/>
    </row>
    <row r="99" spans="1:274" s="113" customFormat="1">
      <c r="A99" s="249"/>
      <c r="B99" s="114"/>
      <c r="C99" s="114"/>
      <c r="D99" s="249"/>
      <c r="E99" s="36">
        <v>94</v>
      </c>
      <c r="F99" s="145">
        <v>1</v>
      </c>
      <c r="G99" s="132">
        <v>4491731500</v>
      </c>
      <c r="H99" s="133" t="s">
        <v>131</v>
      </c>
      <c r="I99" s="220">
        <v>1004.35</v>
      </c>
      <c r="J99" s="119"/>
      <c r="K99" s="119"/>
      <c r="L99" s="119"/>
      <c r="M99" s="134"/>
      <c r="N99" s="134"/>
      <c r="O99" s="135"/>
      <c r="P99" s="135"/>
      <c r="Q99" s="130"/>
      <c r="R99" s="130"/>
      <c r="S99" s="135"/>
      <c r="T99" s="135"/>
      <c r="U99" s="130"/>
      <c r="V99" s="130"/>
      <c r="W99" s="135"/>
      <c r="X99" s="135"/>
      <c r="Y99" s="130"/>
      <c r="Z99" s="130"/>
      <c r="AA99" s="130"/>
      <c r="AB99" s="135"/>
      <c r="AC99" s="130"/>
      <c r="AD99" s="130"/>
      <c r="AE99" s="135"/>
      <c r="AF99" s="135"/>
      <c r="AG99" s="130"/>
      <c r="AH99" s="130"/>
      <c r="AI99" s="130"/>
      <c r="AJ99" s="135"/>
      <c r="AK99" s="130"/>
      <c r="AL99" s="136"/>
      <c r="AM99" s="137"/>
      <c r="AN99" s="130"/>
      <c r="AO99" s="130"/>
      <c r="AP99" s="136"/>
      <c r="AQ99" s="136"/>
      <c r="AR99" s="138"/>
      <c r="AS99" s="130"/>
      <c r="AT99" s="130"/>
      <c r="AU99" s="137"/>
      <c r="AV99" s="130"/>
      <c r="AW99" s="130"/>
      <c r="AX99" s="130"/>
      <c r="AY99" s="137"/>
      <c r="AZ99" s="130"/>
      <c r="BA99" s="130"/>
      <c r="BB99" s="130"/>
      <c r="BC99" s="139"/>
      <c r="BD99" s="130"/>
      <c r="BE99" s="130"/>
      <c r="BF99" s="130"/>
      <c r="BG99" s="140"/>
      <c r="BH99" s="130"/>
      <c r="BI99" s="141"/>
      <c r="BJ99" s="142"/>
      <c r="BK99" s="130"/>
      <c r="BL99" s="143"/>
      <c r="BM99" s="143"/>
      <c r="BN99" s="130"/>
      <c r="BO99" s="130"/>
      <c r="BP99" s="130"/>
      <c r="BQ99" s="143"/>
      <c r="BR99" s="143"/>
      <c r="BS99" s="130"/>
      <c r="BT99" s="130"/>
      <c r="BU99" s="130"/>
      <c r="BV99" s="143"/>
      <c r="BW99" s="143"/>
      <c r="BX99" s="130"/>
      <c r="BY99" s="130"/>
      <c r="BZ99" s="130"/>
      <c r="CA99" s="143"/>
      <c r="CB99" s="143"/>
      <c r="CC99" s="130"/>
      <c r="CD99" s="130"/>
      <c r="CE99" s="130"/>
      <c r="CF99" s="143"/>
      <c r="CG99" s="143"/>
      <c r="CH99" s="77"/>
      <c r="CI99" s="128"/>
      <c r="CJ99" s="74"/>
      <c r="CK99" s="107"/>
      <c r="CL99" s="129"/>
      <c r="CM99" s="77">
        <v>1</v>
      </c>
      <c r="CN99" s="130"/>
      <c r="CO99" s="74"/>
      <c r="CP99" s="107"/>
      <c r="CQ99" s="108"/>
      <c r="CR99" s="77"/>
      <c r="CS99" s="48"/>
      <c r="CT99" s="74"/>
      <c r="CU99" s="107"/>
      <c r="CV99" s="108"/>
      <c r="CW99" s="77"/>
      <c r="CX99" s="48"/>
      <c r="CY99" s="74"/>
      <c r="CZ99" s="107"/>
      <c r="DA99" s="108"/>
      <c r="DB99" s="77"/>
      <c r="DC99" s="48"/>
      <c r="DD99" s="74"/>
      <c r="DE99" s="107"/>
      <c r="DF99" s="108"/>
      <c r="DG99" s="77"/>
      <c r="DH99" s="48"/>
      <c r="DI99" s="74"/>
      <c r="DJ99" s="107"/>
      <c r="DK99" s="108"/>
      <c r="DL99" s="80"/>
      <c r="DM99" s="48"/>
      <c r="DN99" s="74"/>
      <c r="DO99" s="107"/>
      <c r="DP99" s="108"/>
      <c r="DQ99" s="81">
        <v>2</v>
      </c>
      <c r="DR99" s="48"/>
      <c r="DS99" s="54"/>
      <c r="DT99" s="54"/>
      <c r="DU99" s="74"/>
      <c r="DV99" s="56"/>
      <c r="DW99" s="76"/>
      <c r="DX99" s="75"/>
      <c r="DY99" s="74"/>
      <c r="DZ99" s="56"/>
      <c r="EA99" s="76"/>
      <c r="EB99" s="75"/>
      <c r="EC99" s="74"/>
      <c r="ED99" s="74"/>
      <c r="EE99" s="76"/>
      <c r="EF99" s="75"/>
      <c r="EG99" s="74"/>
      <c r="EH99" s="74"/>
      <c r="EI99" s="76">
        <v>5</v>
      </c>
      <c r="EJ99" s="42"/>
      <c r="EK99" s="74"/>
      <c r="EL99" s="48"/>
      <c r="EM99" s="77">
        <v>5</v>
      </c>
      <c r="EN99" s="75"/>
      <c r="EO99" s="74"/>
      <c r="EP99" s="48"/>
      <c r="EQ99" s="77"/>
      <c r="ER99" s="62"/>
      <c r="ES99" s="74"/>
      <c r="ET99" s="48"/>
      <c r="EU99" s="77"/>
      <c r="EV99" s="48"/>
      <c r="EW99" s="74"/>
      <c r="EX99" s="48"/>
      <c r="EY99" s="77"/>
      <c r="EZ99" s="48"/>
      <c r="FA99" s="74"/>
      <c r="FB99" s="48"/>
      <c r="FC99" s="77"/>
      <c r="FD99" s="48"/>
      <c r="FE99" s="74"/>
      <c r="FF99" s="48"/>
      <c r="FG99" s="77"/>
      <c r="FH99" s="48"/>
      <c r="FI99" s="74"/>
      <c r="FJ99" s="48"/>
      <c r="FK99" s="80"/>
      <c r="FL99" s="48"/>
      <c r="FM99" s="74"/>
      <c r="FN99" s="48"/>
      <c r="FO99" s="81"/>
      <c r="FP99" s="48"/>
      <c r="FQ99" s="54"/>
      <c r="FR99" s="54"/>
      <c r="FS99" s="74"/>
      <c r="FT99" s="56"/>
      <c r="FU99" s="76"/>
      <c r="FV99" s="75"/>
      <c r="FW99" s="74"/>
      <c r="FX99" s="56"/>
      <c r="FY99" s="76"/>
      <c r="FZ99" s="75"/>
      <c r="GA99" s="74"/>
      <c r="GB99" s="56"/>
      <c r="GC99" s="76"/>
      <c r="GD99" s="75"/>
      <c r="GE99" s="74"/>
      <c r="GF99" s="56"/>
      <c r="GG99" s="76"/>
      <c r="GH99" s="42"/>
      <c r="GI99" s="74"/>
      <c r="GJ99" s="56"/>
      <c r="GK99" s="77"/>
      <c r="GL99" s="75"/>
      <c r="GM99" s="74"/>
      <c r="GN99" s="56"/>
      <c r="GO99" s="77"/>
      <c r="GP99" s="62"/>
      <c r="GQ99" s="74"/>
      <c r="GR99" s="56"/>
      <c r="GS99" s="77"/>
      <c r="GT99" s="48"/>
      <c r="GU99" s="74"/>
      <c r="GV99" s="56"/>
      <c r="GW99" s="77"/>
      <c r="GX99" s="48"/>
      <c r="GY99" s="74"/>
      <c r="GZ99" s="56"/>
      <c r="HA99" s="77"/>
      <c r="HB99" s="48"/>
      <c r="HC99" s="74"/>
      <c r="HD99" s="56"/>
      <c r="HE99" s="77"/>
      <c r="HF99" s="48"/>
      <c r="HG99" s="74"/>
      <c r="HH99" s="56"/>
      <c r="HI99" s="80"/>
      <c r="HJ99" s="48"/>
      <c r="HK99" s="74"/>
      <c r="HL99" s="56"/>
      <c r="HM99" s="81"/>
      <c r="HN99" s="48"/>
      <c r="HO99" s="54"/>
      <c r="HP99" s="54"/>
      <c r="HQ99" s="74"/>
      <c r="HR99" s="56"/>
      <c r="HS99" s="76"/>
      <c r="HT99" s="75"/>
      <c r="HU99" s="74"/>
      <c r="HV99" s="56"/>
      <c r="HW99" s="76"/>
      <c r="HX99" s="75"/>
      <c r="HY99" s="74"/>
      <c r="HZ99" s="56"/>
      <c r="IA99" s="76"/>
      <c r="IB99" s="75"/>
      <c r="IC99" s="74"/>
      <c r="ID99" s="56"/>
      <c r="IE99" s="76"/>
      <c r="IF99" s="42"/>
      <c r="IG99" s="74"/>
      <c r="IH99" s="56"/>
      <c r="II99" s="77"/>
      <c r="IJ99" s="75"/>
      <c r="IK99" s="74"/>
      <c r="IL99" s="56"/>
      <c r="IM99" s="77"/>
      <c r="IN99" s="62"/>
      <c r="IO99" s="74"/>
      <c r="IP99" s="56"/>
      <c r="IQ99" s="77"/>
      <c r="IR99" s="48"/>
      <c r="IS99" s="74"/>
      <c r="IT99" s="56"/>
      <c r="IU99" s="77"/>
      <c r="IV99" s="48"/>
      <c r="IW99" s="74"/>
      <c r="IX99" s="56"/>
      <c r="IY99" s="77"/>
      <c r="IZ99" s="48"/>
      <c r="JA99" s="74"/>
      <c r="JB99" s="56"/>
      <c r="JC99" s="77"/>
      <c r="JD99" s="48"/>
      <c r="JE99" s="74"/>
      <c r="JF99" s="56"/>
      <c r="JG99" s="80"/>
      <c r="JH99" s="48"/>
      <c r="JI99" s="74"/>
      <c r="JJ99" s="56"/>
      <c r="JK99" s="81"/>
      <c r="JL99" s="48"/>
      <c r="JM99" s="54"/>
      <c r="JN99" s="54"/>
    </row>
    <row r="100" spans="1:274" s="113" customFormat="1">
      <c r="A100" s="249"/>
      <c r="B100" s="114"/>
      <c r="C100" s="114"/>
      <c r="D100" s="249"/>
      <c r="E100" s="36">
        <v>95</v>
      </c>
      <c r="F100" s="145">
        <v>2</v>
      </c>
      <c r="G100" s="132">
        <v>4721706000</v>
      </c>
      <c r="H100" s="133" t="s">
        <v>132</v>
      </c>
      <c r="I100" s="220">
        <f>1871.61/11</f>
        <v>170.14636363636362</v>
      </c>
      <c r="J100" s="119"/>
      <c r="K100" s="119"/>
      <c r="L100" s="119"/>
      <c r="M100" s="134"/>
      <c r="N100" s="134"/>
      <c r="O100" s="135"/>
      <c r="P100" s="135"/>
      <c r="Q100" s="130"/>
      <c r="R100" s="130"/>
      <c r="S100" s="135"/>
      <c r="T100" s="135"/>
      <c r="U100" s="130"/>
      <c r="V100" s="130"/>
      <c r="W100" s="135"/>
      <c r="X100" s="135"/>
      <c r="Y100" s="130"/>
      <c r="Z100" s="130"/>
      <c r="AA100" s="130"/>
      <c r="AB100" s="135"/>
      <c r="AC100" s="130"/>
      <c r="AD100" s="130"/>
      <c r="AE100" s="135"/>
      <c r="AF100" s="135"/>
      <c r="AG100" s="130"/>
      <c r="AH100" s="130"/>
      <c r="AI100" s="130"/>
      <c r="AJ100" s="135"/>
      <c r="AK100" s="130"/>
      <c r="AL100" s="136"/>
      <c r="AM100" s="137"/>
      <c r="AN100" s="130"/>
      <c r="AO100" s="130"/>
      <c r="AP100" s="136"/>
      <c r="AQ100" s="136"/>
      <c r="AR100" s="138"/>
      <c r="AS100" s="130"/>
      <c r="AT100" s="130"/>
      <c r="AU100" s="137"/>
      <c r="AV100" s="130"/>
      <c r="AW100" s="130"/>
      <c r="AX100" s="130"/>
      <c r="AY100" s="137"/>
      <c r="AZ100" s="130"/>
      <c r="BA100" s="130"/>
      <c r="BB100" s="130"/>
      <c r="BC100" s="139"/>
      <c r="BD100" s="130"/>
      <c r="BE100" s="130"/>
      <c r="BF100" s="130"/>
      <c r="BG100" s="140"/>
      <c r="BH100" s="130"/>
      <c r="BI100" s="141"/>
      <c r="BJ100" s="142"/>
      <c r="BK100" s="130"/>
      <c r="BL100" s="143"/>
      <c r="BM100" s="143"/>
      <c r="BN100" s="130"/>
      <c r="BO100" s="130"/>
      <c r="BP100" s="130"/>
      <c r="BQ100" s="143"/>
      <c r="BR100" s="143"/>
      <c r="BS100" s="130"/>
      <c r="BT100" s="130"/>
      <c r="BU100" s="130"/>
      <c r="BV100" s="143"/>
      <c r="BW100" s="143"/>
      <c r="BX100" s="130"/>
      <c r="BY100" s="130"/>
      <c r="BZ100" s="130"/>
      <c r="CA100" s="143"/>
      <c r="CB100" s="143"/>
      <c r="CC100" s="130"/>
      <c r="CD100" s="130"/>
      <c r="CE100" s="130"/>
      <c r="CF100" s="143"/>
      <c r="CG100" s="143"/>
      <c r="CH100" s="77"/>
      <c r="CI100" s="128"/>
      <c r="CJ100" s="74"/>
      <c r="CK100" s="107"/>
      <c r="CL100" s="129"/>
      <c r="CM100" s="77">
        <v>2</v>
      </c>
      <c r="CN100" s="130"/>
      <c r="CO100" s="74"/>
      <c r="CP100" s="107"/>
      <c r="CQ100" s="108"/>
      <c r="CR100" s="77"/>
      <c r="CS100" s="48"/>
      <c r="CT100" s="74"/>
      <c r="CU100" s="107"/>
      <c r="CV100" s="108"/>
      <c r="CW100" s="77"/>
      <c r="CX100" s="48"/>
      <c r="CY100" s="74"/>
      <c r="CZ100" s="107"/>
      <c r="DA100" s="108"/>
      <c r="DB100" s="77"/>
      <c r="DC100" s="48"/>
      <c r="DD100" s="74"/>
      <c r="DE100" s="107"/>
      <c r="DF100" s="108"/>
      <c r="DG100" s="77"/>
      <c r="DH100" s="48"/>
      <c r="DI100" s="74"/>
      <c r="DJ100" s="107"/>
      <c r="DK100" s="108"/>
      <c r="DL100" s="80"/>
      <c r="DM100" s="48"/>
      <c r="DN100" s="74"/>
      <c r="DO100" s="107"/>
      <c r="DP100" s="108"/>
      <c r="DQ100" s="81"/>
      <c r="DR100" s="48"/>
      <c r="DS100" s="54"/>
      <c r="DT100" s="54"/>
      <c r="DU100" s="74"/>
      <c r="DV100" s="56"/>
      <c r="DW100" s="76"/>
      <c r="DX100" s="75"/>
      <c r="DY100" s="74"/>
      <c r="DZ100" s="56"/>
      <c r="EA100" s="76">
        <v>1</v>
      </c>
      <c r="EB100" s="75"/>
      <c r="EC100" s="74"/>
      <c r="ED100" s="74"/>
      <c r="EE100" s="76"/>
      <c r="EF100" s="75"/>
      <c r="EG100" s="74"/>
      <c r="EH100" s="74"/>
      <c r="EI100" s="76"/>
      <c r="EJ100" s="42"/>
      <c r="EK100" s="74"/>
      <c r="EL100" s="48"/>
      <c r="EM100" s="77"/>
      <c r="EN100" s="75"/>
      <c r="EO100" s="74"/>
      <c r="EP100" s="48"/>
      <c r="EQ100" s="77"/>
      <c r="ER100" s="62"/>
      <c r="ES100" s="74"/>
      <c r="ET100" s="48"/>
      <c r="EU100" s="77"/>
      <c r="EV100" s="48"/>
      <c r="EW100" s="74"/>
      <c r="EX100" s="48"/>
      <c r="EY100" s="77"/>
      <c r="EZ100" s="48"/>
      <c r="FA100" s="74"/>
      <c r="FB100" s="48"/>
      <c r="FC100" s="77"/>
      <c r="FD100" s="48"/>
      <c r="FE100" s="74"/>
      <c r="FF100" s="48"/>
      <c r="FG100" s="77"/>
      <c r="FH100" s="48"/>
      <c r="FI100" s="74"/>
      <c r="FJ100" s="48"/>
      <c r="FK100" s="80"/>
      <c r="FL100" s="48"/>
      <c r="FM100" s="74"/>
      <c r="FN100" s="48"/>
      <c r="FO100" s="81"/>
      <c r="FP100" s="48"/>
      <c r="FQ100" s="54"/>
      <c r="FR100" s="54"/>
      <c r="FS100" s="74"/>
      <c r="FT100" s="56"/>
      <c r="FU100" s="76"/>
      <c r="FV100" s="75"/>
      <c r="FW100" s="74"/>
      <c r="FX100" s="56"/>
      <c r="FY100" s="76"/>
      <c r="FZ100" s="75"/>
      <c r="GA100" s="74"/>
      <c r="GB100" s="56"/>
      <c r="GC100" s="76"/>
      <c r="GD100" s="75"/>
      <c r="GE100" s="74"/>
      <c r="GF100" s="56"/>
      <c r="GG100" s="76"/>
      <c r="GH100" s="42"/>
      <c r="GI100" s="74"/>
      <c r="GJ100" s="56"/>
      <c r="GK100" s="77"/>
      <c r="GL100" s="75"/>
      <c r="GM100" s="74"/>
      <c r="GN100" s="56"/>
      <c r="GO100" s="77"/>
      <c r="GP100" s="62"/>
      <c r="GQ100" s="74"/>
      <c r="GR100" s="56"/>
      <c r="GS100" s="77"/>
      <c r="GT100" s="48"/>
      <c r="GU100" s="74"/>
      <c r="GV100" s="56"/>
      <c r="GW100" s="77"/>
      <c r="GX100" s="48"/>
      <c r="GY100" s="74"/>
      <c r="GZ100" s="56"/>
      <c r="HA100" s="77"/>
      <c r="HB100" s="48"/>
      <c r="HC100" s="74"/>
      <c r="HD100" s="56"/>
      <c r="HE100" s="77"/>
      <c r="HF100" s="48"/>
      <c r="HG100" s="74"/>
      <c r="HH100" s="56"/>
      <c r="HI100" s="80"/>
      <c r="HJ100" s="48"/>
      <c r="HK100" s="74"/>
      <c r="HL100" s="56"/>
      <c r="HM100" s="81"/>
      <c r="HN100" s="48"/>
      <c r="HO100" s="54"/>
      <c r="HP100" s="54"/>
      <c r="HQ100" s="74"/>
      <c r="HR100" s="56"/>
      <c r="HS100" s="76"/>
      <c r="HT100" s="75"/>
      <c r="HU100" s="74"/>
      <c r="HV100" s="56"/>
      <c r="HW100" s="76"/>
      <c r="HX100" s="75"/>
      <c r="HY100" s="74"/>
      <c r="HZ100" s="56"/>
      <c r="IA100" s="76"/>
      <c r="IB100" s="75"/>
      <c r="IC100" s="74"/>
      <c r="ID100" s="56"/>
      <c r="IE100" s="76"/>
      <c r="IF100" s="42"/>
      <c r="IG100" s="74"/>
      <c r="IH100" s="56"/>
      <c r="II100" s="77"/>
      <c r="IJ100" s="75"/>
      <c r="IK100" s="74"/>
      <c r="IL100" s="56"/>
      <c r="IM100" s="77"/>
      <c r="IN100" s="62"/>
      <c r="IO100" s="74"/>
      <c r="IP100" s="56"/>
      <c r="IQ100" s="77"/>
      <c r="IR100" s="48"/>
      <c r="IS100" s="74"/>
      <c r="IT100" s="56"/>
      <c r="IU100" s="77"/>
      <c r="IV100" s="48"/>
      <c r="IW100" s="74"/>
      <c r="IX100" s="56"/>
      <c r="IY100" s="77"/>
      <c r="IZ100" s="48"/>
      <c r="JA100" s="74"/>
      <c r="JB100" s="56"/>
      <c r="JC100" s="77"/>
      <c r="JD100" s="48"/>
      <c r="JE100" s="74"/>
      <c r="JF100" s="56"/>
      <c r="JG100" s="80"/>
      <c r="JH100" s="48"/>
      <c r="JI100" s="74"/>
      <c r="JJ100" s="56"/>
      <c r="JK100" s="81"/>
      <c r="JL100" s="48"/>
      <c r="JM100" s="54"/>
      <c r="JN100" s="54"/>
    </row>
    <row r="101" spans="1:274" s="113" customFormat="1">
      <c r="A101" s="249"/>
      <c r="B101" s="114"/>
      <c r="C101" s="114"/>
      <c r="D101" s="249"/>
      <c r="E101" s="36">
        <v>96</v>
      </c>
      <c r="F101" s="145">
        <v>2</v>
      </c>
      <c r="G101" s="132">
        <v>4410140150</v>
      </c>
      <c r="H101" s="133" t="s">
        <v>133</v>
      </c>
      <c r="I101" s="220">
        <f>736.54/11</f>
        <v>66.958181818181814</v>
      </c>
      <c r="J101" s="119"/>
      <c r="K101" s="119"/>
      <c r="L101" s="119"/>
      <c r="M101" s="134"/>
      <c r="N101" s="134"/>
      <c r="O101" s="135"/>
      <c r="P101" s="135"/>
      <c r="Q101" s="130"/>
      <c r="R101" s="130"/>
      <c r="S101" s="135"/>
      <c r="T101" s="135"/>
      <c r="U101" s="130"/>
      <c r="V101" s="130"/>
      <c r="W101" s="135"/>
      <c r="X101" s="135"/>
      <c r="Y101" s="130"/>
      <c r="Z101" s="130"/>
      <c r="AA101" s="130"/>
      <c r="AB101" s="135"/>
      <c r="AC101" s="130"/>
      <c r="AD101" s="130"/>
      <c r="AE101" s="135"/>
      <c r="AF101" s="135"/>
      <c r="AG101" s="130"/>
      <c r="AH101" s="130"/>
      <c r="AI101" s="130"/>
      <c r="AJ101" s="135"/>
      <c r="AK101" s="130"/>
      <c r="AL101" s="136"/>
      <c r="AM101" s="137"/>
      <c r="AN101" s="130"/>
      <c r="AO101" s="130"/>
      <c r="AP101" s="136"/>
      <c r="AQ101" s="136"/>
      <c r="AR101" s="138"/>
      <c r="AS101" s="130"/>
      <c r="AT101" s="130"/>
      <c r="AU101" s="137"/>
      <c r="AV101" s="130"/>
      <c r="AW101" s="130"/>
      <c r="AX101" s="130"/>
      <c r="AY101" s="137"/>
      <c r="AZ101" s="130"/>
      <c r="BA101" s="130"/>
      <c r="BB101" s="130"/>
      <c r="BC101" s="139"/>
      <c r="BD101" s="130"/>
      <c r="BE101" s="130"/>
      <c r="BF101" s="130"/>
      <c r="BG101" s="140"/>
      <c r="BH101" s="130"/>
      <c r="BI101" s="141"/>
      <c r="BJ101" s="142"/>
      <c r="BK101" s="130"/>
      <c r="BL101" s="143"/>
      <c r="BM101" s="143"/>
      <c r="BN101" s="130"/>
      <c r="BO101" s="130"/>
      <c r="BP101" s="130"/>
      <c r="BQ101" s="143"/>
      <c r="BR101" s="143"/>
      <c r="BS101" s="130"/>
      <c r="BT101" s="130"/>
      <c r="BU101" s="130"/>
      <c r="BV101" s="143"/>
      <c r="BW101" s="143"/>
      <c r="BX101" s="130"/>
      <c r="BY101" s="130"/>
      <c r="BZ101" s="130"/>
      <c r="CA101" s="143"/>
      <c r="CB101" s="143"/>
      <c r="CC101" s="130"/>
      <c r="CD101" s="130"/>
      <c r="CE101" s="130"/>
      <c r="CF101" s="143"/>
      <c r="CG101" s="143"/>
      <c r="CH101" s="77"/>
      <c r="CI101" s="128"/>
      <c r="CJ101" s="74"/>
      <c r="CK101" s="107"/>
      <c r="CL101" s="129"/>
      <c r="CM101" s="77">
        <v>2</v>
      </c>
      <c r="CN101" s="130"/>
      <c r="CO101" s="74"/>
      <c r="CP101" s="107"/>
      <c r="CQ101" s="108"/>
      <c r="CR101" s="77"/>
      <c r="CS101" s="48"/>
      <c r="CT101" s="74"/>
      <c r="CU101" s="107"/>
      <c r="CV101" s="108"/>
      <c r="CW101" s="77"/>
      <c r="CX101" s="48"/>
      <c r="CY101" s="74"/>
      <c r="CZ101" s="107"/>
      <c r="DA101" s="108"/>
      <c r="DB101" s="77"/>
      <c r="DC101" s="48"/>
      <c r="DD101" s="74"/>
      <c r="DE101" s="107"/>
      <c r="DF101" s="108"/>
      <c r="DG101" s="77"/>
      <c r="DH101" s="48"/>
      <c r="DI101" s="74"/>
      <c r="DJ101" s="107"/>
      <c r="DK101" s="108"/>
      <c r="DL101" s="80"/>
      <c r="DM101" s="48"/>
      <c r="DN101" s="74"/>
      <c r="DO101" s="107"/>
      <c r="DP101" s="108"/>
      <c r="DQ101" s="81"/>
      <c r="DR101" s="48"/>
      <c r="DS101" s="54"/>
      <c r="DT101" s="54"/>
      <c r="DU101" s="74"/>
      <c r="DV101" s="56"/>
      <c r="DW101" s="76"/>
      <c r="DX101" s="75"/>
      <c r="DY101" s="74"/>
      <c r="DZ101" s="56"/>
      <c r="EA101" s="76">
        <v>1</v>
      </c>
      <c r="EB101" s="75"/>
      <c r="EC101" s="74"/>
      <c r="ED101" s="74"/>
      <c r="EE101" s="76"/>
      <c r="EF101" s="75"/>
      <c r="EG101" s="74"/>
      <c r="EH101" s="74"/>
      <c r="EI101" s="76">
        <v>2</v>
      </c>
      <c r="EJ101" s="42"/>
      <c r="EK101" s="74"/>
      <c r="EL101" s="48"/>
      <c r="EM101" s="77">
        <v>5</v>
      </c>
      <c r="EN101" s="75"/>
      <c r="EO101" s="74"/>
      <c r="EP101" s="48"/>
      <c r="EQ101" s="77"/>
      <c r="ER101" s="62"/>
      <c r="ES101" s="74"/>
      <c r="ET101" s="48"/>
      <c r="EU101" s="77"/>
      <c r="EV101" s="48"/>
      <c r="EW101" s="74"/>
      <c r="EX101" s="48"/>
      <c r="EY101" s="77"/>
      <c r="EZ101" s="48"/>
      <c r="FA101" s="74"/>
      <c r="FB101" s="48"/>
      <c r="FC101" s="77"/>
      <c r="FD101" s="48"/>
      <c r="FE101" s="74"/>
      <c r="FF101" s="48"/>
      <c r="FG101" s="77"/>
      <c r="FH101" s="48"/>
      <c r="FI101" s="74"/>
      <c r="FJ101" s="48"/>
      <c r="FK101" s="80"/>
      <c r="FL101" s="48"/>
      <c r="FM101" s="74"/>
      <c r="FN101" s="48"/>
      <c r="FO101" s="81"/>
      <c r="FP101" s="48"/>
      <c r="FQ101" s="54"/>
      <c r="FR101" s="54"/>
      <c r="FS101" s="74"/>
      <c r="FT101" s="56"/>
      <c r="FU101" s="76"/>
      <c r="FV101" s="75"/>
      <c r="FW101" s="74"/>
      <c r="FX101" s="56"/>
      <c r="FY101" s="76"/>
      <c r="FZ101" s="75"/>
      <c r="GA101" s="74"/>
      <c r="GB101" s="56"/>
      <c r="GC101" s="76"/>
      <c r="GD101" s="75"/>
      <c r="GE101" s="74"/>
      <c r="GF101" s="56"/>
      <c r="GG101" s="76"/>
      <c r="GH101" s="42"/>
      <c r="GI101" s="74"/>
      <c r="GJ101" s="56"/>
      <c r="GK101" s="77"/>
      <c r="GL101" s="75"/>
      <c r="GM101" s="74"/>
      <c r="GN101" s="56"/>
      <c r="GO101" s="77"/>
      <c r="GP101" s="62"/>
      <c r="GQ101" s="74"/>
      <c r="GR101" s="56"/>
      <c r="GS101" s="77"/>
      <c r="GT101" s="48"/>
      <c r="GU101" s="74"/>
      <c r="GV101" s="56"/>
      <c r="GW101" s="77"/>
      <c r="GX101" s="48"/>
      <c r="GY101" s="74"/>
      <c r="GZ101" s="56"/>
      <c r="HA101" s="77"/>
      <c r="HB101" s="48"/>
      <c r="HC101" s="74"/>
      <c r="HD101" s="56"/>
      <c r="HE101" s="77"/>
      <c r="HF101" s="48"/>
      <c r="HG101" s="74"/>
      <c r="HH101" s="56"/>
      <c r="HI101" s="80"/>
      <c r="HJ101" s="48"/>
      <c r="HK101" s="74"/>
      <c r="HL101" s="56"/>
      <c r="HM101" s="81"/>
      <c r="HN101" s="48"/>
      <c r="HO101" s="54"/>
      <c r="HP101" s="54"/>
      <c r="HQ101" s="74"/>
      <c r="HR101" s="56"/>
      <c r="HS101" s="76"/>
      <c r="HT101" s="75"/>
      <c r="HU101" s="74"/>
      <c r="HV101" s="56"/>
      <c r="HW101" s="76"/>
      <c r="HX101" s="75"/>
      <c r="HY101" s="74"/>
      <c r="HZ101" s="56"/>
      <c r="IA101" s="76"/>
      <c r="IB101" s="75"/>
      <c r="IC101" s="74"/>
      <c r="ID101" s="56"/>
      <c r="IE101" s="76"/>
      <c r="IF101" s="42"/>
      <c r="IG101" s="74"/>
      <c r="IH101" s="56"/>
      <c r="II101" s="77"/>
      <c r="IJ101" s="75"/>
      <c r="IK101" s="74"/>
      <c r="IL101" s="56"/>
      <c r="IM101" s="77"/>
      <c r="IN101" s="62"/>
      <c r="IO101" s="74"/>
      <c r="IP101" s="56"/>
      <c r="IQ101" s="77"/>
      <c r="IR101" s="48"/>
      <c r="IS101" s="74"/>
      <c r="IT101" s="56"/>
      <c r="IU101" s="77"/>
      <c r="IV101" s="48"/>
      <c r="IW101" s="74"/>
      <c r="IX101" s="56"/>
      <c r="IY101" s="77"/>
      <c r="IZ101" s="48"/>
      <c r="JA101" s="74"/>
      <c r="JB101" s="56"/>
      <c r="JC101" s="77"/>
      <c r="JD101" s="48"/>
      <c r="JE101" s="74"/>
      <c r="JF101" s="56"/>
      <c r="JG101" s="80"/>
      <c r="JH101" s="48"/>
      <c r="JI101" s="74"/>
      <c r="JJ101" s="56"/>
      <c r="JK101" s="81"/>
      <c r="JL101" s="48"/>
      <c r="JM101" s="54"/>
      <c r="JN101" s="54"/>
    </row>
    <row r="102" spans="1:274" s="113" customFormat="1">
      <c r="A102" s="249"/>
      <c r="B102" s="114"/>
      <c r="C102" s="114"/>
      <c r="D102" s="249"/>
      <c r="E102" s="36">
        <v>97</v>
      </c>
      <c r="F102" s="145">
        <v>2</v>
      </c>
      <c r="G102" s="132">
        <v>8938200610</v>
      </c>
      <c r="H102" s="133" t="s">
        <v>134</v>
      </c>
      <c r="I102" s="220">
        <f>374.98/11</f>
        <v>34.089090909090913</v>
      </c>
      <c r="J102" s="119"/>
      <c r="K102" s="119"/>
      <c r="L102" s="119"/>
      <c r="M102" s="134"/>
      <c r="N102" s="134"/>
      <c r="O102" s="135"/>
      <c r="P102" s="135"/>
      <c r="Q102" s="130"/>
      <c r="R102" s="130"/>
      <c r="S102" s="135"/>
      <c r="T102" s="135"/>
      <c r="U102" s="130"/>
      <c r="V102" s="130"/>
      <c r="W102" s="135"/>
      <c r="X102" s="135"/>
      <c r="Y102" s="130"/>
      <c r="Z102" s="130"/>
      <c r="AA102" s="130"/>
      <c r="AB102" s="135"/>
      <c r="AC102" s="130"/>
      <c r="AD102" s="130"/>
      <c r="AE102" s="135"/>
      <c r="AF102" s="135"/>
      <c r="AG102" s="130"/>
      <c r="AH102" s="130"/>
      <c r="AI102" s="130"/>
      <c r="AJ102" s="135"/>
      <c r="AK102" s="130"/>
      <c r="AL102" s="136"/>
      <c r="AM102" s="137"/>
      <c r="AN102" s="130"/>
      <c r="AO102" s="130"/>
      <c r="AP102" s="136"/>
      <c r="AQ102" s="136"/>
      <c r="AR102" s="138"/>
      <c r="AS102" s="130"/>
      <c r="AT102" s="130"/>
      <c r="AU102" s="137"/>
      <c r="AV102" s="130"/>
      <c r="AW102" s="130"/>
      <c r="AX102" s="130"/>
      <c r="AY102" s="137"/>
      <c r="AZ102" s="130"/>
      <c r="BA102" s="130"/>
      <c r="BB102" s="130"/>
      <c r="BC102" s="139"/>
      <c r="BD102" s="130"/>
      <c r="BE102" s="130"/>
      <c r="BF102" s="130"/>
      <c r="BG102" s="140"/>
      <c r="BH102" s="130"/>
      <c r="BI102" s="141"/>
      <c r="BJ102" s="142"/>
      <c r="BK102" s="130"/>
      <c r="BL102" s="143"/>
      <c r="BM102" s="143"/>
      <c r="BN102" s="130"/>
      <c r="BO102" s="130"/>
      <c r="BP102" s="130"/>
      <c r="BQ102" s="143"/>
      <c r="BR102" s="143"/>
      <c r="BS102" s="130"/>
      <c r="BT102" s="130"/>
      <c r="BU102" s="130"/>
      <c r="BV102" s="143"/>
      <c r="BW102" s="143"/>
      <c r="BX102" s="130"/>
      <c r="BY102" s="130"/>
      <c r="BZ102" s="130"/>
      <c r="CA102" s="143"/>
      <c r="CB102" s="143"/>
      <c r="CC102" s="130"/>
      <c r="CD102" s="130"/>
      <c r="CE102" s="130"/>
      <c r="CF102" s="143"/>
      <c r="CG102" s="143"/>
      <c r="CH102" s="77"/>
      <c r="CI102" s="128"/>
      <c r="CJ102" s="74"/>
      <c r="CK102" s="107"/>
      <c r="CL102" s="129"/>
      <c r="CM102" s="77">
        <v>10</v>
      </c>
      <c r="CN102" s="130"/>
      <c r="CO102" s="74"/>
      <c r="CP102" s="107"/>
      <c r="CQ102" s="108"/>
      <c r="CR102" s="77"/>
      <c r="CS102" s="48"/>
      <c r="CT102" s="74"/>
      <c r="CU102" s="107"/>
      <c r="CV102" s="108"/>
      <c r="CW102" s="77"/>
      <c r="CX102" s="48"/>
      <c r="CY102" s="74"/>
      <c r="CZ102" s="107"/>
      <c r="DA102" s="108"/>
      <c r="DB102" s="77"/>
      <c r="DC102" s="48"/>
      <c r="DD102" s="74"/>
      <c r="DE102" s="107"/>
      <c r="DF102" s="108"/>
      <c r="DG102" s="77"/>
      <c r="DH102" s="48"/>
      <c r="DI102" s="74"/>
      <c r="DJ102" s="107"/>
      <c r="DK102" s="108"/>
      <c r="DL102" s="80"/>
      <c r="DM102" s="48"/>
      <c r="DN102" s="74"/>
      <c r="DO102" s="107"/>
      <c r="DP102" s="108"/>
      <c r="DQ102" s="81"/>
      <c r="DR102" s="48"/>
      <c r="DS102" s="54"/>
      <c r="DT102" s="54"/>
      <c r="DU102" s="74"/>
      <c r="DV102" s="56"/>
      <c r="DW102" s="76"/>
      <c r="DX102" s="75"/>
      <c r="DY102" s="74"/>
      <c r="DZ102" s="56"/>
      <c r="EA102" s="76"/>
      <c r="EB102" s="75"/>
      <c r="EC102" s="74"/>
      <c r="ED102" s="74"/>
      <c r="EE102" s="76"/>
      <c r="EF102" s="75"/>
      <c r="EG102" s="74"/>
      <c r="EH102" s="74"/>
      <c r="EI102" s="76"/>
      <c r="EJ102" s="42"/>
      <c r="EK102" s="74"/>
      <c r="EL102" s="48"/>
      <c r="EM102" s="77"/>
      <c r="EN102" s="75"/>
      <c r="EO102" s="74"/>
      <c r="EP102" s="48"/>
      <c r="EQ102" s="77"/>
      <c r="ER102" s="62"/>
      <c r="ES102" s="74"/>
      <c r="ET102" s="48"/>
      <c r="EU102" s="77"/>
      <c r="EV102" s="48"/>
      <c r="EW102" s="74"/>
      <c r="EX102" s="48"/>
      <c r="EY102" s="77"/>
      <c r="EZ102" s="48"/>
      <c r="FA102" s="74"/>
      <c r="FB102" s="48"/>
      <c r="FC102" s="77"/>
      <c r="FD102" s="48"/>
      <c r="FE102" s="74"/>
      <c r="FF102" s="48"/>
      <c r="FG102" s="77"/>
      <c r="FH102" s="48"/>
      <c r="FI102" s="74"/>
      <c r="FJ102" s="48"/>
      <c r="FK102" s="80"/>
      <c r="FL102" s="48"/>
      <c r="FM102" s="74"/>
      <c r="FN102" s="48"/>
      <c r="FO102" s="81"/>
      <c r="FP102" s="48"/>
      <c r="FQ102" s="54"/>
      <c r="FR102" s="54"/>
      <c r="FS102" s="74"/>
      <c r="FT102" s="56"/>
      <c r="FU102" s="76"/>
      <c r="FV102" s="75"/>
      <c r="FW102" s="74"/>
      <c r="FX102" s="56"/>
      <c r="FY102" s="76"/>
      <c r="FZ102" s="75"/>
      <c r="GA102" s="74"/>
      <c r="GB102" s="56"/>
      <c r="GC102" s="76"/>
      <c r="GD102" s="75"/>
      <c r="GE102" s="74"/>
      <c r="GF102" s="56"/>
      <c r="GG102" s="76"/>
      <c r="GH102" s="42"/>
      <c r="GI102" s="74"/>
      <c r="GJ102" s="56"/>
      <c r="GK102" s="77"/>
      <c r="GL102" s="75"/>
      <c r="GM102" s="74"/>
      <c r="GN102" s="56"/>
      <c r="GO102" s="77"/>
      <c r="GP102" s="62"/>
      <c r="GQ102" s="74"/>
      <c r="GR102" s="56"/>
      <c r="GS102" s="77"/>
      <c r="GT102" s="48"/>
      <c r="GU102" s="74"/>
      <c r="GV102" s="56"/>
      <c r="GW102" s="77"/>
      <c r="GX102" s="48"/>
      <c r="GY102" s="74"/>
      <c r="GZ102" s="56"/>
      <c r="HA102" s="77"/>
      <c r="HB102" s="48"/>
      <c r="HC102" s="74"/>
      <c r="HD102" s="56"/>
      <c r="HE102" s="77"/>
      <c r="HF102" s="48"/>
      <c r="HG102" s="74"/>
      <c r="HH102" s="56"/>
      <c r="HI102" s="80"/>
      <c r="HJ102" s="48"/>
      <c r="HK102" s="74"/>
      <c r="HL102" s="56"/>
      <c r="HM102" s="81"/>
      <c r="HN102" s="48"/>
      <c r="HO102" s="54"/>
      <c r="HP102" s="54"/>
      <c r="HQ102" s="74"/>
      <c r="HR102" s="56"/>
      <c r="HS102" s="76"/>
      <c r="HT102" s="75"/>
      <c r="HU102" s="74"/>
      <c r="HV102" s="56"/>
      <c r="HW102" s="76"/>
      <c r="HX102" s="75"/>
      <c r="HY102" s="74"/>
      <c r="HZ102" s="56"/>
      <c r="IA102" s="76"/>
      <c r="IB102" s="75"/>
      <c r="IC102" s="74"/>
      <c r="ID102" s="56"/>
      <c r="IE102" s="76"/>
      <c r="IF102" s="42"/>
      <c r="IG102" s="74"/>
      <c r="IH102" s="56"/>
      <c r="II102" s="77"/>
      <c r="IJ102" s="75"/>
      <c r="IK102" s="74"/>
      <c r="IL102" s="56"/>
      <c r="IM102" s="77"/>
      <c r="IN102" s="62"/>
      <c r="IO102" s="74"/>
      <c r="IP102" s="56"/>
      <c r="IQ102" s="77"/>
      <c r="IR102" s="48"/>
      <c r="IS102" s="74"/>
      <c r="IT102" s="56"/>
      <c r="IU102" s="77"/>
      <c r="IV102" s="48"/>
      <c r="IW102" s="74"/>
      <c r="IX102" s="56"/>
      <c r="IY102" s="77"/>
      <c r="IZ102" s="48"/>
      <c r="JA102" s="74"/>
      <c r="JB102" s="56"/>
      <c r="JC102" s="77"/>
      <c r="JD102" s="48"/>
      <c r="JE102" s="74"/>
      <c r="JF102" s="56"/>
      <c r="JG102" s="80"/>
      <c r="JH102" s="48"/>
      <c r="JI102" s="74"/>
      <c r="JJ102" s="56"/>
      <c r="JK102" s="81"/>
      <c r="JL102" s="48"/>
      <c r="JM102" s="54"/>
      <c r="JN102" s="54"/>
    </row>
    <row r="103" spans="1:274" s="113" customFormat="1">
      <c r="A103" s="249"/>
      <c r="B103" s="114"/>
      <c r="C103" s="114"/>
      <c r="D103" s="249"/>
      <c r="E103" s="36">
        <v>98</v>
      </c>
      <c r="F103" s="145">
        <v>2</v>
      </c>
      <c r="G103" s="132">
        <v>8282511156</v>
      </c>
      <c r="H103" s="133" t="s">
        <v>135</v>
      </c>
      <c r="I103" s="220">
        <f>3674.98/11</f>
        <v>334.08909090909088</v>
      </c>
      <c r="J103" s="119"/>
      <c r="K103" s="119"/>
      <c r="L103" s="119"/>
      <c r="M103" s="134"/>
      <c r="N103" s="134"/>
      <c r="O103" s="135"/>
      <c r="P103" s="135"/>
      <c r="Q103" s="130"/>
      <c r="R103" s="130"/>
      <c r="S103" s="135"/>
      <c r="T103" s="135"/>
      <c r="U103" s="130"/>
      <c r="V103" s="130"/>
      <c r="W103" s="135"/>
      <c r="X103" s="135"/>
      <c r="Y103" s="130"/>
      <c r="Z103" s="130"/>
      <c r="AA103" s="130"/>
      <c r="AB103" s="135"/>
      <c r="AC103" s="130"/>
      <c r="AD103" s="130"/>
      <c r="AE103" s="135"/>
      <c r="AF103" s="135"/>
      <c r="AG103" s="130"/>
      <c r="AH103" s="130"/>
      <c r="AI103" s="130"/>
      <c r="AJ103" s="135"/>
      <c r="AK103" s="130"/>
      <c r="AL103" s="136"/>
      <c r="AM103" s="137"/>
      <c r="AN103" s="130"/>
      <c r="AO103" s="130"/>
      <c r="AP103" s="136"/>
      <c r="AQ103" s="136"/>
      <c r="AR103" s="138"/>
      <c r="AS103" s="130"/>
      <c r="AT103" s="130"/>
      <c r="AU103" s="137"/>
      <c r="AV103" s="130"/>
      <c r="AW103" s="130"/>
      <c r="AX103" s="130"/>
      <c r="AY103" s="137"/>
      <c r="AZ103" s="130"/>
      <c r="BA103" s="130"/>
      <c r="BB103" s="130"/>
      <c r="BC103" s="139"/>
      <c r="BD103" s="130"/>
      <c r="BE103" s="130"/>
      <c r="BF103" s="130"/>
      <c r="BG103" s="140"/>
      <c r="BH103" s="130"/>
      <c r="BI103" s="141"/>
      <c r="BJ103" s="142"/>
      <c r="BK103" s="130"/>
      <c r="BL103" s="143"/>
      <c r="BM103" s="143"/>
      <c r="BN103" s="130"/>
      <c r="BO103" s="130"/>
      <c r="BP103" s="130"/>
      <c r="BQ103" s="143"/>
      <c r="BR103" s="143"/>
      <c r="BS103" s="130"/>
      <c r="BT103" s="130"/>
      <c r="BU103" s="130"/>
      <c r="BV103" s="143"/>
      <c r="BW103" s="143"/>
      <c r="BX103" s="130"/>
      <c r="BY103" s="130"/>
      <c r="BZ103" s="130"/>
      <c r="CA103" s="143"/>
      <c r="CB103" s="143"/>
      <c r="CC103" s="130"/>
      <c r="CD103" s="130"/>
      <c r="CE103" s="130"/>
      <c r="CF103" s="143"/>
      <c r="CG103" s="143"/>
      <c r="CH103" s="77"/>
      <c r="CI103" s="128"/>
      <c r="CJ103" s="74"/>
      <c r="CK103" s="107"/>
      <c r="CL103" s="129"/>
      <c r="CM103" s="77">
        <v>2</v>
      </c>
      <c r="CN103" s="130"/>
      <c r="CO103" s="74"/>
      <c r="CP103" s="107"/>
      <c r="CQ103" s="108"/>
      <c r="CR103" s="77"/>
      <c r="CS103" s="48"/>
      <c r="CT103" s="74"/>
      <c r="CU103" s="107"/>
      <c r="CV103" s="108"/>
      <c r="CW103" s="77"/>
      <c r="CX103" s="48"/>
      <c r="CY103" s="74"/>
      <c r="CZ103" s="107"/>
      <c r="DA103" s="108"/>
      <c r="DB103" s="77"/>
      <c r="DC103" s="48"/>
      <c r="DD103" s="74"/>
      <c r="DE103" s="107"/>
      <c r="DF103" s="108"/>
      <c r="DG103" s="77"/>
      <c r="DH103" s="48"/>
      <c r="DI103" s="74"/>
      <c r="DJ103" s="107"/>
      <c r="DK103" s="108"/>
      <c r="DL103" s="80"/>
      <c r="DM103" s="48"/>
      <c r="DN103" s="74"/>
      <c r="DO103" s="107"/>
      <c r="DP103" s="108"/>
      <c r="DQ103" s="81"/>
      <c r="DR103" s="48"/>
      <c r="DS103" s="54"/>
      <c r="DT103" s="54"/>
      <c r="DU103" s="74"/>
      <c r="DV103" s="56"/>
      <c r="DW103" s="76"/>
      <c r="DX103" s="75"/>
      <c r="DY103" s="74"/>
      <c r="DZ103" s="56"/>
      <c r="EA103" s="76"/>
      <c r="EB103" s="75"/>
      <c r="EC103" s="74"/>
      <c r="ED103" s="74"/>
      <c r="EE103" s="76"/>
      <c r="EF103" s="75"/>
      <c r="EG103" s="74"/>
      <c r="EH103" s="74"/>
      <c r="EI103" s="76"/>
      <c r="EJ103" s="42"/>
      <c r="EK103" s="74"/>
      <c r="EL103" s="48"/>
      <c r="EM103" s="77"/>
      <c r="EN103" s="75"/>
      <c r="EO103" s="74"/>
      <c r="EP103" s="48"/>
      <c r="EQ103" s="77"/>
      <c r="ER103" s="62"/>
      <c r="ES103" s="74"/>
      <c r="ET103" s="48"/>
      <c r="EU103" s="77"/>
      <c r="EV103" s="48"/>
      <c r="EW103" s="74"/>
      <c r="EX103" s="48"/>
      <c r="EY103" s="77"/>
      <c r="EZ103" s="48"/>
      <c r="FA103" s="74"/>
      <c r="FB103" s="48"/>
      <c r="FC103" s="77"/>
      <c r="FD103" s="48"/>
      <c r="FE103" s="74"/>
      <c r="FF103" s="48"/>
      <c r="FG103" s="77"/>
      <c r="FH103" s="48"/>
      <c r="FI103" s="74"/>
      <c r="FJ103" s="48"/>
      <c r="FK103" s="80"/>
      <c r="FL103" s="48"/>
      <c r="FM103" s="74"/>
      <c r="FN103" s="48"/>
      <c r="FO103" s="81"/>
      <c r="FP103" s="48"/>
      <c r="FQ103" s="54"/>
      <c r="FR103" s="54"/>
      <c r="FS103" s="74"/>
      <c r="FT103" s="56"/>
      <c r="FU103" s="76"/>
      <c r="FV103" s="75"/>
      <c r="FW103" s="74"/>
      <c r="FX103" s="56"/>
      <c r="FY103" s="76"/>
      <c r="FZ103" s="75"/>
      <c r="GA103" s="74"/>
      <c r="GB103" s="56"/>
      <c r="GC103" s="76"/>
      <c r="GD103" s="75"/>
      <c r="GE103" s="74"/>
      <c r="GF103" s="56"/>
      <c r="GG103" s="76"/>
      <c r="GH103" s="42"/>
      <c r="GI103" s="74"/>
      <c r="GJ103" s="56"/>
      <c r="GK103" s="77"/>
      <c r="GL103" s="75"/>
      <c r="GM103" s="74"/>
      <c r="GN103" s="56"/>
      <c r="GO103" s="77"/>
      <c r="GP103" s="62"/>
      <c r="GQ103" s="74"/>
      <c r="GR103" s="56"/>
      <c r="GS103" s="77"/>
      <c r="GT103" s="48"/>
      <c r="GU103" s="74"/>
      <c r="GV103" s="56"/>
      <c r="GW103" s="77"/>
      <c r="GX103" s="48"/>
      <c r="GY103" s="74"/>
      <c r="GZ103" s="56"/>
      <c r="HA103" s="77"/>
      <c r="HB103" s="48"/>
      <c r="HC103" s="74"/>
      <c r="HD103" s="56"/>
      <c r="HE103" s="77"/>
      <c r="HF103" s="48"/>
      <c r="HG103" s="74"/>
      <c r="HH103" s="56"/>
      <c r="HI103" s="80"/>
      <c r="HJ103" s="48"/>
      <c r="HK103" s="74"/>
      <c r="HL103" s="56"/>
      <c r="HM103" s="81"/>
      <c r="HN103" s="48"/>
      <c r="HO103" s="54"/>
      <c r="HP103" s="54"/>
      <c r="HQ103" s="74"/>
      <c r="HR103" s="56"/>
      <c r="HS103" s="76"/>
      <c r="HT103" s="75"/>
      <c r="HU103" s="74"/>
      <c r="HV103" s="56"/>
      <c r="HW103" s="76"/>
      <c r="HX103" s="75"/>
      <c r="HY103" s="74"/>
      <c r="HZ103" s="56"/>
      <c r="IA103" s="76"/>
      <c r="IB103" s="75"/>
      <c r="IC103" s="74"/>
      <c r="ID103" s="56"/>
      <c r="IE103" s="76"/>
      <c r="IF103" s="42"/>
      <c r="IG103" s="74"/>
      <c r="IH103" s="56"/>
      <c r="II103" s="77"/>
      <c r="IJ103" s="75"/>
      <c r="IK103" s="74"/>
      <c r="IL103" s="56"/>
      <c r="IM103" s="77"/>
      <c r="IN103" s="62"/>
      <c r="IO103" s="74"/>
      <c r="IP103" s="56"/>
      <c r="IQ103" s="77"/>
      <c r="IR103" s="48"/>
      <c r="IS103" s="74"/>
      <c r="IT103" s="56"/>
      <c r="IU103" s="77"/>
      <c r="IV103" s="48"/>
      <c r="IW103" s="74"/>
      <c r="IX103" s="56"/>
      <c r="IY103" s="77"/>
      <c r="IZ103" s="48"/>
      <c r="JA103" s="74"/>
      <c r="JB103" s="56"/>
      <c r="JC103" s="77"/>
      <c r="JD103" s="48"/>
      <c r="JE103" s="74"/>
      <c r="JF103" s="56"/>
      <c r="JG103" s="80"/>
      <c r="JH103" s="48"/>
      <c r="JI103" s="74"/>
      <c r="JJ103" s="56"/>
      <c r="JK103" s="81"/>
      <c r="JL103" s="48"/>
      <c r="JM103" s="54"/>
      <c r="JN103" s="54"/>
    </row>
    <row r="104" spans="1:274" s="113" customFormat="1">
      <c r="A104" s="249"/>
      <c r="B104" s="114"/>
      <c r="C104" s="114"/>
      <c r="D104" s="249"/>
      <c r="E104" s="36">
        <v>99</v>
      </c>
      <c r="F104" s="145">
        <v>2</v>
      </c>
      <c r="G104" s="132">
        <v>9507200050</v>
      </c>
      <c r="H104" s="133" t="s">
        <v>136</v>
      </c>
      <c r="I104" s="220">
        <f>3673.88/11</f>
        <v>333.98909090909092</v>
      </c>
      <c r="J104" s="119"/>
      <c r="K104" s="119"/>
      <c r="L104" s="119"/>
      <c r="M104" s="134"/>
      <c r="N104" s="134"/>
      <c r="O104" s="135"/>
      <c r="P104" s="135"/>
      <c r="Q104" s="130"/>
      <c r="R104" s="130"/>
      <c r="S104" s="135"/>
      <c r="T104" s="135"/>
      <c r="U104" s="130"/>
      <c r="V104" s="130"/>
      <c r="W104" s="135"/>
      <c r="X104" s="135"/>
      <c r="Y104" s="130"/>
      <c r="Z104" s="130"/>
      <c r="AA104" s="130"/>
      <c r="AB104" s="135"/>
      <c r="AC104" s="130"/>
      <c r="AD104" s="130"/>
      <c r="AE104" s="135"/>
      <c r="AF104" s="135"/>
      <c r="AG104" s="130"/>
      <c r="AH104" s="130"/>
      <c r="AI104" s="130"/>
      <c r="AJ104" s="135"/>
      <c r="AK104" s="130"/>
      <c r="AL104" s="136"/>
      <c r="AM104" s="137"/>
      <c r="AN104" s="130"/>
      <c r="AO104" s="130"/>
      <c r="AP104" s="136"/>
      <c r="AQ104" s="136"/>
      <c r="AR104" s="138"/>
      <c r="AS104" s="130"/>
      <c r="AT104" s="130"/>
      <c r="AU104" s="137"/>
      <c r="AV104" s="130"/>
      <c r="AW104" s="130"/>
      <c r="AX104" s="130"/>
      <c r="AY104" s="137"/>
      <c r="AZ104" s="130"/>
      <c r="BA104" s="130"/>
      <c r="BB104" s="130"/>
      <c r="BC104" s="139"/>
      <c r="BD104" s="130"/>
      <c r="BE104" s="130"/>
      <c r="BF104" s="130"/>
      <c r="BG104" s="140"/>
      <c r="BH104" s="130"/>
      <c r="BI104" s="141"/>
      <c r="BJ104" s="142"/>
      <c r="BK104" s="130"/>
      <c r="BL104" s="143"/>
      <c r="BM104" s="143"/>
      <c r="BN104" s="130"/>
      <c r="BO104" s="130"/>
      <c r="BP104" s="130"/>
      <c r="BQ104" s="143"/>
      <c r="BR104" s="143"/>
      <c r="BS104" s="130"/>
      <c r="BT104" s="130"/>
      <c r="BU104" s="130"/>
      <c r="BV104" s="143"/>
      <c r="BW104" s="143"/>
      <c r="BX104" s="130"/>
      <c r="BY104" s="130"/>
      <c r="BZ104" s="130"/>
      <c r="CA104" s="143"/>
      <c r="CB104" s="143"/>
      <c r="CC104" s="130"/>
      <c r="CD104" s="130"/>
      <c r="CE104" s="130"/>
      <c r="CF104" s="143"/>
      <c r="CG104" s="143"/>
      <c r="CH104" s="77"/>
      <c r="CI104" s="128"/>
      <c r="CJ104" s="74"/>
      <c r="CK104" s="107"/>
      <c r="CL104" s="129"/>
      <c r="CM104" s="77">
        <v>3</v>
      </c>
      <c r="CN104" s="130"/>
      <c r="CO104" s="74"/>
      <c r="CP104" s="107"/>
      <c r="CQ104" s="108"/>
      <c r="CR104" s="77"/>
      <c r="CS104" s="48"/>
      <c r="CT104" s="74"/>
      <c r="CU104" s="107"/>
      <c r="CV104" s="108"/>
      <c r="CW104" s="77"/>
      <c r="CX104" s="48"/>
      <c r="CY104" s="74"/>
      <c r="CZ104" s="107"/>
      <c r="DA104" s="108"/>
      <c r="DB104" s="77"/>
      <c r="DC104" s="48"/>
      <c r="DD104" s="74"/>
      <c r="DE104" s="107"/>
      <c r="DF104" s="108"/>
      <c r="DG104" s="77"/>
      <c r="DH104" s="48"/>
      <c r="DI104" s="74"/>
      <c r="DJ104" s="107"/>
      <c r="DK104" s="108"/>
      <c r="DL104" s="80"/>
      <c r="DM104" s="48"/>
      <c r="DN104" s="74"/>
      <c r="DO104" s="107"/>
      <c r="DP104" s="108"/>
      <c r="DQ104" s="81"/>
      <c r="DR104" s="48"/>
      <c r="DS104" s="54"/>
      <c r="DT104" s="54"/>
      <c r="DU104" s="74"/>
      <c r="DV104" s="56"/>
      <c r="DW104" s="76"/>
      <c r="DX104" s="75"/>
      <c r="DY104" s="74"/>
      <c r="DZ104" s="56"/>
      <c r="EA104" s="76"/>
      <c r="EB104" s="75"/>
      <c r="EC104" s="74"/>
      <c r="ED104" s="74"/>
      <c r="EE104" s="76"/>
      <c r="EF104" s="75"/>
      <c r="EG104" s="74"/>
      <c r="EH104" s="74"/>
      <c r="EI104" s="76"/>
      <c r="EJ104" s="42"/>
      <c r="EK104" s="74"/>
      <c r="EL104" s="48"/>
      <c r="EM104" s="77"/>
      <c r="EN104" s="75"/>
      <c r="EO104" s="74"/>
      <c r="EP104" s="48"/>
      <c r="EQ104" s="77"/>
      <c r="ER104" s="62"/>
      <c r="ES104" s="74"/>
      <c r="ET104" s="48"/>
      <c r="EU104" s="77"/>
      <c r="EV104" s="48"/>
      <c r="EW104" s="74"/>
      <c r="EX104" s="48"/>
      <c r="EY104" s="77"/>
      <c r="EZ104" s="48"/>
      <c r="FA104" s="74"/>
      <c r="FB104" s="48"/>
      <c r="FC104" s="77"/>
      <c r="FD104" s="48"/>
      <c r="FE104" s="74"/>
      <c r="FF104" s="48"/>
      <c r="FG104" s="77"/>
      <c r="FH104" s="48"/>
      <c r="FI104" s="74"/>
      <c r="FJ104" s="48"/>
      <c r="FK104" s="80"/>
      <c r="FL104" s="48"/>
      <c r="FM104" s="74"/>
      <c r="FN104" s="48"/>
      <c r="FO104" s="81"/>
      <c r="FP104" s="48"/>
      <c r="FQ104" s="54"/>
      <c r="FR104" s="54"/>
      <c r="FS104" s="74"/>
      <c r="FT104" s="56"/>
      <c r="FU104" s="76"/>
      <c r="FV104" s="75"/>
      <c r="FW104" s="74"/>
      <c r="FX104" s="56"/>
      <c r="FY104" s="76"/>
      <c r="FZ104" s="75"/>
      <c r="GA104" s="74"/>
      <c r="GB104" s="56"/>
      <c r="GC104" s="76"/>
      <c r="GD104" s="75"/>
      <c r="GE104" s="74"/>
      <c r="GF104" s="56"/>
      <c r="GG104" s="76"/>
      <c r="GH104" s="42"/>
      <c r="GI104" s="74"/>
      <c r="GJ104" s="56"/>
      <c r="GK104" s="77"/>
      <c r="GL104" s="75"/>
      <c r="GM104" s="74"/>
      <c r="GN104" s="56"/>
      <c r="GO104" s="77"/>
      <c r="GP104" s="62"/>
      <c r="GQ104" s="74"/>
      <c r="GR104" s="56"/>
      <c r="GS104" s="77"/>
      <c r="GT104" s="48"/>
      <c r="GU104" s="74"/>
      <c r="GV104" s="56"/>
      <c r="GW104" s="77"/>
      <c r="GX104" s="48"/>
      <c r="GY104" s="74"/>
      <c r="GZ104" s="56"/>
      <c r="HA104" s="77"/>
      <c r="HB104" s="48"/>
      <c r="HC104" s="74"/>
      <c r="HD104" s="56"/>
      <c r="HE104" s="77"/>
      <c r="HF104" s="48"/>
      <c r="HG104" s="74"/>
      <c r="HH104" s="56"/>
      <c r="HI104" s="80"/>
      <c r="HJ104" s="48"/>
      <c r="HK104" s="74"/>
      <c r="HL104" s="56"/>
      <c r="HM104" s="81"/>
      <c r="HN104" s="48"/>
      <c r="HO104" s="54"/>
      <c r="HP104" s="54"/>
      <c r="HQ104" s="74"/>
      <c r="HR104" s="56"/>
      <c r="HS104" s="76"/>
      <c r="HT104" s="75"/>
      <c r="HU104" s="74"/>
      <c r="HV104" s="56"/>
      <c r="HW104" s="76"/>
      <c r="HX104" s="75"/>
      <c r="HY104" s="74"/>
      <c r="HZ104" s="56"/>
      <c r="IA104" s="76"/>
      <c r="IB104" s="75"/>
      <c r="IC104" s="74"/>
      <c r="ID104" s="56"/>
      <c r="IE104" s="76"/>
      <c r="IF104" s="42"/>
      <c r="IG104" s="74"/>
      <c r="IH104" s="56"/>
      <c r="II104" s="77"/>
      <c r="IJ104" s="75"/>
      <c r="IK104" s="74"/>
      <c r="IL104" s="56"/>
      <c r="IM104" s="77"/>
      <c r="IN104" s="62"/>
      <c r="IO104" s="74"/>
      <c r="IP104" s="56"/>
      <c r="IQ104" s="77"/>
      <c r="IR104" s="48"/>
      <c r="IS104" s="74"/>
      <c r="IT104" s="56"/>
      <c r="IU104" s="77"/>
      <c r="IV104" s="48"/>
      <c r="IW104" s="74"/>
      <c r="IX104" s="56"/>
      <c r="IY104" s="77"/>
      <c r="IZ104" s="48"/>
      <c r="JA104" s="74"/>
      <c r="JB104" s="56"/>
      <c r="JC104" s="77"/>
      <c r="JD104" s="48"/>
      <c r="JE104" s="74"/>
      <c r="JF104" s="56"/>
      <c r="JG104" s="80"/>
      <c r="JH104" s="48"/>
      <c r="JI104" s="74"/>
      <c r="JJ104" s="56"/>
      <c r="JK104" s="81"/>
      <c r="JL104" s="48"/>
      <c r="JM104" s="54"/>
      <c r="JN104" s="54"/>
    </row>
    <row r="105" spans="1:274" s="113" customFormat="1">
      <c r="A105" s="249"/>
      <c r="B105" s="114"/>
      <c r="C105" s="114"/>
      <c r="D105" s="249"/>
      <c r="E105" s="36">
        <v>100</v>
      </c>
      <c r="F105" s="145">
        <v>2</v>
      </c>
      <c r="G105" s="132" t="s">
        <v>137</v>
      </c>
      <c r="H105" s="133" t="s">
        <v>138</v>
      </c>
      <c r="I105" s="220">
        <f>43899.78/11</f>
        <v>3990.889090909091</v>
      </c>
      <c r="J105" s="119"/>
      <c r="K105" s="119"/>
      <c r="L105" s="119"/>
      <c r="M105" s="134"/>
      <c r="N105" s="134"/>
      <c r="O105" s="135"/>
      <c r="P105" s="135"/>
      <c r="Q105" s="130"/>
      <c r="R105" s="130"/>
      <c r="S105" s="135"/>
      <c r="T105" s="135"/>
      <c r="U105" s="130"/>
      <c r="V105" s="130"/>
      <c r="W105" s="135"/>
      <c r="X105" s="135"/>
      <c r="Y105" s="130"/>
      <c r="Z105" s="130"/>
      <c r="AA105" s="130"/>
      <c r="AB105" s="135"/>
      <c r="AC105" s="130"/>
      <c r="AD105" s="130"/>
      <c r="AE105" s="135"/>
      <c r="AF105" s="135"/>
      <c r="AG105" s="130"/>
      <c r="AH105" s="130"/>
      <c r="AI105" s="130"/>
      <c r="AJ105" s="135"/>
      <c r="AK105" s="130"/>
      <c r="AL105" s="136"/>
      <c r="AM105" s="137"/>
      <c r="AN105" s="130"/>
      <c r="AO105" s="130"/>
      <c r="AP105" s="136"/>
      <c r="AQ105" s="136"/>
      <c r="AR105" s="138"/>
      <c r="AS105" s="130"/>
      <c r="AT105" s="130"/>
      <c r="AU105" s="137"/>
      <c r="AV105" s="130"/>
      <c r="AW105" s="130"/>
      <c r="AX105" s="130"/>
      <c r="AY105" s="137"/>
      <c r="AZ105" s="130"/>
      <c r="BA105" s="130"/>
      <c r="BB105" s="130"/>
      <c r="BC105" s="139"/>
      <c r="BD105" s="130"/>
      <c r="BE105" s="130"/>
      <c r="BF105" s="130"/>
      <c r="BG105" s="140"/>
      <c r="BH105" s="130"/>
      <c r="BI105" s="141"/>
      <c r="BJ105" s="142"/>
      <c r="BK105" s="130"/>
      <c r="BL105" s="143"/>
      <c r="BM105" s="143"/>
      <c r="BN105" s="130"/>
      <c r="BO105" s="130"/>
      <c r="BP105" s="130"/>
      <c r="BQ105" s="143"/>
      <c r="BR105" s="143"/>
      <c r="BS105" s="130"/>
      <c r="BT105" s="130"/>
      <c r="BU105" s="130"/>
      <c r="BV105" s="143"/>
      <c r="BW105" s="143"/>
      <c r="BX105" s="130"/>
      <c r="BY105" s="130"/>
      <c r="BZ105" s="130"/>
      <c r="CA105" s="143"/>
      <c r="CB105" s="143"/>
      <c r="CC105" s="130"/>
      <c r="CD105" s="130"/>
      <c r="CE105" s="130"/>
      <c r="CF105" s="143"/>
      <c r="CG105" s="143"/>
      <c r="CH105" s="77"/>
      <c r="CI105" s="128"/>
      <c r="CJ105" s="74"/>
      <c r="CK105" s="107"/>
      <c r="CL105" s="129"/>
      <c r="CM105" s="77">
        <v>1</v>
      </c>
      <c r="CN105" s="130"/>
      <c r="CO105" s="74"/>
      <c r="CP105" s="107"/>
      <c r="CQ105" s="108"/>
      <c r="CR105" s="77"/>
      <c r="CS105" s="48"/>
      <c r="CT105" s="74"/>
      <c r="CU105" s="107"/>
      <c r="CV105" s="108"/>
      <c r="CW105" s="77"/>
      <c r="CX105" s="48"/>
      <c r="CY105" s="74"/>
      <c r="CZ105" s="107"/>
      <c r="DA105" s="108"/>
      <c r="DB105" s="77"/>
      <c r="DC105" s="48"/>
      <c r="DD105" s="74"/>
      <c r="DE105" s="107"/>
      <c r="DF105" s="108"/>
      <c r="DG105" s="77"/>
      <c r="DH105" s="48"/>
      <c r="DI105" s="74"/>
      <c r="DJ105" s="107"/>
      <c r="DK105" s="108"/>
      <c r="DL105" s="80"/>
      <c r="DM105" s="48"/>
      <c r="DN105" s="74"/>
      <c r="DO105" s="107"/>
      <c r="DP105" s="108"/>
      <c r="DQ105" s="81"/>
      <c r="DR105" s="48"/>
      <c r="DS105" s="54"/>
      <c r="DT105" s="54"/>
      <c r="DU105" s="74"/>
      <c r="DV105" s="56"/>
      <c r="DW105" s="76"/>
      <c r="DX105" s="75"/>
      <c r="DY105" s="74"/>
      <c r="DZ105" s="56"/>
      <c r="EA105" s="76"/>
      <c r="EB105" s="75"/>
      <c r="EC105" s="74"/>
      <c r="ED105" s="74"/>
      <c r="EE105" s="76"/>
      <c r="EF105" s="75"/>
      <c r="EG105" s="74"/>
      <c r="EH105" s="74"/>
      <c r="EI105" s="76"/>
      <c r="EJ105" s="42"/>
      <c r="EK105" s="74"/>
      <c r="EL105" s="48"/>
      <c r="EM105" s="77"/>
      <c r="EN105" s="75"/>
      <c r="EO105" s="74"/>
      <c r="EP105" s="48"/>
      <c r="EQ105" s="77"/>
      <c r="ER105" s="62"/>
      <c r="ES105" s="74"/>
      <c r="ET105" s="48"/>
      <c r="EU105" s="77"/>
      <c r="EV105" s="48"/>
      <c r="EW105" s="74"/>
      <c r="EX105" s="48"/>
      <c r="EY105" s="77"/>
      <c r="EZ105" s="48"/>
      <c r="FA105" s="74"/>
      <c r="FB105" s="48"/>
      <c r="FC105" s="77"/>
      <c r="FD105" s="48"/>
      <c r="FE105" s="74"/>
      <c r="FF105" s="48"/>
      <c r="FG105" s="77"/>
      <c r="FH105" s="48"/>
      <c r="FI105" s="74"/>
      <c r="FJ105" s="48"/>
      <c r="FK105" s="80"/>
      <c r="FL105" s="48"/>
      <c r="FM105" s="74"/>
      <c r="FN105" s="48"/>
      <c r="FO105" s="81"/>
      <c r="FP105" s="48"/>
      <c r="FQ105" s="54"/>
      <c r="FR105" s="54"/>
      <c r="FS105" s="74"/>
      <c r="FT105" s="56"/>
      <c r="FU105" s="76"/>
      <c r="FV105" s="75"/>
      <c r="FW105" s="74"/>
      <c r="FX105" s="56"/>
      <c r="FY105" s="76"/>
      <c r="FZ105" s="75"/>
      <c r="GA105" s="74"/>
      <c r="GB105" s="56"/>
      <c r="GC105" s="76"/>
      <c r="GD105" s="75"/>
      <c r="GE105" s="74"/>
      <c r="GF105" s="56"/>
      <c r="GG105" s="76"/>
      <c r="GH105" s="42"/>
      <c r="GI105" s="74"/>
      <c r="GJ105" s="56"/>
      <c r="GK105" s="77"/>
      <c r="GL105" s="75"/>
      <c r="GM105" s="74"/>
      <c r="GN105" s="56"/>
      <c r="GO105" s="77"/>
      <c r="GP105" s="62"/>
      <c r="GQ105" s="74"/>
      <c r="GR105" s="56"/>
      <c r="GS105" s="77"/>
      <c r="GT105" s="48"/>
      <c r="GU105" s="74"/>
      <c r="GV105" s="56"/>
      <c r="GW105" s="77"/>
      <c r="GX105" s="48"/>
      <c r="GY105" s="74"/>
      <c r="GZ105" s="56"/>
      <c r="HA105" s="77"/>
      <c r="HB105" s="48"/>
      <c r="HC105" s="74"/>
      <c r="HD105" s="56"/>
      <c r="HE105" s="77"/>
      <c r="HF105" s="48"/>
      <c r="HG105" s="74"/>
      <c r="HH105" s="56"/>
      <c r="HI105" s="80"/>
      <c r="HJ105" s="48"/>
      <c r="HK105" s="74"/>
      <c r="HL105" s="56"/>
      <c r="HM105" s="81"/>
      <c r="HN105" s="48"/>
      <c r="HO105" s="54"/>
      <c r="HP105" s="54"/>
      <c r="HQ105" s="74"/>
      <c r="HR105" s="56"/>
      <c r="HS105" s="76"/>
      <c r="HT105" s="75"/>
      <c r="HU105" s="74"/>
      <c r="HV105" s="56"/>
      <c r="HW105" s="76"/>
      <c r="HX105" s="75"/>
      <c r="HY105" s="74"/>
      <c r="HZ105" s="56"/>
      <c r="IA105" s="76"/>
      <c r="IB105" s="75"/>
      <c r="IC105" s="74"/>
      <c r="ID105" s="56"/>
      <c r="IE105" s="76"/>
      <c r="IF105" s="42"/>
      <c r="IG105" s="74"/>
      <c r="IH105" s="56"/>
      <c r="II105" s="77"/>
      <c r="IJ105" s="75"/>
      <c r="IK105" s="74"/>
      <c r="IL105" s="56"/>
      <c r="IM105" s="77"/>
      <c r="IN105" s="62"/>
      <c r="IO105" s="74"/>
      <c r="IP105" s="56"/>
      <c r="IQ105" s="77"/>
      <c r="IR105" s="48"/>
      <c r="IS105" s="74"/>
      <c r="IT105" s="56"/>
      <c r="IU105" s="77"/>
      <c r="IV105" s="48"/>
      <c r="IW105" s="74"/>
      <c r="IX105" s="56"/>
      <c r="IY105" s="77"/>
      <c r="IZ105" s="48"/>
      <c r="JA105" s="74"/>
      <c r="JB105" s="56"/>
      <c r="JC105" s="77"/>
      <c r="JD105" s="48"/>
      <c r="JE105" s="74"/>
      <c r="JF105" s="56"/>
      <c r="JG105" s="80"/>
      <c r="JH105" s="48"/>
      <c r="JI105" s="74"/>
      <c r="JJ105" s="56"/>
      <c r="JK105" s="81"/>
      <c r="JL105" s="48"/>
      <c r="JM105" s="54"/>
      <c r="JN105" s="54"/>
    </row>
    <row r="106" spans="1:274" s="113" customFormat="1">
      <c r="A106" s="249"/>
      <c r="B106" s="114"/>
      <c r="C106" s="114"/>
      <c r="D106" s="249"/>
      <c r="E106" s="36">
        <v>101</v>
      </c>
      <c r="F106" s="145">
        <v>2</v>
      </c>
      <c r="G106" s="132">
        <v>9730030000</v>
      </c>
      <c r="H106" s="133" t="s">
        <v>139</v>
      </c>
      <c r="I106" s="220">
        <f>9118.88/11</f>
        <v>828.98909090909081</v>
      </c>
      <c r="J106" s="119"/>
      <c r="K106" s="119"/>
      <c r="L106" s="119"/>
      <c r="M106" s="134"/>
      <c r="N106" s="134"/>
      <c r="O106" s="135"/>
      <c r="P106" s="135"/>
      <c r="Q106" s="130"/>
      <c r="R106" s="130"/>
      <c r="S106" s="135"/>
      <c r="T106" s="135"/>
      <c r="U106" s="130"/>
      <c r="V106" s="130"/>
      <c r="W106" s="135"/>
      <c r="X106" s="135"/>
      <c r="Y106" s="130"/>
      <c r="Z106" s="130"/>
      <c r="AA106" s="130"/>
      <c r="AB106" s="135"/>
      <c r="AC106" s="130"/>
      <c r="AD106" s="130"/>
      <c r="AE106" s="135"/>
      <c r="AF106" s="135"/>
      <c r="AG106" s="130"/>
      <c r="AH106" s="130"/>
      <c r="AI106" s="130"/>
      <c r="AJ106" s="135"/>
      <c r="AK106" s="130"/>
      <c r="AL106" s="136"/>
      <c r="AM106" s="137"/>
      <c r="AN106" s="130"/>
      <c r="AO106" s="130"/>
      <c r="AP106" s="136"/>
      <c r="AQ106" s="136"/>
      <c r="AR106" s="138"/>
      <c r="AS106" s="130"/>
      <c r="AT106" s="130"/>
      <c r="AU106" s="137"/>
      <c r="AV106" s="130"/>
      <c r="AW106" s="130"/>
      <c r="AX106" s="130"/>
      <c r="AY106" s="137"/>
      <c r="AZ106" s="130"/>
      <c r="BA106" s="130"/>
      <c r="BB106" s="130"/>
      <c r="BC106" s="139"/>
      <c r="BD106" s="130"/>
      <c r="BE106" s="130"/>
      <c r="BF106" s="130"/>
      <c r="BG106" s="140"/>
      <c r="BH106" s="130"/>
      <c r="BI106" s="141"/>
      <c r="BJ106" s="142"/>
      <c r="BK106" s="130"/>
      <c r="BL106" s="143"/>
      <c r="BM106" s="143"/>
      <c r="BN106" s="130"/>
      <c r="BO106" s="130"/>
      <c r="BP106" s="130"/>
      <c r="BQ106" s="143"/>
      <c r="BR106" s="143"/>
      <c r="BS106" s="130"/>
      <c r="BT106" s="130"/>
      <c r="BU106" s="130"/>
      <c r="BV106" s="143"/>
      <c r="BW106" s="143"/>
      <c r="BX106" s="130"/>
      <c r="BY106" s="130"/>
      <c r="BZ106" s="130"/>
      <c r="CA106" s="143"/>
      <c r="CB106" s="143"/>
      <c r="CC106" s="130"/>
      <c r="CD106" s="130"/>
      <c r="CE106" s="130"/>
      <c r="CF106" s="143"/>
      <c r="CG106" s="143"/>
      <c r="CH106" s="77"/>
      <c r="CI106" s="128"/>
      <c r="CJ106" s="74"/>
      <c r="CK106" s="107"/>
      <c r="CL106" s="129"/>
      <c r="CM106" s="77">
        <v>1</v>
      </c>
      <c r="CN106" s="130"/>
      <c r="CO106" s="74"/>
      <c r="CP106" s="107"/>
      <c r="CQ106" s="108"/>
      <c r="CR106" s="77"/>
      <c r="CS106" s="48"/>
      <c r="CT106" s="74"/>
      <c r="CU106" s="107"/>
      <c r="CV106" s="108"/>
      <c r="CW106" s="77"/>
      <c r="CX106" s="48"/>
      <c r="CY106" s="74"/>
      <c r="CZ106" s="107"/>
      <c r="DA106" s="108"/>
      <c r="DB106" s="77"/>
      <c r="DC106" s="48"/>
      <c r="DD106" s="74"/>
      <c r="DE106" s="107"/>
      <c r="DF106" s="108"/>
      <c r="DG106" s="77"/>
      <c r="DH106" s="48"/>
      <c r="DI106" s="74"/>
      <c r="DJ106" s="107"/>
      <c r="DK106" s="108"/>
      <c r="DL106" s="80"/>
      <c r="DM106" s="48"/>
      <c r="DN106" s="74"/>
      <c r="DO106" s="107"/>
      <c r="DP106" s="108"/>
      <c r="DQ106" s="81"/>
      <c r="DR106" s="48"/>
      <c r="DS106" s="54"/>
      <c r="DT106" s="54"/>
      <c r="DU106" s="74"/>
      <c r="DV106" s="56"/>
      <c r="DW106" s="76"/>
      <c r="DX106" s="75"/>
      <c r="DY106" s="74"/>
      <c r="DZ106" s="56"/>
      <c r="EA106" s="76"/>
      <c r="EB106" s="75"/>
      <c r="EC106" s="74"/>
      <c r="ED106" s="74"/>
      <c r="EE106" s="76"/>
      <c r="EF106" s="75"/>
      <c r="EG106" s="74"/>
      <c r="EH106" s="74"/>
      <c r="EI106" s="76"/>
      <c r="EJ106" s="42"/>
      <c r="EK106" s="74"/>
      <c r="EL106" s="48"/>
      <c r="EM106" s="77"/>
      <c r="EN106" s="75"/>
      <c r="EO106" s="74"/>
      <c r="EP106" s="48"/>
      <c r="EQ106" s="77"/>
      <c r="ER106" s="62"/>
      <c r="ES106" s="74"/>
      <c r="ET106" s="48"/>
      <c r="EU106" s="77"/>
      <c r="EV106" s="48"/>
      <c r="EW106" s="74"/>
      <c r="EX106" s="48"/>
      <c r="EY106" s="77"/>
      <c r="EZ106" s="48"/>
      <c r="FA106" s="74"/>
      <c r="FB106" s="48"/>
      <c r="FC106" s="77"/>
      <c r="FD106" s="48"/>
      <c r="FE106" s="74"/>
      <c r="FF106" s="48"/>
      <c r="FG106" s="77"/>
      <c r="FH106" s="48"/>
      <c r="FI106" s="74"/>
      <c r="FJ106" s="48"/>
      <c r="FK106" s="80"/>
      <c r="FL106" s="48"/>
      <c r="FM106" s="74"/>
      <c r="FN106" s="48"/>
      <c r="FO106" s="81"/>
      <c r="FP106" s="48"/>
      <c r="FQ106" s="54"/>
      <c r="FR106" s="54"/>
      <c r="FS106" s="74"/>
      <c r="FT106" s="56"/>
      <c r="FU106" s="76"/>
      <c r="FV106" s="75"/>
      <c r="FW106" s="74"/>
      <c r="FX106" s="56"/>
      <c r="FY106" s="76"/>
      <c r="FZ106" s="75"/>
      <c r="GA106" s="74"/>
      <c r="GB106" s="56"/>
      <c r="GC106" s="76"/>
      <c r="GD106" s="75"/>
      <c r="GE106" s="74"/>
      <c r="GF106" s="56"/>
      <c r="GG106" s="76"/>
      <c r="GH106" s="42"/>
      <c r="GI106" s="74"/>
      <c r="GJ106" s="56"/>
      <c r="GK106" s="77"/>
      <c r="GL106" s="75"/>
      <c r="GM106" s="74"/>
      <c r="GN106" s="56"/>
      <c r="GO106" s="77"/>
      <c r="GP106" s="62"/>
      <c r="GQ106" s="74"/>
      <c r="GR106" s="56"/>
      <c r="GS106" s="77"/>
      <c r="GT106" s="48"/>
      <c r="GU106" s="74"/>
      <c r="GV106" s="56"/>
      <c r="GW106" s="77"/>
      <c r="GX106" s="48"/>
      <c r="GY106" s="74"/>
      <c r="GZ106" s="56"/>
      <c r="HA106" s="77"/>
      <c r="HB106" s="48"/>
      <c r="HC106" s="74"/>
      <c r="HD106" s="56"/>
      <c r="HE106" s="77"/>
      <c r="HF106" s="48"/>
      <c r="HG106" s="74"/>
      <c r="HH106" s="56"/>
      <c r="HI106" s="80"/>
      <c r="HJ106" s="48"/>
      <c r="HK106" s="74"/>
      <c r="HL106" s="56"/>
      <c r="HM106" s="81"/>
      <c r="HN106" s="48"/>
      <c r="HO106" s="54"/>
      <c r="HP106" s="54"/>
      <c r="HQ106" s="74"/>
      <c r="HR106" s="56"/>
      <c r="HS106" s="76"/>
      <c r="HT106" s="75"/>
      <c r="HU106" s="74"/>
      <c r="HV106" s="56"/>
      <c r="HW106" s="76"/>
      <c r="HX106" s="75"/>
      <c r="HY106" s="74"/>
      <c r="HZ106" s="56"/>
      <c r="IA106" s="76"/>
      <c r="IB106" s="75"/>
      <c r="IC106" s="74"/>
      <c r="ID106" s="56"/>
      <c r="IE106" s="76"/>
      <c r="IF106" s="42"/>
      <c r="IG106" s="74"/>
      <c r="IH106" s="56"/>
      <c r="II106" s="77"/>
      <c r="IJ106" s="75"/>
      <c r="IK106" s="74"/>
      <c r="IL106" s="56"/>
      <c r="IM106" s="77"/>
      <c r="IN106" s="62"/>
      <c r="IO106" s="74"/>
      <c r="IP106" s="56"/>
      <c r="IQ106" s="77"/>
      <c r="IR106" s="48"/>
      <c r="IS106" s="74"/>
      <c r="IT106" s="56"/>
      <c r="IU106" s="77"/>
      <c r="IV106" s="48"/>
      <c r="IW106" s="74"/>
      <c r="IX106" s="56"/>
      <c r="IY106" s="77"/>
      <c r="IZ106" s="48"/>
      <c r="JA106" s="74"/>
      <c r="JB106" s="56"/>
      <c r="JC106" s="77"/>
      <c r="JD106" s="48"/>
      <c r="JE106" s="74"/>
      <c r="JF106" s="56"/>
      <c r="JG106" s="80"/>
      <c r="JH106" s="48"/>
      <c r="JI106" s="74"/>
      <c r="JJ106" s="56"/>
      <c r="JK106" s="81"/>
      <c r="JL106" s="48"/>
      <c r="JM106" s="54"/>
      <c r="JN106" s="54"/>
    </row>
    <row r="107" spans="1:274" s="113" customFormat="1">
      <c r="A107" s="249"/>
      <c r="B107" s="114"/>
      <c r="C107" s="114"/>
      <c r="D107" s="249"/>
      <c r="E107" s="36">
        <v>102</v>
      </c>
      <c r="F107" s="145">
        <v>2</v>
      </c>
      <c r="G107" s="132">
        <v>4410140320</v>
      </c>
      <c r="H107" s="133" t="s">
        <v>140</v>
      </c>
      <c r="I107" s="220">
        <f>928.28/11</f>
        <v>84.38909090909091</v>
      </c>
      <c r="J107" s="119"/>
      <c r="K107" s="119"/>
      <c r="L107" s="119"/>
      <c r="M107" s="134"/>
      <c r="N107" s="134"/>
      <c r="O107" s="135"/>
      <c r="P107" s="135"/>
      <c r="Q107" s="130"/>
      <c r="R107" s="130"/>
      <c r="S107" s="135"/>
      <c r="T107" s="135"/>
      <c r="U107" s="130"/>
      <c r="V107" s="130"/>
      <c r="W107" s="135"/>
      <c r="X107" s="135"/>
      <c r="Y107" s="130"/>
      <c r="Z107" s="130"/>
      <c r="AA107" s="130"/>
      <c r="AB107" s="135"/>
      <c r="AC107" s="130"/>
      <c r="AD107" s="130"/>
      <c r="AE107" s="135"/>
      <c r="AF107" s="135"/>
      <c r="AG107" s="130"/>
      <c r="AH107" s="130"/>
      <c r="AI107" s="130"/>
      <c r="AJ107" s="135"/>
      <c r="AK107" s="130"/>
      <c r="AL107" s="136"/>
      <c r="AM107" s="137"/>
      <c r="AN107" s="130"/>
      <c r="AO107" s="130"/>
      <c r="AP107" s="136"/>
      <c r="AQ107" s="136"/>
      <c r="AR107" s="138"/>
      <c r="AS107" s="130"/>
      <c r="AT107" s="130"/>
      <c r="AU107" s="137"/>
      <c r="AV107" s="130"/>
      <c r="AW107" s="130"/>
      <c r="AX107" s="130"/>
      <c r="AY107" s="137"/>
      <c r="AZ107" s="130"/>
      <c r="BA107" s="130"/>
      <c r="BB107" s="130"/>
      <c r="BC107" s="139"/>
      <c r="BD107" s="130"/>
      <c r="BE107" s="130"/>
      <c r="BF107" s="130"/>
      <c r="BG107" s="140"/>
      <c r="BH107" s="130"/>
      <c r="BI107" s="141"/>
      <c r="BJ107" s="142"/>
      <c r="BK107" s="130"/>
      <c r="BL107" s="143"/>
      <c r="BM107" s="143"/>
      <c r="BN107" s="130"/>
      <c r="BO107" s="130"/>
      <c r="BP107" s="130"/>
      <c r="BQ107" s="143"/>
      <c r="BR107" s="143"/>
      <c r="BS107" s="130"/>
      <c r="BT107" s="130"/>
      <c r="BU107" s="130"/>
      <c r="BV107" s="143"/>
      <c r="BW107" s="143"/>
      <c r="BX107" s="130"/>
      <c r="BY107" s="130"/>
      <c r="BZ107" s="130"/>
      <c r="CA107" s="143"/>
      <c r="CB107" s="143"/>
      <c r="CC107" s="130"/>
      <c r="CD107" s="130"/>
      <c r="CE107" s="130"/>
      <c r="CF107" s="143"/>
      <c r="CG107" s="143"/>
      <c r="CH107" s="77"/>
      <c r="CI107" s="128"/>
      <c r="CJ107" s="74"/>
      <c r="CK107" s="107"/>
      <c r="CL107" s="129"/>
      <c r="CM107" s="77">
        <v>10</v>
      </c>
      <c r="CN107" s="130"/>
      <c r="CO107" s="74"/>
      <c r="CP107" s="107"/>
      <c r="CQ107" s="108"/>
      <c r="CR107" s="77"/>
      <c r="CS107" s="48"/>
      <c r="CT107" s="74"/>
      <c r="CU107" s="107"/>
      <c r="CV107" s="108"/>
      <c r="CW107" s="77"/>
      <c r="CX107" s="48"/>
      <c r="CY107" s="74"/>
      <c r="CZ107" s="107"/>
      <c r="DA107" s="108"/>
      <c r="DB107" s="77"/>
      <c r="DC107" s="48"/>
      <c r="DD107" s="74"/>
      <c r="DE107" s="107"/>
      <c r="DF107" s="108"/>
      <c r="DG107" s="77">
        <v>1</v>
      </c>
      <c r="DH107" s="48"/>
      <c r="DI107" s="74"/>
      <c r="DJ107" s="107"/>
      <c r="DK107" s="108"/>
      <c r="DL107" s="80"/>
      <c r="DM107" s="48"/>
      <c r="DN107" s="74"/>
      <c r="DO107" s="107"/>
      <c r="DP107" s="108"/>
      <c r="DQ107" s="81"/>
      <c r="DR107" s="48"/>
      <c r="DS107" s="54"/>
      <c r="DT107" s="54"/>
      <c r="DU107" s="74"/>
      <c r="DV107" s="56"/>
      <c r="DW107" s="76"/>
      <c r="DX107" s="75"/>
      <c r="DY107" s="74"/>
      <c r="DZ107" s="56"/>
      <c r="EA107" s="76"/>
      <c r="EB107" s="75"/>
      <c r="EC107" s="74"/>
      <c r="ED107" s="74"/>
      <c r="EE107" s="76"/>
      <c r="EF107" s="75"/>
      <c r="EG107" s="74"/>
      <c r="EH107" s="74"/>
      <c r="EI107" s="76"/>
      <c r="EJ107" s="42"/>
      <c r="EK107" s="74"/>
      <c r="EL107" s="48"/>
      <c r="EM107" s="77"/>
      <c r="EN107" s="75"/>
      <c r="EO107" s="74"/>
      <c r="EP107" s="48"/>
      <c r="EQ107" s="77"/>
      <c r="ER107" s="62"/>
      <c r="ES107" s="74"/>
      <c r="ET107" s="48"/>
      <c r="EU107" s="77"/>
      <c r="EV107" s="48"/>
      <c r="EW107" s="74"/>
      <c r="EX107" s="48"/>
      <c r="EY107" s="77"/>
      <c r="EZ107" s="48"/>
      <c r="FA107" s="74"/>
      <c r="FB107" s="48"/>
      <c r="FC107" s="77"/>
      <c r="FD107" s="48"/>
      <c r="FE107" s="74"/>
      <c r="FF107" s="48"/>
      <c r="FG107" s="77"/>
      <c r="FH107" s="48"/>
      <c r="FI107" s="74"/>
      <c r="FJ107" s="48"/>
      <c r="FK107" s="80"/>
      <c r="FL107" s="48"/>
      <c r="FM107" s="74"/>
      <c r="FN107" s="48"/>
      <c r="FO107" s="81"/>
      <c r="FP107" s="48"/>
      <c r="FQ107" s="54"/>
      <c r="FR107" s="54"/>
      <c r="FS107" s="74"/>
      <c r="FT107" s="56"/>
      <c r="FU107" s="76"/>
      <c r="FV107" s="75"/>
      <c r="FW107" s="74"/>
      <c r="FX107" s="56"/>
      <c r="FY107" s="76"/>
      <c r="FZ107" s="75"/>
      <c r="GA107" s="74"/>
      <c r="GB107" s="56"/>
      <c r="GC107" s="76"/>
      <c r="GD107" s="75"/>
      <c r="GE107" s="74"/>
      <c r="GF107" s="56"/>
      <c r="GG107" s="76"/>
      <c r="GH107" s="42"/>
      <c r="GI107" s="74"/>
      <c r="GJ107" s="56"/>
      <c r="GK107" s="77"/>
      <c r="GL107" s="75"/>
      <c r="GM107" s="74"/>
      <c r="GN107" s="56"/>
      <c r="GO107" s="77"/>
      <c r="GP107" s="62"/>
      <c r="GQ107" s="74"/>
      <c r="GR107" s="56"/>
      <c r="GS107" s="77"/>
      <c r="GT107" s="48"/>
      <c r="GU107" s="74"/>
      <c r="GV107" s="56"/>
      <c r="GW107" s="77"/>
      <c r="GX107" s="48"/>
      <c r="GY107" s="74"/>
      <c r="GZ107" s="56"/>
      <c r="HA107" s="77"/>
      <c r="HB107" s="48"/>
      <c r="HC107" s="74"/>
      <c r="HD107" s="56"/>
      <c r="HE107" s="77"/>
      <c r="HF107" s="48"/>
      <c r="HG107" s="74"/>
      <c r="HH107" s="56"/>
      <c r="HI107" s="80"/>
      <c r="HJ107" s="48"/>
      <c r="HK107" s="74"/>
      <c r="HL107" s="56"/>
      <c r="HM107" s="81"/>
      <c r="HN107" s="48"/>
      <c r="HO107" s="54"/>
      <c r="HP107" s="54"/>
      <c r="HQ107" s="74"/>
      <c r="HR107" s="56"/>
      <c r="HS107" s="76"/>
      <c r="HT107" s="75"/>
      <c r="HU107" s="74"/>
      <c r="HV107" s="56"/>
      <c r="HW107" s="76"/>
      <c r="HX107" s="75"/>
      <c r="HY107" s="74"/>
      <c r="HZ107" s="56"/>
      <c r="IA107" s="76"/>
      <c r="IB107" s="75"/>
      <c r="IC107" s="74"/>
      <c r="ID107" s="56"/>
      <c r="IE107" s="76"/>
      <c r="IF107" s="42"/>
      <c r="IG107" s="74"/>
      <c r="IH107" s="56"/>
      <c r="II107" s="77"/>
      <c r="IJ107" s="75"/>
      <c r="IK107" s="74"/>
      <c r="IL107" s="56"/>
      <c r="IM107" s="77"/>
      <c r="IN107" s="62"/>
      <c r="IO107" s="74"/>
      <c r="IP107" s="56"/>
      <c r="IQ107" s="77"/>
      <c r="IR107" s="48"/>
      <c r="IS107" s="74"/>
      <c r="IT107" s="56"/>
      <c r="IU107" s="77"/>
      <c r="IV107" s="48"/>
      <c r="IW107" s="74"/>
      <c r="IX107" s="56"/>
      <c r="IY107" s="77"/>
      <c r="IZ107" s="48"/>
      <c r="JA107" s="74"/>
      <c r="JB107" s="56"/>
      <c r="JC107" s="77"/>
      <c r="JD107" s="48"/>
      <c r="JE107" s="74"/>
      <c r="JF107" s="56"/>
      <c r="JG107" s="80"/>
      <c r="JH107" s="48"/>
      <c r="JI107" s="74"/>
      <c r="JJ107" s="56"/>
      <c r="JK107" s="81"/>
      <c r="JL107" s="48"/>
      <c r="JM107" s="54"/>
      <c r="JN107" s="54"/>
    </row>
    <row r="108" spans="1:274" s="113" customFormat="1">
      <c r="A108" s="249"/>
      <c r="B108" s="114"/>
      <c r="C108" s="114"/>
      <c r="D108" s="249"/>
      <c r="E108" s="36">
        <v>103</v>
      </c>
      <c r="F108" s="145">
        <v>2</v>
      </c>
      <c r="G108" s="132">
        <v>4410507182</v>
      </c>
      <c r="H108" s="133" t="s">
        <v>141</v>
      </c>
      <c r="I108" s="220">
        <f>384.85/11</f>
        <v>34.986363636363642</v>
      </c>
      <c r="J108" s="119"/>
      <c r="K108" s="119"/>
      <c r="L108" s="119"/>
      <c r="M108" s="134"/>
      <c r="N108" s="134"/>
      <c r="O108" s="135"/>
      <c r="P108" s="135"/>
      <c r="Q108" s="130"/>
      <c r="R108" s="130"/>
      <c r="S108" s="135"/>
      <c r="T108" s="135"/>
      <c r="U108" s="130"/>
      <c r="V108" s="130"/>
      <c r="W108" s="135"/>
      <c r="X108" s="135"/>
      <c r="Y108" s="130"/>
      <c r="Z108" s="130"/>
      <c r="AA108" s="130"/>
      <c r="AB108" s="135"/>
      <c r="AC108" s="130"/>
      <c r="AD108" s="130"/>
      <c r="AE108" s="135"/>
      <c r="AF108" s="135"/>
      <c r="AG108" s="130"/>
      <c r="AH108" s="130"/>
      <c r="AI108" s="130"/>
      <c r="AJ108" s="135"/>
      <c r="AK108" s="130"/>
      <c r="AL108" s="136"/>
      <c r="AM108" s="137"/>
      <c r="AN108" s="130"/>
      <c r="AO108" s="130"/>
      <c r="AP108" s="136"/>
      <c r="AQ108" s="136"/>
      <c r="AR108" s="138"/>
      <c r="AS108" s="130"/>
      <c r="AT108" s="130"/>
      <c r="AU108" s="137"/>
      <c r="AV108" s="130"/>
      <c r="AW108" s="130"/>
      <c r="AX108" s="130"/>
      <c r="AY108" s="137"/>
      <c r="AZ108" s="130"/>
      <c r="BA108" s="130"/>
      <c r="BB108" s="130"/>
      <c r="BC108" s="139"/>
      <c r="BD108" s="130"/>
      <c r="BE108" s="130"/>
      <c r="BF108" s="130"/>
      <c r="BG108" s="140"/>
      <c r="BH108" s="130"/>
      <c r="BI108" s="141"/>
      <c r="BJ108" s="142"/>
      <c r="BK108" s="130"/>
      <c r="BL108" s="143"/>
      <c r="BM108" s="143"/>
      <c r="BN108" s="130"/>
      <c r="BO108" s="130"/>
      <c r="BP108" s="130"/>
      <c r="BQ108" s="143"/>
      <c r="BR108" s="143"/>
      <c r="BS108" s="130"/>
      <c r="BT108" s="130"/>
      <c r="BU108" s="130"/>
      <c r="BV108" s="143"/>
      <c r="BW108" s="143"/>
      <c r="BX108" s="130"/>
      <c r="BY108" s="130"/>
      <c r="BZ108" s="130"/>
      <c r="CA108" s="143"/>
      <c r="CB108" s="143"/>
      <c r="CC108" s="130"/>
      <c r="CD108" s="130"/>
      <c r="CE108" s="130"/>
      <c r="CF108" s="143"/>
      <c r="CG108" s="143"/>
      <c r="CH108" s="77"/>
      <c r="CI108" s="128"/>
      <c r="CJ108" s="74"/>
      <c r="CK108" s="107"/>
      <c r="CL108" s="129"/>
      <c r="CM108" s="77">
        <v>20</v>
      </c>
      <c r="CN108" s="130"/>
      <c r="CO108" s="74"/>
      <c r="CP108" s="107"/>
      <c r="CQ108" s="108"/>
      <c r="CR108" s="77"/>
      <c r="CS108" s="48"/>
      <c r="CT108" s="74"/>
      <c r="CU108" s="107"/>
      <c r="CV108" s="108"/>
      <c r="CW108" s="77"/>
      <c r="CX108" s="48"/>
      <c r="CY108" s="74"/>
      <c r="CZ108" s="107"/>
      <c r="DA108" s="108"/>
      <c r="DB108" s="77"/>
      <c r="DC108" s="48"/>
      <c r="DD108" s="74"/>
      <c r="DE108" s="107"/>
      <c r="DF108" s="108"/>
      <c r="DG108" s="77"/>
      <c r="DH108" s="48"/>
      <c r="DI108" s="74"/>
      <c r="DJ108" s="107"/>
      <c r="DK108" s="108"/>
      <c r="DL108" s="80"/>
      <c r="DM108" s="48"/>
      <c r="DN108" s="74"/>
      <c r="DO108" s="107"/>
      <c r="DP108" s="108"/>
      <c r="DQ108" s="81"/>
      <c r="DR108" s="48"/>
      <c r="DS108" s="54"/>
      <c r="DT108" s="54"/>
      <c r="DU108" s="74"/>
      <c r="DV108" s="56"/>
      <c r="DW108" s="76"/>
      <c r="DX108" s="75"/>
      <c r="DY108" s="74"/>
      <c r="DZ108" s="56"/>
      <c r="EA108" s="76"/>
      <c r="EB108" s="75"/>
      <c r="EC108" s="74"/>
      <c r="ED108" s="74"/>
      <c r="EE108" s="76"/>
      <c r="EF108" s="75"/>
      <c r="EG108" s="74"/>
      <c r="EH108" s="74"/>
      <c r="EI108" s="76"/>
      <c r="EJ108" s="42"/>
      <c r="EK108" s="74"/>
      <c r="EL108" s="48"/>
      <c r="EM108" s="77">
        <v>2</v>
      </c>
      <c r="EN108" s="75"/>
      <c r="EO108" s="74"/>
      <c r="EP108" s="48"/>
      <c r="EQ108" s="77"/>
      <c r="ER108" s="62"/>
      <c r="ES108" s="74"/>
      <c r="ET108" s="48"/>
      <c r="EU108" s="77"/>
      <c r="EV108" s="48"/>
      <c r="EW108" s="74"/>
      <c r="EX108" s="48"/>
      <c r="EY108" s="77"/>
      <c r="EZ108" s="48"/>
      <c r="FA108" s="74"/>
      <c r="FB108" s="48"/>
      <c r="FC108" s="77"/>
      <c r="FD108" s="48"/>
      <c r="FE108" s="74"/>
      <c r="FF108" s="48"/>
      <c r="FG108" s="77"/>
      <c r="FH108" s="48"/>
      <c r="FI108" s="74"/>
      <c r="FJ108" s="48"/>
      <c r="FK108" s="80"/>
      <c r="FL108" s="48"/>
      <c r="FM108" s="74"/>
      <c r="FN108" s="48"/>
      <c r="FO108" s="81"/>
      <c r="FP108" s="48"/>
      <c r="FQ108" s="54"/>
      <c r="FR108" s="54"/>
      <c r="FS108" s="74"/>
      <c r="FT108" s="56"/>
      <c r="FU108" s="76"/>
      <c r="FV108" s="75"/>
      <c r="FW108" s="74"/>
      <c r="FX108" s="56"/>
      <c r="FY108" s="76"/>
      <c r="FZ108" s="75"/>
      <c r="GA108" s="74"/>
      <c r="GB108" s="56"/>
      <c r="GC108" s="76"/>
      <c r="GD108" s="75"/>
      <c r="GE108" s="74"/>
      <c r="GF108" s="56"/>
      <c r="GG108" s="76"/>
      <c r="GH108" s="42"/>
      <c r="GI108" s="74"/>
      <c r="GJ108" s="56"/>
      <c r="GK108" s="77"/>
      <c r="GL108" s="75"/>
      <c r="GM108" s="74"/>
      <c r="GN108" s="56"/>
      <c r="GO108" s="77"/>
      <c r="GP108" s="62"/>
      <c r="GQ108" s="74"/>
      <c r="GR108" s="56"/>
      <c r="GS108" s="77"/>
      <c r="GT108" s="48"/>
      <c r="GU108" s="74"/>
      <c r="GV108" s="56"/>
      <c r="GW108" s="77"/>
      <c r="GX108" s="48"/>
      <c r="GY108" s="74"/>
      <c r="GZ108" s="56"/>
      <c r="HA108" s="77"/>
      <c r="HB108" s="48"/>
      <c r="HC108" s="74"/>
      <c r="HD108" s="56"/>
      <c r="HE108" s="77"/>
      <c r="HF108" s="48"/>
      <c r="HG108" s="74"/>
      <c r="HH108" s="56"/>
      <c r="HI108" s="80"/>
      <c r="HJ108" s="48"/>
      <c r="HK108" s="74"/>
      <c r="HL108" s="56"/>
      <c r="HM108" s="81"/>
      <c r="HN108" s="48"/>
      <c r="HO108" s="54"/>
      <c r="HP108" s="54"/>
      <c r="HQ108" s="74"/>
      <c r="HR108" s="56"/>
      <c r="HS108" s="76"/>
      <c r="HT108" s="75"/>
      <c r="HU108" s="74"/>
      <c r="HV108" s="56"/>
      <c r="HW108" s="76"/>
      <c r="HX108" s="75"/>
      <c r="HY108" s="74"/>
      <c r="HZ108" s="56"/>
      <c r="IA108" s="76"/>
      <c r="IB108" s="75"/>
      <c r="IC108" s="74"/>
      <c r="ID108" s="56"/>
      <c r="IE108" s="76"/>
      <c r="IF108" s="42"/>
      <c r="IG108" s="74"/>
      <c r="IH108" s="56"/>
      <c r="II108" s="77"/>
      <c r="IJ108" s="75"/>
      <c r="IK108" s="74"/>
      <c r="IL108" s="56"/>
      <c r="IM108" s="77"/>
      <c r="IN108" s="62"/>
      <c r="IO108" s="74"/>
      <c r="IP108" s="56"/>
      <c r="IQ108" s="77"/>
      <c r="IR108" s="48"/>
      <c r="IS108" s="74"/>
      <c r="IT108" s="56"/>
      <c r="IU108" s="77"/>
      <c r="IV108" s="48"/>
      <c r="IW108" s="74"/>
      <c r="IX108" s="56"/>
      <c r="IY108" s="77"/>
      <c r="IZ108" s="48"/>
      <c r="JA108" s="74"/>
      <c r="JB108" s="56"/>
      <c r="JC108" s="77"/>
      <c r="JD108" s="48"/>
      <c r="JE108" s="74"/>
      <c r="JF108" s="56"/>
      <c r="JG108" s="80"/>
      <c r="JH108" s="48"/>
      <c r="JI108" s="74"/>
      <c r="JJ108" s="56"/>
      <c r="JK108" s="81"/>
      <c r="JL108" s="48"/>
      <c r="JM108" s="54"/>
      <c r="JN108" s="54"/>
    </row>
    <row r="109" spans="1:274" s="113" customFormat="1">
      <c r="A109" s="249"/>
      <c r="B109" s="114"/>
      <c r="C109" s="114"/>
      <c r="D109" s="249"/>
      <c r="E109" s="36">
        <v>104</v>
      </c>
      <c r="F109" s="145">
        <v>2</v>
      </c>
      <c r="G109" s="132">
        <v>8915030764</v>
      </c>
      <c r="H109" s="133" t="s">
        <v>142</v>
      </c>
      <c r="I109" s="220">
        <f>83.48/11</f>
        <v>7.5890909090909098</v>
      </c>
      <c r="J109" s="119"/>
      <c r="K109" s="119"/>
      <c r="L109" s="119"/>
      <c r="M109" s="134"/>
      <c r="N109" s="134"/>
      <c r="O109" s="135"/>
      <c r="P109" s="135"/>
      <c r="Q109" s="130"/>
      <c r="R109" s="130"/>
      <c r="S109" s="135"/>
      <c r="T109" s="135"/>
      <c r="U109" s="130"/>
      <c r="V109" s="130"/>
      <c r="W109" s="135"/>
      <c r="X109" s="135"/>
      <c r="Y109" s="130"/>
      <c r="Z109" s="130"/>
      <c r="AA109" s="130"/>
      <c r="AB109" s="135"/>
      <c r="AC109" s="130"/>
      <c r="AD109" s="130"/>
      <c r="AE109" s="135"/>
      <c r="AF109" s="135"/>
      <c r="AG109" s="130"/>
      <c r="AH109" s="130"/>
      <c r="AI109" s="130"/>
      <c r="AJ109" s="135"/>
      <c r="AK109" s="130"/>
      <c r="AL109" s="136"/>
      <c r="AM109" s="137"/>
      <c r="AN109" s="130"/>
      <c r="AO109" s="130"/>
      <c r="AP109" s="136"/>
      <c r="AQ109" s="136"/>
      <c r="AR109" s="138"/>
      <c r="AS109" s="130"/>
      <c r="AT109" s="130"/>
      <c r="AU109" s="137"/>
      <c r="AV109" s="130"/>
      <c r="AW109" s="130"/>
      <c r="AX109" s="130"/>
      <c r="AY109" s="137"/>
      <c r="AZ109" s="130"/>
      <c r="BA109" s="130"/>
      <c r="BB109" s="130"/>
      <c r="BC109" s="139"/>
      <c r="BD109" s="130"/>
      <c r="BE109" s="130"/>
      <c r="BF109" s="130"/>
      <c r="BG109" s="140"/>
      <c r="BH109" s="130"/>
      <c r="BI109" s="141"/>
      <c r="BJ109" s="142"/>
      <c r="BK109" s="130"/>
      <c r="BL109" s="143"/>
      <c r="BM109" s="143"/>
      <c r="BN109" s="130"/>
      <c r="BO109" s="130"/>
      <c r="BP109" s="130"/>
      <c r="BQ109" s="143"/>
      <c r="BR109" s="143"/>
      <c r="BS109" s="130"/>
      <c r="BT109" s="130"/>
      <c r="BU109" s="130"/>
      <c r="BV109" s="143"/>
      <c r="BW109" s="143"/>
      <c r="BX109" s="130"/>
      <c r="BY109" s="130"/>
      <c r="BZ109" s="130"/>
      <c r="CA109" s="143"/>
      <c r="CB109" s="143"/>
      <c r="CC109" s="130"/>
      <c r="CD109" s="130"/>
      <c r="CE109" s="130"/>
      <c r="CF109" s="143"/>
      <c r="CG109" s="143"/>
      <c r="CH109" s="77"/>
      <c r="CI109" s="128"/>
      <c r="CJ109" s="74"/>
      <c r="CK109" s="107"/>
      <c r="CL109" s="129"/>
      <c r="CM109" s="77">
        <v>5</v>
      </c>
      <c r="CN109" s="130"/>
      <c r="CO109" s="74"/>
      <c r="CP109" s="107"/>
      <c r="CQ109" s="108"/>
      <c r="CR109" s="77"/>
      <c r="CS109" s="48"/>
      <c r="CT109" s="74"/>
      <c r="CU109" s="107"/>
      <c r="CV109" s="108"/>
      <c r="CW109" s="77"/>
      <c r="CX109" s="48"/>
      <c r="CY109" s="74"/>
      <c r="CZ109" s="107"/>
      <c r="DA109" s="108"/>
      <c r="DB109" s="77"/>
      <c r="DC109" s="48"/>
      <c r="DD109" s="74"/>
      <c r="DE109" s="107"/>
      <c r="DF109" s="108"/>
      <c r="DG109" s="77"/>
      <c r="DH109" s="48"/>
      <c r="DI109" s="74"/>
      <c r="DJ109" s="107"/>
      <c r="DK109" s="108"/>
      <c r="DL109" s="80"/>
      <c r="DM109" s="48"/>
      <c r="DN109" s="74"/>
      <c r="DO109" s="107"/>
      <c r="DP109" s="108"/>
      <c r="DQ109" s="81"/>
      <c r="DR109" s="48"/>
      <c r="DS109" s="54"/>
      <c r="DT109" s="54"/>
      <c r="DU109" s="74"/>
      <c r="DV109" s="56"/>
      <c r="DW109" s="76"/>
      <c r="DX109" s="75"/>
      <c r="DY109" s="74"/>
      <c r="DZ109" s="56"/>
      <c r="EA109" s="76"/>
      <c r="EB109" s="75"/>
      <c r="EC109" s="74"/>
      <c r="ED109" s="74"/>
      <c r="EE109" s="76"/>
      <c r="EF109" s="75"/>
      <c r="EG109" s="74"/>
      <c r="EH109" s="74"/>
      <c r="EI109" s="76"/>
      <c r="EJ109" s="42"/>
      <c r="EK109" s="74"/>
      <c r="EL109" s="48"/>
      <c r="EM109" s="77"/>
      <c r="EN109" s="75"/>
      <c r="EO109" s="74"/>
      <c r="EP109" s="48"/>
      <c r="EQ109" s="77"/>
      <c r="ER109" s="62"/>
      <c r="ES109" s="74"/>
      <c r="ET109" s="48"/>
      <c r="EU109" s="77"/>
      <c r="EV109" s="48"/>
      <c r="EW109" s="74"/>
      <c r="EX109" s="48"/>
      <c r="EY109" s="77"/>
      <c r="EZ109" s="48"/>
      <c r="FA109" s="74"/>
      <c r="FB109" s="48"/>
      <c r="FC109" s="77"/>
      <c r="FD109" s="48"/>
      <c r="FE109" s="74"/>
      <c r="FF109" s="48"/>
      <c r="FG109" s="77"/>
      <c r="FH109" s="48"/>
      <c r="FI109" s="74"/>
      <c r="FJ109" s="48"/>
      <c r="FK109" s="80"/>
      <c r="FL109" s="48"/>
      <c r="FM109" s="74"/>
      <c r="FN109" s="48"/>
      <c r="FO109" s="81"/>
      <c r="FP109" s="48"/>
      <c r="FQ109" s="54"/>
      <c r="FR109" s="54"/>
      <c r="FS109" s="74"/>
      <c r="FT109" s="56"/>
      <c r="FU109" s="76"/>
      <c r="FV109" s="75"/>
      <c r="FW109" s="74"/>
      <c r="FX109" s="56"/>
      <c r="FY109" s="76"/>
      <c r="FZ109" s="75"/>
      <c r="GA109" s="74"/>
      <c r="GB109" s="56"/>
      <c r="GC109" s="76"/>
      <c r="GD109" s="75"/>
      <c r="GE109" s="74"/>
      <c r="GF109" s="56"/>
      <c r="GG109" s="76"/>
      <c r="GH109" s="42"/>
      <c r="GI109" s="74"/>
      <c r="GJ109" s="56"/>
      <c r="GK109" s="77"/>
      <c r="GL109" s="75"/>
      <c r="GM109" s="74"/>
      <c r="GN109" s="56"/>
      <c r="GO109" s="77"/>
      <c r="GP109" s="62"/>
      <c r="GQ109" s="74"/>
      <c r="GR109" s="56"/>
      <c r="GS109" s="77"/>
      <c r="GT109" s="48"/>
      <c r="GU109" s="74"/>
      <c r="GV109" s="56"/>
      <c r="GW109" s="77"/>
      <c r="GX109" s="48"/>
      <c r="GY109" s="74"/>
      <c r="GZ109" s="56"/>
      <c r="HA109" s="77"/>
      <c r="HB109" s="48"/>
      <c r="HC109" s="74"/>
      <c r="HD109" s="56"/>
      <c r="HE109" s="77"/>
      <c r="HF109" s="48"/>
      <c r="HG109" s="74"/>
      <c r="HH109" s="56"/>
      <c r="HI109" s="80"/>
      <c r="HJ109" s="48"/>
      <c r="HK109" s="74"/>
      <c r="HL109" s="56"/>
      <c r="HM109" s="81"/>
      <c r="HN109" s="48"/>
      <c r="HO109" s="54"/>
      <c r="HP109" s="54"/>
      <c r="HQ109" s="74"/>
      <c r="HR109" s="56"/>
      <c r="HS109" s="76"/>
      <c r="HT109" s="75"/>
      <c r="HU109" s="74"/>
      <c r="HV109" s="56"/>
      <c r="HW109" s="76"/>
      <c r="HX109" s="75"/>
      <c r="HY109" s="74"/>
      <c r="HZ109" s="56"/>
      <c r="IA109" s="76"/>
      <c r="IB109" s="75"/>
      <c r="IC109" s="74"/>
      <c r="ID109" s="56"/>
      <c r="IE109" s="76"/>
      <c r="IF109" s="42"/>
      <c r="IG109" s="74"/>
      <c r="IH109" s="56"/>
      <c r="II109" s="77"/>
      <c r="IJ109" s="75"/>
      <c r="IK109" s="74"/>
      <c r="IL109" s="56"/>
      <c r="IM109" s="77"/>
      <c r="IN109" s="62"/>
      <c r="IO109" s="74"/>
      <c r="IP109" s="56"/>
      <c r="IQ109" s="77"/>
      <c r="IR109" s="48"/>
      <c r="IS109" s="74"/>
      <c r="IT109" s="56"/>
      <c r="IU109" s="77"/>
      <c r="IV109" s="48"/>
      <c r="IW109" s="74"/>
      <c r="IX109" s="56"/>
      <c r="IY109" s="77"/>
      <c r="IZ109" s="48"/>
      <c r="JA109" s="74"/>
      <c r="JB109" s="56"/>
      <c r="JC109" s="77"/>
      <c r="JD109" s="48"/>
      <c r="JE109" s="74"/>
      <c r="JF109" s="56"/>
      <c r="JG109" s="80"/>
      <c r="JH109" s="48"/>
      <c r="JI109" s="74"/>
      <c r="JJ109" s="56"/>
      <c r="JK109" s="81"/>
      <c r="JL109" s="48"/>
      <c r="JM109" s="54"/>
      <c r="JN109" s="54"/>
    </row>
    <row r="110" spans="1:274">
      <c r="A110" s="146"/>
      <c r="B110" s="146"/>
      <c r="C110" s="146"/>
      <c r="D110" s="251"/>
      <c r="E110" s="36">
        <v>105</v>
      </c>
      <c r="F110" s="145">
        <v>2</v>
      </c>
      <c r="G110" s="132">
        <v>9254800050</v>
      </c>
      <c r="H110" s="133" t="s">
        <v>151</v>
      </c>
      <c r="I110" s="220">
        <v>1266</v>
      </c>
      <c r="J110" s="119"/>
      <c r="K110" s="119"/>
      <c r="L110" s="119"/>
      <c r="M110" s="134"/>
      <c r="N110" s="134"/>
      <c r="O110" s="135"/>
      <c r="P110" s="135"/>
      <c r="Q110" s="130"/>
      <c r="R110" s="130"/>
      <c r="S110" s="135"/>
      <c r="T110" s="135"/>
      <c r="U110" s="130"/>
      <c r="V110" s="130"/>
      <c r="W110" s="135"/>
      <c r="X110" s="135"/>
      <c r="Y110" s="130"/>
      <c r="Z110" s="130"/>
      <c r="AA110" s="130"/>
      <c r="AB110" s="135"/>
      <c r="AC110" s="130"/>
      <c r="AD110" s="130"/>
      <c r="AE110" s="135"/>
      <c r="AF110" s="135"/>
      <c r="AG110" s="130"/>
      <c r="AH110" s="130"/>
      <c r="AI110" s="130"/>
      <c r="AJ110" s="135"/>
      <c r="AK110" s="130"/>
      <c r="AL110" s="136"/>
      <c r="AM110" s="137"/>
      <c r="AN110" s="130"/>
      <c r="AO110" s="130"/>
      <c r="AP110" s="136"/>
      <c r="AQ110" s="136"/>
      <c r="AR110" s="138"/>
      <c r="AS110" s="130"/>
      <c r="AT110" s="130"/>
      <c r="AU110" s="137"/>
      <c r="AV110" s="130"/>
      <c r="AW110" s="130"/>
      <c r="AX110" s="130"/>
      <c r="AY110" s="137"/>
      <c r="AZ110" s="130"/>
      <c r="BA110" s="130"/>
      <c r="BB110" s="130"/>
      <c r="BC110" s="139"/>
      <c r="BD110" s="130"/>
      <c r="BE110" s="130"/>
      <c r="BF110" s="130"/>
      <c r="BG110" s="140"/>
      <c r="BH110" s="130"/>
      <c r="BI110" s="141"/>
      <c r="BJ110" s="142"/>
      <c r="BK110" s="130"/>
      <c r="BL110" s="143"/>
      <c r="BM110" s="143"/>
      <c r="BN110" s="130"/>
      <c r="BO110" s="130"/>
      <c r="BP110" s="130"/>
      <c r="BQ110" s="143"/>
      <c r="BR110" s="143"/>
      <c r="BS110" s="130"/>
      <c r="BT110" s="130"/>
      <c r="BU110" s="130"/>
      <c r="BV110" s="143"/>
      <c r="BW110" s="143"/>
      <c r="BX110" s="130"/>
      <c r="BY110" s="130"/>
      <c r="BZ110" s="130"/>
      <c r="CA110" s="143"/>
      <c r="CB110" s="143"/>
      <c r="CC110" s="130"/>
      <c r="CD110" s="130"/>
      <c r="CE110" s="130"/>
      <c r="CF110" s="143"/>
      <c r="CG110" s="143"/>
      <c r="CH110" s="77"/>
      <c r="CI110" s="128"/>
      <c r="CJ110" s="74"/>
      <c r="CK110" s="107"/>
      <c r="CL110" s="129"/>
      <c r="CM110" s="77"/>
      <c r="CN110" s="130"/>
      <c r="CO110" s="74"/>
      <c r="CP110" s="107"/>
      <c r="CQ110" s="108"/>
      <c r="CR110" s="77"/>
      <c r="CS110" s="48"/>
      <c r="CT110" s="74"/>
      <c r="CU110" s="107"/>
      <c r="CV110" s="108"/>
      <c r="CW110" s="77"/>
      <c r="CX110" s="48"/>
      <c r="CY110" s="74"/>
      <c r="CZ110" s="107"/>
      <c r="DA110" s="108"/>
      <c r="DB110" s="77"/>
      <c r="DC110" s="48"/>
      <c r="DD110" s="74"/>
      <c r="DE110" s="107"/>
      <c r="DF110" s="108"/>
      <c r="DG110" s="77"/>
      <c r="DH110" s="48"/>
      <c r="DI110" s="74"/>
      <c r="DJ110" s="107"/>
      <c r="DK110" s="108"/>
      <c r="DL110" s="80"/>
      <c r="DM110" s="48"/>
      <c r="DN110" s="74"/>
      <c r="DO110" s="107"/>
      <c r="DP110" s="108"/>
      <c r="DQ110" s="81"/>
      <c r="DR110" s="48"/>
      <c r="DS110" s="54"/>
      <c r="DT110" s="54"/>
      <c r="DU110" s="74"/>
      <c r="DV110" s="56"/>
      <c r="DW110" s="76"/>
      <c r="DX110" s="75"/>
      <c r="DY110" s="74"/>
      <c r="DZ110" s="56"/>
      <c r="EA110" s="76">
        <v>3</v>
      </c>
      <c r="EB110" s="106"/>
      <c r="EC110" s="74"/>
      <c r="ED110" s="74"/>
      <c r="EE110" s="76"/>
      <c r="EF110" s="75"/>
      <c r="EG110" s="74"/>
      <c r="EH110" s="74"/>
      <c r="EI110" s="76"/>
      <c r="EJ110" s="75"/>
      <c r="EK110" s="74"/>
      <c r="EL110" s="48"/>
      <c r="EM110" s="77">
        <v>1</v>
      </c>
      <c r="EN110" s="75"/>
      <c r="EO110" s="74"/>
      <c r="EP110" s="48"/>
      <c r="EQ110" s="77"/>
      <c r="ER110" s="62"/>
      <c r="ES110" s="74"/>
      <c r="ET110" s="48"/>
      <c r="EU110" s="77"/>
      <c r="EV110" s="48"/>
      <c r="EW110" s="74"/>
      <c r="EX110" s="48"/>
      <c r="EY110" s="77"/>
      <c r="EZ110" s="48"/>
      <c r="FA110" s="74"/>
      <c r="FB110" s="48"/>
      <c r="FC110" s="77"/>
      <c r="FD110" s="48"/>
      <c r="FE110" s="74"/>
      <c r="FF110" s="48"/>
      <c r="FG110" s="77"/>
      <c r="FH110" s="48"/>
      <c r="FI110" s="74"/>
      <c r="FJ110" s="48"/>
      <c r="FK110" s="80"/>
      <c r="FL110" s="48"/>
      <c r="FM110" s="74"/>
      <c r="FN110" s="48"/>
      <c r="FO110" s="81"/>
      <c r="FP110" s="48"/>
      <c r="FQ110" s="54"/>
      <c r="FR110" s="54"/>
      <c r="FS110" s="74"/>
      <c r="FT110" s="75"/>
      <c r="FU110" s="76"/>
      <c r="FV110" s="75"/>
      <c r="FW110" s="74"/>
      <c r="FX110" s="75"/>
      <c r="FY110" s="76"/>
      <c r="FZ110" s="75"/>
      <c r="GA110" s="74"/>
      <c r="GB110" s="75"/>
      <c r="GC110" s="76"/>
      <c r="GD110" s="75"/>
      <c r="GE110" s="74"/>
      <c r="GF110" s="75"/>
      <c r="GG110" s="76"/>
      <c r="GH110" s="75"/>
      <c r="GI110" s="74"/>
      <c r="GJ110" s="75"/>
      <c r="GK110" s="77"/>
      <c r="GL110" s="75"/>
      <c r="GM110" s="74"/>
      <c r="GN110" s="78"/>
      <c r="GO110" s="77"/>
      <c r="GP110" s="62"/>
      <c r="GQ110" s="74"/>
      <c r="GR110" s="75"/>
      <c r="GS110" s="77"/>
      <c r="GT110" s="48"/>
      <c r="GU110" s="74"/>
      <c r="GV110" s="75"/>
      <c r="GW110" s="77"/>
      <c r="GX110" s="48"/>
      <c r="GY110" s="74"/>
      <c r="GZ110" s="75"/>
      <c r="HA110" s="77"/>
      <c r="HB110" s="48"/>
      <c r="HC110" s="74"/>
      <c r="HD110" s="75"/>
      <c r="HE110" s="77"/>
      <c r="HF110" s="48"/>
      <c r="HG110" s="74"/>
      <c r="HH110" s="75"/>
      <c r="HI110" s="80"/>
      <c r="HJ110" s="48"/>
      <c r="HK110" s="74"/>
      <c r="HL110" s="75"/>
      <c r="HM110" s="81"/>
      <c r="HN110" s="48"/>
      <c r="HO110" s="54"/>
      <c r="HP110" s="54"/>
      <c r="HQ110" s="74"/>
      <c r="HR110" s="75"/>
      <c r="HS110" s="76"/>
      <c r="HT110" s="75"/>
      <c r="HU110" s="74"/>
      <c r="HV110" s="75"/>
      <c r="HW110" s="76"/>
      <c r="HX110" s="75"/>
      <c r="HY110" s="74"/>
      <c r="HZ110" s="75"/>
      <c r="IA110" s="76"/>
      <c r="IB110" s="75"/>
      <c r="IC110" s="74"/>
      <c r="ID110" s="75"/>
      <c r="IE110" s="76"/>
      <c r="IF110" s="75"/>
      <c r="IG110" s="74"/>
      <c r="IH110" s="75"/>
      <c r="II110" s="77"/>
      <c r="IJ110" s="75"/>
      <c r="IK110" s="74"/>
      <c r="IL110" s="78"/>
      <c r="IM110" s="77"/>
      <c r="IN110" s="62"/>
      <c r="IO110" s="74"/>
      <c r="IP110" s="75"/>
      <c r="IQ110" s="77"/>
      <c r="IR110" s="48"/>
      <c r="IS110" s="74"/>
      <c r="IT110" s="75"/>
      <c r="IU110" s="77"/>
      <c r="IV110" s="48"/>
      <c r="IW110" s="74"/>
      <c r="IX110" s="75"/>
      <c r="IY110" s="77"/>
      <c r="IZ110" s="48"/>
      <c r="JA110" s="74"/>
      <c r="JB110" s="75"/>
      <c r="JC110" s="77"/>
      <c r="JD110" s="48"/>
      <c r="JE110" s="74"/>
      <c r="JF110" s="75"/>
      <c r="JG110" s="80"/>
      <c r="JH110" s="48"/>
      <c r="JI110" s="74"/>
      <c r="JJ110" s="75"/>
      <c r="JK110" s="81"/>
      <c r="JL110" s="48"/>
      <c r="JM110" s="54"/>
      <c r="JN110" s="54"/>
    </row>
    <row r="111" spans="1:274">
      <c r="A111" s="146"/>
      <c r="B111" s="146"/>
      <c r="C111" s="146"/>
      <c r="D111" s="251"/>
      <c r="E111" s="36">
        <v>106</v>
      </c>
      <c r="F111" s="145">
        <v>2</v>
      </c>
      <c r="G111" s="132">
        <v>9254320227</v>
      </c>
      <c r="H111" s="133" t="s">
        <v>152</v>
      </c>
      <c r="I111" s="220">
        <v>847</v>
      </c>
      <c r="J111" s="119"/>
      <c r="K111" s="119"/>
      <c r="L111" s="119"/>
      <c r="M111" s="134"/>
      <c r="N111" s="134"/>
      <c r="O111" s="135"/>
      <c r="P111" s="135"/>
      <c r="Q111" s="130"/>
      <c r="R111" s="130"/>
      <c r="S111" s="135"/>
      <c r="T111" s="135"/>
      <c r="U111" s="130"/>
      <c r="V111" s="130"/>
      <c r="W111" s="135"/>
      <c r="X111" s="135"/>
      <c r="Y111" s="130"/>
      <c r="Z111" s="130"/>
      <c r="AA111" s="130"/>
      <c r="AB111" s="135"/>
      <c r="AC111" s="130"/>
      <c r="AD111" s="130"/>
      <c r="AE111" s="135"/>
      <c r="AF111" s="135"/>
      <c r="AG111" s="130"/>
      <c r="AH111" s="130"/>
      <c r="AI111" s="130"/>
      <c r="AJ111" s="135"/>
      <c r="AK111" s="130"/>
      <c r="AL111" s="136"/>
      <c r="AM111" s="137"/>
      <c r="AN111" s="130"/>
      <c r="AO111" s="130"/>
      <c r="AP111" s="136"/>
      <c r="AQ111" s="136"/>
      <c r="AR111" s="138"/>
      <c r="AS111" s="130"/>
      <c r="AT111" s="130"/>
      <c r="AU111" s="137"/>
      <c r="AV111" s="130"/>
      <c r="AW111" s="130"/>
      <c r="AX111" s="130"/>
      <c r="AY111" s="137"/>
      <c r="AZ111" s="130"/>
      <c r="BA111" s="130"/>
      <c r="BB111" s="130"/>
      <c r="BC111" s="139"/>
      <c r="BD111" s="130"/>
      <c r="BE111" s="130"/>
      <c r="BF111" s="130"/>
      <c r="BG111" s="140"/>
      <c r="BH111" s="130"/>
      <c r="BI111" s="141"/>
      <c r="BJ111" s="142"/>
      <c r="BK111" s="130"/>
      <c r="BL111" s="143"/>
      <c r="BM111" s="143"/>
      <c r="BN111" s="130"/>
      <c r="BO111" s="130"/>
      <c r="BP111" s="130"/>
      <c r="BQ111" s="143"/>
      <c r="BR111" s="143"/>
      <c r="BS111" s="130"/>
      <c r="BT111" s="130"/>
      <c r="BU111" s="130"/>
      <c r="BV111" s="143"/>
      <c r="BW111" s="143"/>
      <c r="BX111" s="130"/>
      <c r="BY111" s="130"/>
      <c r="BZ111" s="130"/>
      <c r="CA111" s="143"/>
      <c r="CB111" s="143"/>
      <c r="CC111" s="130"/>
      <c r="CD111" s="130"/>
      <c r="CE111" s="130"/>
      <c r="CF111" s="143"/>
      <c r="CG111" s="143"/>
      <c r="CH111" s="77"/>
      <c r="CI111" s="128"/>
      <c r="CJ111" s="74"/>
      <c r="CK111" s="107"/>
      <c r="CL111" s="129"/>
      <c r="CM111" s="77"/>
      <c r="CN111" s="130"/>
      <c r="CO111" s="74"/>
      <c r="CP111" s="107"/>
      <c r="CQ111" s="108"/>
      <c r="CR111" s="77"/>
      <c r="CS111" s="48"/>
      <c r="CT111" s="74"/>
      <c r="CU111" s="107"/>
      <c r="CV111" s="108"/>
      <c r="CW111" s="77"/>
      <c r="CX111" s="48"/>
      <c r="CY111" s="74"/>
      <c r="CZ111" s="107"/>
      <c r="DA111" s="108"/>
      <c r="DB111" s="77"/>
      <c r="DC111" s="48"/>
      <c r="DD111" s="74"/>
      <c r="DE111" s="107"/>
      <c r="DF111" s="108"/>
      <c r="DG111" s="77"/>
      <c r="DH111" s="48"/>
      <c r="DI111" s="74"/>
      <c r="DJ111" s="107"/>
      <c r="DK111" s="108"/>
      <c r="DL111" s="80"/>
      <c r="DM111" s="48"/>
      <c r="DN111" s="74"/>
      <c r="DO111" s="107"/>
      <c r="DP111" s="108"/>
      <c r="DQ111" s="81"/>
      <c r="DR111" s="48"/>
      <c r="DS111" s="54"/>
      <c r="DT111" s="54"/>
      <c r="DU111" s="74"/>
      <c r="DV111" s="56"/>
      <c r="DW111" s="76"/>
      <c r="DX111" s="75"/>
      <c r="DY111" s="74"/>
      <c r="DZ111" s="56"/>
      <c r="EA111" s="76">
        <v>4</v>
      </c>
      <c r="EB111" s="106"/>
      <c r="EC111" s="74"/>
      <c r="ED111" s="74"/>
      <c r="EE111" s="76"/>
      <c r="EF111" s="75"/>
      <c r="EG111" s="74"/>
      <c r="EH111" s="74"/>
      <c r="EI111" s="76">
        <v>4</v>
      </c>
      <c r="EJ111" s="75"/>
      <c r="EK111" s="74"/>
      <c r="EL111" s="48"/>
      <c r="EM111" s="77"/>
      <c r="EN111" s="75"/>
      <c r="EO111" s="74"/>
      <c r="EP111" s="48"/>
      <c r="EQ111" s="77"/>
      <c r="ER111" s="62"/>
      <c r="ES111" s="74"/>
      <c r="ET111" s="48"/>
      <c r="EU111" s="77"/>
      <c r="EV111" s="48"/>
      <c r="EW111" s="74"/>
      <c r="EX111" s="48"/>
      <c r="EY111" s="77"/>
      <c r="EZ111" s="48"/>
      <c r="FA111" s="74"/>
      <c r="FB111" s="48"/>
      <c r="FC111" s="77"/>
      <c r="FD111" s="48"/>
      <c r="FE111" s="74"/>
      <c r="FF111" s="48"/>
      <c r="FG111" s="77"/>
      <c r="FH111" s="48"/>
      <c r="FI111" s="74"/>
      <c r="FJ111" s="48"/>
      <c r="FK111" s="80"/>
      <c r="FL111" s="48"/>
      <c r="FM111" s="74"/>
      <c r="FN111" s="48"/>
      <c r="FO111" s="81"/>
      <c r="FP111" s="48"/>
      <c r="FQ111" s="54"/>
      <c r="FR111" s="54"/>
      <c r="FS111" s="74"/>
      <c r="FT111" s="75"/>
      <c r="FU111" s="76"/>
      <c r="FV111" s="75"/>
      <c r="FW111" s="74"/>
      <c r="FX111" s="75"/>
      <c r="FY111" s="76"/>
      <c r="FZ111" s="75"/>
      <c r="GA111" s="74"/>
      <c r="GB111" s="75"/>
      <c r="GC111" s="76"/>
      <c r="GD111" s="75"/>
      <c r="GE111" s="74"/>
      <c r="GF111" s="75"/>
      <c r="GG111" s="76"/>
      <c r="GH111" s="75"/>
      <c r="GI111" s="74"/>
      <c r="GJ111" s="75"/>
      <c r="GK111" s="77"/>
      <c r="GL111" s="75"/>
      <c r="GM111" s="74"/>
      <c r="GN111" s="78"/>
      <c r="GO111" s="77"/>
      <c r="GP111" s="62"/>
      <c r="GQ111" s="74"/>
      <c r="GR111" s="75"/>
      <c r="GS111" s="77"/>
      <c r="GT111" s="48"/>
      <c r="GU111" s="74"/>
      <c r="GV111" s="75"/>
      <c r="GW111" s="77"/>
      <c r="GX111" s="48"/>
      <c r="GY111" s="74"/>
      <c r="GZ111" s="75"/>
      <c r="HA111" s="77"/>
      <c r="HB111" s="48"/>
      <c r="HC111" s="74"/>
      <c r="HD111" s="75"/>
      <c r="HE111" s="77"/>
      <c r="HF111" s="48"/>
      <c r="HG111" s="74"/>
      <c r="HH111" s="75"/>
      <c r="HI111" s="80"/>
      <c r="HJ111" s="48"/>
      <c r="HK111" s="74"/>
      <c r="HL111" s="75"/>
      <c r="HM111" s="81"/>
      <c r="HN111" s="48"/>
      <c r="HO111" s="54"/>
      <c r="HP111" s="54"/>
      <c r="HQ111" s="74"/>
      <c r="HR111" s="75"/>
      <c r="HS111" s="76"/>
      <c r="HT111" s="75"/>
      <c r="HU111" s="74"/>
      <c r="HV111" s="75"/>
      <c r="HW111" s="76"/>
      <c r="HX111" s="75"/>
      <c r="HY111" s="74"/>
      <c r="HZ111" s="75"/>
      <c r="IA111" s="76"/>
      <c r="IB111" s="75"/>
      <c r="IC111" s="74"/>
      <c r="ID111" s="75"/>
      <c r="IE111" s="76"/>
      <c r="IF111" s="75"/>
      <c r="IG111" s="74"/>
      <c r="IH111" s="75"/>
      <c r="II111" s="77"/>
      <c r="IJ111" s="75"/>
      <c r="IK111" s="74"/>
      <c r="IL111" s="78"/>
      <c r="IM111" s="77"/>
      <c r="IN111" s="62"/>
      <c r="IO111" s="74"/>
      <c r="IP111" s="75"/>
      <c r="IQ111" s="77"/>
      <c r="IR111" s="48"/>
      <c r="IS111" s="74"/>
      <c r="IT111" s="75"/>
      <c r="IU111" s="77"/>
      <c r="IV111" s="48"/>
      <c r="IW111" s="74"/>
      <c r="IX111" s="75"/>
      <c r="IY111" s="77"/>
      <c r="IZ111" s="48"/>
      <c r="JA111" s="74"/>
      <c r="JB111" s="75"/>
      <c r="JC111" s="77"/>
      <c r="JD111" s="48"/>
      <c r="JE111" s="74"/>
      <c r="JF111" s="75"/>
      <c r="JG111" s="80"/>
      <c r="JH111" s="48"/>
      <c r="JI111" s="74"/>
      <c r="JJ111" s="75"/>
      <c r="JK111" s="81"/>
      <c r="JL111" s="48"/>
      <c r="JM111" s="54"/>
      <c r="JN111" s="54"/>
    </row>
    <row r="112" spans="1:274">
      <c r="A112" s="146"/>
      <c r="B112" s="146"/>
      <c r="C112" s="146"/>
      <c r="D112" s="251"/>
      <c r="E112" s="36">
        <v>107</v>
      </c>
      <c r="F112" s="145">
        <v>2</v>
      </c>
      <c r="G112" s="132">
        <v>4721717260</v>
      </c>
      <c r="H112" s="133" t="s">
        <v>153</v>
      </c>
      <c r="I112" s="220">
        <v>245</v>
      </c>
      <c r="J112" s="119"/>
      <c r="K112" s="119"/>
      <c r="L112" s="119"/>
      <c r="M112" s="134"/>
      <c r="N112" s="134"/>
      <c r="O112" s="135"/>
      <c r="P112" s="135"/>
      <c r="Q112" s="130"/>
      <c r="R112" s="130"/>
      <c r="S112" s="135"/>
      <c r="T112" s="135"/>
      <c r="U112" s="130"/>
      <c r="V112" s="130"/>
      <c r="W112" s="135"/>
      <c r="X112" s="135"/>
      <c r="Y112" s="130"/>
      <c r="Z112" s="130"/>
      <c r="AA112" s="130"/>
      <c r="AB112" s="135"/>
      <c r="AC112" s="130"/>
      <c r="AD112" s="130"/>
      <c r="AE112" s="135"/>
      <c r="AF112" s="135"/>
      <c r="AG112" s="130"/>
      <c r="AH112" s="130"/>
      <c r="AI112" s="130"/>
      <c r="AJ112" s="135"/>
      <c r="AK112" s="130"/>
      <c r="AL112" s="136"/>
      <c r="AM112" s="137"/>
      <c r="AN112" s="130"/>
      <c r="AO112" s="130"/>
      <c r="AP112" s="136"/>
      <c r="AQ112" s="136"/>
      <c r="AR112" s="138"/>
      <c r="AS112" s="130"/>
      <c r="AT112" s="130"/>
      <c r="AU112" s="137"/>
      <c r="AV112" s="130"/>
      <c r="AW112" s="130"/>
      <c r="AX112" s="130"/>
      <c r="AY112" s="137"/>
      <c r="AZ112" s="130"/>
      <c r="BA112" s="130"/>
      <c r="BB112" s="130"/>
      <c r="BC112" s="139"/>
      <c r="BD112" s="130"/>
      <c r="BE112" s="130"/>
      <c r="BF112" s="130"/>
      <c r="BG112" s="140"/>
      <c r="BH112" s="130"/>
      <c r="BI112" s="141"/>
      <c r="BJ112" s="142"/>
      <c r="BK112" s="130"/>
      <c r="BL112" s="143"/>
      <c r="BM112" s="143"/>
      <c r="BN112" s="130"/>
      <c r="BO112" s="130"/>
      <c r="BP112" s="130"/>
      <c r="BQ112" s="143"/>
      <c r="BR112" s="143"/>
      <c r="BS112" s="130"/>
      <c r="BT112" s="130"/>
      <c r="BU112" s="130"/>
      <c r="BV112" s="143"/>
      <c r="BW112" s="143"/>
      <c r="BX112" s="130"/>
      <c r="BY112" s="130"/>
      <c r="BZ112" s="130"/>
      <c r="CA112" s="143"/>
      <c r="CB112" s="143"/>
      <c r="CC112" s="130"/>
      <c r="CD112" s="130"/>
      <c r="CE112" s="130"/>
      <c r="CF112" s="143"/>
      <c r="CG112" s="143"/>
      <c r="CH112" s="77"/>
      <c r="CI112" s="128"/>
      <c r="CJ112" s="74"/>
      <c r="CK112" s="107"/>
      <c r="CL112" s="129"/>
      <c r="CM112" s="77"/>
      <c r="CN112" s="130"/>
      <c r="CO112" s="74"/>
      <c r="CP112" s="107"/>
      <c r="CQ112" s="108"/>
      <c r="CR112" s="77"/>
      <c r="CS112" s="48"/>
      <c r="CT112" s="74"/>
      <c r="CU112" s="107"/>
      <c r="CV112" s="108"/>
      <c r="CW112" s="77"/>
      <c r="CX112" s="48"/>
      <c r="CY112" s="74"/>
      <c r="CZ112" s="107"/>
      <c r="DA112" s="108"/>
      <c r="DB112" s="77"/>
      <c r="DC112" s="48"/>
      <c r="DD112" s="74"/>
      <c r="DE112" s="107"/>
      <c r="DF112" s="108"/>
      <c r="DG112" s="77"/>
      <c r="DH112" s="48"/>
      <c r="DI112" s="74"/>
      <c r="DJ112" s="107"/>
      <c r="DK112" s="108"/>
      <c r="DL112" s="80"/>
      <c r="DM112" s="48"/>
      <c r="DN112" s="74"/>
      <c r="DO112" s="107"/>
      <c r="DP112" s="108"/>
      <c r="DQ112" s="81"/>
      <c r="DR112" s="48"/>
      <c r="DS112" s="54"/>
      <c r="DT112" s="54"/>
      <c r="DU112" s="74"/>
      <c r="DV112" s="56"/>
      <c r="DW112" s="76"/>
      <c r="DX112" s="75"/>
      <c r="DY112" s="74"/>
      <c r="DZ112" s="56"/>
      <c r="EA112" s="76">
        <v>1</v>
      </c>
      <c r="EB112" s="106"/>
      <c r="EC112" s="74"/>
      <c r="ED112" s="74"/>
      <c r="EE112" s="76"/>
      <c r="EF112" s="75"/>
      <c r="EG112" s="74"/>
      <c r="EH112" s="74"/>
      <c r="EI112" s="76">
        <v>2</v>
      </c>
      <c r="EJ112" s="75"/>
      <c r="EK112" s="74"/>
      <c r="EL112" s="48"/>
      <c r="EM112" s="77">
        <v>12</v>
      </c>
      <c r="EN112" s="75"/>
      <c r="EO112" s="74"/>
      <c r="EP112" s="48"/>
      <c r="EQ112" s="77"/>
      <c r="ER112" s="62"/>
      <c r="ES112" s="74"/>
      <c r="ET112" s="48"/>
      <c r="EU112" s="77"/>
      <c r="EV112" s="48"/>
      <c r="EW112" s="74"/>
      <c r="EX112" s="48"/>
      <c r="EY112" s="77"/>
      <c r="EZ112" s="48"/>
      <c r="FA112" s="74"/>
      <c r="FB112" s="48"/>
      <c r="FC112" s="77"/>
      <c r="FD112" s="48"/>
      <c r="FE112" s="74"/>
      <c r="FF112" s="48"/>
      <c r="FG112" s="77"/>
      <c r="FH112" s="48"/>
      <c r="FI112" s="74"/>
      <c r="FJ112" s="48"/>
      <c r="FK112" s="80"/>
      <c r="FL112" s="48"/>
      <c r="FM112" s="74"/>
      <c r="FN112" s="48"/>
      <c r="FO112" s="81"/>
      <c r="FP112" s="48"/>
      <c r="FQ112" s="54"/>
      <c r="FR112" s="54"/>
      <c r="FS112" s="74"/>
      <c r="FT112" s="75"/>
      <c r="FU112" s="76"/>
      <c r="FV112" s="75"/>
      <c r="FW112" s="74"/>
      <c r="FX112" s="75"/>
      <c r="FY112" s="76"/>
      <c r="FZ112" s="75"/>
      <c r="GA112" s="74"/>
      <c r="GB112" s="75"/>
      <c r="GC112" s="76"/>
      <c r="GD112" s="75"/>
      <c r="GE112" s="74"/>
      <c r="GF112" s="75"/>
      <c r="GG112" s="76"/>
      <c r="GH112" s="75"/>
      <c r="GI112" s="74"/>
      <c r="GJ112" s="75"/>
      <c r="GK112" s="77"/>
      <c r="GL112" s="75"/>
      <c r="GM112" s="74"/>
      <c r="GN112" s="78"/>
      <c r="GO112" s="77"/>
      <c r="GP112" s="62"/>
      <c r="GQ112" s="74"/>
      <c r="GR112" s="75"/>
      <c r="GS112" s="77"/>
      <c r="GT112" s="48"/>
      <c r="GU112" s="74"/>
      <c r="GV112" s="75"/>
      <c r="GW112" s="77"/>
      <c r="GX112" s="48"/>
      <c r="GY112" s="74"/>
      <c r="GZ112" s="75"/>
      <c r="HA112" s="77"/>
      <c r="HB112" s="48"/>
      <c r="HC112" s="74"/>
      <c r="HD112" s="75"/>
      <c r="HE112" s="77"/>
      <c r="HF112" s="48"/>
      <c r="HG112" s="74"/>
      <c r="HH112" s="75"/>
      <c r="HI112" s="80"/>
      <c r="HJ112" s="48"/>
      <c r="HK112" s="74"/>
      <c r="HL112" s="75"/>
      <c r="HM112" s="81"/>
      <c r="HN112" s="48"/>
      <c r="HO112" s="54"/>
      <c r="HP112" s="54"/>
      <c r="HQ112" s="74"/>
      <c r="HR112" s="75"/>
      <c r="HS112" s="76"/>
      <c r="HT112" s="75"/>
      <c r="HU112" s="74"/>
      <c r="HV112" s="75"/>
      <c r="HW112" s="76"/>
      <c r="HX112" s="75"/>
      <c r="HY112" s="74"/>
      <c r="HZ112" s="75"/>
      <c r="IA112" s="76"/>
      <c r="IB112" s="75"/>
      <c r="IC112" s="74"/>
      <c r="ID112" s="75"/>
      <c r="IE112" s="76"/>
      <c r="IF112" s="75"/>
      <c r="IG112" s="74"/>
      <c r="IH112" s="75"/>
      <c r="II112" s="77"/>
      <c r="IJ112" s="75"/>
      <c r="IK112" s="74"/>
      <c r="IL112" s="78"/>
      <c r="IM112" s="77"/>
      <c r="IN112" s="62"/>
      <c r="IO112" s="74"/>
      <c r="IP112" s="75"/>
      <c r="IQ112" s="77"/>
      <c r="IR112" s="48"/>
      <c r="IS112" s="74"/>
      <c r="IT112" s="75"/>
      <c r="IU112" s="77"/>
      <c r="IV112" s="48"/>
      <c r="IW112" s="74"/>
      <c r="IX112" s="75"/>
      <c r="IY112" s="77"/>
      <c r="IZ112" s="48"/>
      <c r="JA112" s="74"/>
      <c r="JB112" s="75"/>
      <c r="JC112" s="77"/>
      <c r="JD112" s="48"/>
      <c r="JE112" s="74"/>
      <c r="JF112" s="75"/>
      <c r="JG112" s="80"/>
      <c r="JH112" s="48"/>
      <c r="JI112" s="74"/>
      <c r="JJ112" s="75"/>
      <c r="JK112" s="81"/>
      <c r="JL112" s="48"/>
      <c r="JM112" s="54"/>
      <c r="JN112" s="54"/>
    </row>
    <row r="113" spans="1:274">
      <c r="A113" s="146"/>
      <c r="B113" s="146"/>
      <c r="C113" s="146"/>
      <c r="D113" s="251"/>
      <c r="E113" s="36">
        <v>108</v>
      </c>
      <c r="F113" s="145">
        <v>2</v>
      </c>
      <c r="G113" s="132">
        <v>4499110600</v>
      </c>
      <c r="H113" s="133" t="s">
        <v>154</v>
      </c>
      <c r="I113" s="220">
        <v>188</v>
      </c>
      <c r="J113" s="119"/>
      <c r="K113" s="119"/>
      <c r="L113" s="119"/>
      <c r="M113" s="134"/>
      <c r="N113" s="134"/>
      <c r="O113" s="135"/>
      <c r="P113" s="135"/>
      <c r="Q113" s="130"/>
      <c r="R113" s="130"/>
      <c r="S113" s="135"/>
      <c r="T113" s="135"/>
      <c r="U113" s="130"/>
      <c r="V113" s="130"/>
      <c r="W113" s="135"/>
      <c r="X113" s="135"/>
      <c r="Y113" s="130"/>
      <c r="Z113" s="130"/>
      <c r="AA113" s="130"/>
      <c r="AB113" s="135"/>
      <c r="AC113" s="130"/>
      <c r="AD113" s="130"/>
      <c r="AE113" s="135"/>
      <c r="AF113" s="135"/>
      <c r="AG113" s="130"/>
      <c r="AH113" s="130"/>
      <c r="AI113" s="130"/>
      <c r="AJ113" s="135"/>
      <c r="AK113" s="130"/>
      <c r="AL113" s="136"/>
      <c r="AM113" s="137"/>
      <c r="AN113" s="130"/>
      <c r="AO113" s="130"/>
      <c r="AP113" s="136"/>
      <c r="AQ113" s="136"/>
      <c r="AR113" s="138"/>
      <c r="AS113" s="130"/>
      <c r="AT113" s="130"/>
      <c r="AU113" s="137"/>
      <c r="AV113" s="130"/>
      <c r="AW113" s="130"/>
      <c r="AX113" s="130"/>
      <c r="AY113" s="137"/>
      <c r="AZ113" s="130"/>
      <c r="BA113" s="130"/>
      <c r="BB113" s="130"/>
      <c r="BC113" s="139"/>
      <c r="BD113" s="130"/>
      <c r="BE113" s="130"/>
      <c r="BF113" s="130"/>
      <c r="BG113" s="140"/>
      <c r="BH113" s="130"/>
      <c r="BI113" s="141"/>
      <c r="BJ113" s="142"/>
      <c r="BK113" s="130"/>
      <c r="BL113" s="143"/>
      <c r="BM113" s="143"/>
      <c r="BN113" s="130"/>
      <c r="BO113" s="130"/>
      <c r="BP113" s="130"/>
      <c r="BQ113" s="143"/>
      <c r="BR113" s="143"/>
      <c r="BS113" s="130"/>
      <c r="BT113" s="130"/>
      <c r="BU113" s="130"/>
      <c r="BV113" s="143"/>
      <c r="BW113" s="143"/>
      <c r="BX113" s="130"/>
      <c r="BY113" s="130"/>
      <c r="BZ113" s="130"/>
      <c r="CA113" s="143"/>
      <c r="CB113" s="143"/>
      <c r="CC113" s="130"/>
      <c r="CD113" s="130"/>
      <c r="CE113" s="130"/>
      <c r="CF113" s="143"/>
      <c r="CG113" s="143"/>
      <c r="CH113" s="77"/>
      <c r="CI113" s="128"/>
      <c r="CJ113" s="74"/>
      <c r="CK113" s="107"/>
      <c r="CL113" s="129"/>
      <c r="CM113" s="77"/>
      <c r="CN113" s="130"/>
      <c r="CO113" s="74"/>
      <c r="CP113" s="107"/>
      <c r="CQ113" s="108"/>
      <c r="CR113" s="77"/>
      <c r="CS113" s="48"/>
      <c r="CT113" s="74"/>
      <c r="CU113" s="107"/>
      <c r="CV113" s="108"/>
      <c r="CW113" s="77"/>
      <c r="CX113" s="48"/>
      <c r="CY113" s="74"/>
      <c r="CZ113" s="107"/>
      <c r="DA113" s="108"/>
      <c r="DB113" s="77"/>
      <c r="DC113" s="48"/>
      <c r="DD113" s="74"/>
      <c r="DE113" s="107"/>
      <c r="DF113" s="108"/>
      <c r="DG113" s="77"/>
      <c r="DH113" s="48"/>
      <c r="DI113" s="74"/>
      <c r="DJ113" s="107"/>
      <c r="DK113" s="108"/>
      <c r="DL113" s="80"/>
      <c r="DM113" s="48"/>
      <c r="DN113" s="74"/>
      <c r="DO113" s="107"/>
      <c r="DP113" s="108"/>
      <c r="DQ113" s="81"/>
      <c r="DR113" s="48"/>
      <c r="DS113" s="54"/>
      <c r="DT113" s="54"/>
      <c r="DU113" s="74"/>
      <c r="DV113" s="56"/>
      <c r="DW113" s="76"/>
      <c r="DX113" s="75"/>
      <c r="DY113" s="74"/>
      <c r="DZ113" s="56"/>
      <c r="EA113" s="76">
        <v>1</v>
      </c>
      <c r="EB113" s="106"/>
      <c r="EC113" s="74"/>
      <c r="ED113" s="74"/>
      <c r="EE113" s="76"/>
      <c r="EF113" s="75"/>
      <c r="EG113" s="74"/>
      <c r="EH113" s="74"/>
      <c r="EI113" s="76"/>
      <c r="EJ113" s="75"/>
      <c r="EK113" s="74"/>
      <c r="EL113" s="48"/>
      <c r="EM113" s="77"/>
      <c r="EN113" s="75"/>
      <c r="EO113" s="74"/>
      <c r="EP113" s="48"/>
      <c r="EQ113" s="77"/>
      <c r="ER113" s="62"/>
      <c r="ES113" s="74"/>
      <c r="ET113" s="48"/>
      <c r="EU113" s="77"/>
      <c r="EV113" s="48"/>
      <c r="EW113" s="74"/>
      <c r="EX113" s="48"/>
      <c r="EY113" s="77"/>
      <c r="EZ113" s="48"/>
      <c r="FA113" s="74"/>
      <c r="FB113" s="48"/>
      <c r="FC113" s="77"/>
      <c r="FD113" s="48"/>
      <c r="FE113" s="74"/>
      <c r="FF113" s="48"/>
      <c r="FG113" s="77"/>
      <c r="FH113" s="48"/>
      <c r="FI113" s="74"/>
      <c r="FJ113" s="48"/>
      <c r="FK113" s="80"/>
      <c r="FL113" s="48"/>
      <c r="FM113" s="74"/>
      <c r="FN113" s="48"/>
      <c r="FO113" s="81"/>
      <c r="FP113" s="48"/>
      <c r="FQ113" s="54"/>
      <c r="FR113" s="54"/>
      <c r="FS113" s="74"/>
      <c r="FT113" s="75"/>
      <c r="FU113" s="76"/>
      <c r="FV113" s="75"/>
      <c r="FW113" s="74"/>
      <c r="FX113" s="75"/>
      <c r="FY113" s="76"/>
      <c r="FZ113" s="75"/>
      <c r="GA113" s="74"/>
      <c r="GB113" s="75"/>
      <c r="GC113" s="76"/>
      <c r="GD113" s="75"/>
      <c r="GE113" s="74"/>
      <c r="GF113" s="75"/>
      <c r="GG113" s="76"/>
      <c r="GH113" s="75"/>
      <c r="GI113" s="74"/>
      <c r="GJ113" s="75"/>
      <c r="GK113" s="77"/>
      <c r="GL113" s="75"/>
      <c r="GM113" s="74"/>
      <c r="GN113" s="78"/>
      <c r="GO113" s="77"/>
      <c r="GP113" s="62"/>
      <c r="GQ113" s="74"/>
      <c r="GR113" s="75"/>
      <c r="GS113" s="77"/>
      <c r="GT113" s="48"/>
      <c r="GU113" s="74"/>
      <c r="GV113" s="75"/>
      <c r="GW113" s="77"/>
      <c r="GX113" s="48"/>
      <c r="GY113" s="74"/>
      <c r="GZ113" s="75"/>
      <c r="HA113" s="77"/>
      <c r="HB113" s="48"/>
      <c r="HC113" s="74"/>
      <c r="HD113" s="75"/>
      <c r="HE113" s="77"/>
      <c r="HF113" s="48"/>
      <c r="HG113" s="74"/>
      <c r="HH113" s="75"/>
      <c r="HI113" s="80"/>
      <c r="HJ113" s="48"/>
      <c r="HK113" s="74"/>
      <c r="HL113" s="75"/>
      <c r="HM113" s="81"/>
      <c r="HN113" s="48"/>
      <c r="HO113" s="54"/>
      <c r="HP113" s="54"/>
      <c r="HQ113" s="74"/>
      <c r="HR113" s="75"/>
      <c r="HS113" s="76"/>
      <c r="HT113" s="75"/>
      <c r="HU113" s="74"/>
      <c r="HV113" s="75"/>
      <c r="HW113" s="76"/>
      <c r="HX113" s="75"/>
      <c r="HY113" s="74"/>
      <c r="HZ113" s="75"/>
      <c r="IA113" s="76"/>
      <c r="IB113" s="75"/>
      <c r="IC113" s="74"/>
      <c r="ID113" s="75"/>
      <c r="IE113" s="76"/>
      <c r="IF113" s="75"/>
      <c r="IG113" s="74"/>
      <c r="IH113" s="75"/>
      <c r="II113" s="77"/>
      <c r="IJ113" s="75"/>
      <c r="IK113" s="74"/>
      <c r="IL113" s="78"/>
      <c r="IM113" s="77"/>
      <c r="IN113" s="62"/>
      <c r="IO113" s="74"/>
      <c r="IP113" s="75"/>
      <c r="IQ113" s="77"/>
      <c r="IR113" s="48"/>
      <c r="IS113" s="74"/>
      <c r="IT113" s="75"/>
      <c r="IU113" s="77"/>
      <c r="IV113" s="48"/>
      <c r="IW113" s="74"/>
      <c r="IX113" s="75"/>
      <c r="IY113" s="77"/>
      <c r="IZ113" s="48"/>
      <c r="JA113" s="74"/>
      <c r="JB113" s="75"/>
      <c r="JC113" s="77"/>
      <c r="JD113" s="48"/>
      <c r="JE113" s="74"/>
      <c r="JF113" s="75"/>
      <c r="JG113" s="80"/>
      <c r="JH113" s="48"/>
      <c r="JI113" s="74"/>
      <c r="JJ113" s="75"/>
      <c r="JK113" s="81"/>
      <c r="JL113" s="48"/>
      <c r="JM113" s="54"/>
      <c r="JN113" s="54"/>
    </row>
    <row r="114" spans="1:274">
      <c r="A114" s="146"/>
      <c r="B114" s="146"/>
      <c r="C114" s="146"/>
      <c r="D114" s="251"/>
      <c r="E114" s="36">
        <v>109</v>
      </c>
      <c r="F114" s="145">
        <v>2</v>
      </c>
      <c r="G114" s="132">
        <v>6402250560</v>
      </c>
      <c r="H114" s="133" t="s">
        <v>155</v>
      </c>
      <c r="I114" s="220">
        <v>1708</v>
      </c>
      <c r="J114" s="119"/>
      <c r="K114" s="119"/>
      <c r="L114" s="119"/>
      <c r="M114" s="134"/>
      <c r="N114" s="134"/>
      <c r="O114" s="135"/>
      <c r="P114" s="135"/>
      <c r="Q114" s="130"/>
      <c r="R114" s="130"/>
      <c r="S114" s="135"/>
      <c r="T114" s="135"/>
      <c r="U114" s="130"/>
      <c r="V114" s="130"/>
      <c r="W114" s="135"/>
      <c r="X114" s="135"/>
      <c r="Y114" s="130"/>
      <c r="Z114" s="130"/>
      <c r="AA114" s="130"/>
      <c r="AB114" s="135"/>
      <c r="AC114" s="130"/>
      <c r="AD114" s="130"/>
      <c r="AE114" s="135"/>
      <c r="AF114" s="135"/>
      <c r="AG114" s="130"/>
      <c r="AH114" s="130"/>
      <c r="AI114" s="130"/>
      <c r="AJ114" s="135"/>
      <c r="AK114" s="130"/>
      <c r="AL114" s="136"/>
      <c r="AM114" s="137"/>
      <c r="AN114" s="130"/>
      <c r="AO114" s="130"/>
      <c r="AP114" s="136"/>
      <c r="AQ114" s="136"/>
      <c r="AR114" s="138"/>
      <c r="AS114" s="130"/>
      <c r="AT114" s="130"/>
      <c r="AU114" s="137"/>
      <c r="AV114" s="130"/>
      <c r="AW114" s="130"/>
      <c r="AX114" s="130"/>
      <c r="AY114" s="137"/>
      <c r="AZ114" s="130"/>
      <c r="BA114" s="130"/>
      <c r="BB114" s="130"/>
      <c r="BC114" s="139"/>
      <c r="BD114" s="130"/>
      <c r="BE114" s="130"/>
      <c r="BF114" s="130"/>
      <c r="BG114" s="140"/>
      <c r="BH114" s="130"/>
      <c r="BI114" s="141"/>
      <c r="BJ114" s="142"/>
      <c r="BK114" s="130"/>
      <c r="BL114" s="143"/>
      <c r="BM114" s="143"/>
      <c r="BN114" s="130"/>
      <c r="BO114" s="130"/>
      <c r="BP114" s="130"/>
      <c r="BQ114" s="143"/>
      <c r="BR114" s="143"/>
      <c r="BS114" s="130"/>
      <c r="BT114" s="130"/>
      <c r="BU114" s="130"/>
      <c r="BV114" s="143"/>
      <c r="BW114" s="143"/>
      <c r="BX114" s="130"/>
      <c r="BY114" s="130"/>
      <c r="BZ114" s="130"/>
      <c r="CA114" s="143"/>
      <c r="CB114" s="143"/>
      <c r="CC114" s="130"/>
      <c r="CD114" s="130"/>
      <c r="CE114" s="130"/>
      <c r="CF114" s="143"/>
      <c r="CG114" s="143"/>
      <c r="CH114" s="77"/>
      <c r="CI114" s="128"/>
      <c r="CJ114" s="74"/>
      <c r="CK114" s="107"/>
      <c r="CL114" s="129"/>
      <c r="CM114" s="77"/>
      <c r="CN114" s="130"/>
      <c r="CO114" s="74"/>
      <c r="CP114" s="107"/>
      <c r="CQ114" s="108"/>
      <c r="CR114" s="77"/>
      <c r="CS114" s="48"/>
      <c r="CT114" s="74"/>
      <c r="CU114" s="107"/>
      <c r="CV114" s="108"/>
      <c r="CW114" s="77"/>
      <c r="CX114" s="48"/>
      <c r="CY114" s="74"/>
      <c r="CZ114" s="107"/>
      <c r="DA114" s="108"/>
      <c r="DB114" s="77"/>
      <c r="DC114" s="48"/>
      <c r="DD114" s="74"/>
      <c r="DE114" s="107"/>
      <c r="DF114" s="108"/>
      <c r="DG114" s="77"/>
      <c r="DH114" s="48"/>
      <c r="DI114" s="74"/>
      <c r="DJ114" s="107"/>
      <c r="DK114" s="108"/>
      <c r="DL114" s="80"/>
      <c r="DM114" s="48"/>
      <c r="DN114" s="74"/>
      <c r="DO114" s="107"/>
      <c r="DP114" s="108"/>
      <c r="DQ114" s="81"/>
      <c r="DR114" s="48"/>
      <c r="DS114" s="54"/>
      <c r="DT114" s="54"/>
      <c r="DU114" s="74"/>
      <c r="DV114" s="56"/>
      <c r="DW114" s="76"/>
      <c r="DX114" s="75"/>
      <c r="DY114" s="74"/>
      <c r="DZ114" s="56"/>
      <c r="EA114" s="76">
        <v>2</v>
      </c>
      <c r="EB114" s="106"/>
      <c r="EC114" s="74"/>
      <c r="ED114" s="74"/>
      <c r="EE114" s="76"/>
      <c r="EF114" s="75"/>
      <c r="EG114" s="74"/>
      <c r="EH114" s="74"/>
      <c r="EI114" s="76">
        <v>6</v>
      </c>
      <c r="EJ114" s="75"/>
      <c r="EK114" s="74"/>
      <c r="EL114" s="48"/>
      <c r="EM114" s="77">
        <v>20</v>
      </c>
      <c r="EN114" s="75"/>
      <c r="EO114" s="74"/>
      <c r="EP114" s="48"/>
      <c r="EQ114" s="77"/>
      <c r="ER114" s="62"/>
      <c r="ES114" s="74"/>
      <c r="ET114" s="48"/>
      <c r="EU114" s="77"/>
      <c r="EV114" s="48"/>
      <c r="EW114" s="74"/>
      <c r="EX114" s="48"/>
      <c r="EY114" s="77"/>
      <c r="EZ114" s="48"/>
      <c r="FA114" s="74"/>
      <c r="FB114" s="48"/>
      <c r="FC114" s="77"/>
      <c r="FD114" s="48"/>
      <c r="FE114" s="74"/>
      <c r="FF114" s="48"/>
      <c r="FG114" s="77"/>
      <c r="FH114" s="48"/>
      <c r="FI114" s="74"/>
      <c r="FJ114" s="48"/>
      <c r="FK114" s="80"/>
      <c r="FL114" s="48"/>
      <c r="FM114" s="74"/>
      <c r="FN114" s="48"/>
      <c r="FO114" s="81"/>
      <c r="FP114" s="48"/>
      <c r="FQ114" s="54"/>
      <c r="FR114" s="54"/>
      <c r="FS114" s="74"/>
      <c r="FT114" s="75"/>
      <c r="FU114" s="76"/>
      <c r="FV114" s="75"/>
      <c r="FW114" s="74"/>
      <c r="FX114" s="75"/>
      <c r="FY114" s="76"/>
      <c r="FZ114" s="75"/>
      <c r="GA114" s="74"/>
      <c r="GB114" s="75"/>
      <c r="GC114" s="76"/>
      <c r="GD114" s="75"/>
      <c r="GE114" s="74"/>
      <c r="GF114" s="75"/>
      <c r="GG114" s="76"/>
      <c r="GH114" s="75"/>
      <c r="GI114" s="74"/>
      <c r="GJ114" s="75"/>
      <c r="GK114" s="77"/>
      <c r="GL114" s="75"/>
      <c r="GM114" s="74"/>
      <c r="GN114" s="78"/>
      <c r="GO114" s="77"/>
      <c r="GP114" s="62"/>
      <c r="GQ114" s="74"/>
      <c r="GR114" s="75"/>
      <c r="GS114" s="77"/>
      <c r="GT114" s="48"/>
      <c r="GU114" s="74"/>
      <c r="GV114" s="75"/>
      <c r="GW114" s="77"/>
      <c r="GX114" s="48"/>
      <c r="GY114" s="74"/>
      <c r="GZ114" s="75"/>
      <c r="HA114" s="77"/>
      <c r="HB114" s="48"/>
      <c r="HC114" s="74"/>
      <c r="HD114" s="75"/>
      <c r="HE114" s="77"/>
      <c r="HF114" s="48"/>
      <c r="HG114" s="74"/>
      <c r="HH114" s="75"/>
      <c r="HI114" s="80"/>
      <c r="HJ114" s="48"/>
      <c r="HK114" s="74"/>
      <c r="HL114" s="75"/>
      <c r="HM114" s="81"/>
      <c r="HN114" s="48"/>
      <c r="HO114" s="54"/>
      <c r="HP114" s="54"/>
      <c r="HQ114" s="74"/>
      <c r="HR114" s="75"/>
      <c r="HS114" s="76"/>
      <c r="HT114" s="75"/>
      <c r="HU114" s="74"/>
      <c r="HV114" s="75"/>
      <c r="HW114" s="76"/>
      <c r="HX114" s="75"/>
      <c r="HY114" s="74"/>
      <c r="HZ114" s="75"/>
      <c r="IA114" s="76"/>
      <c r="IB114" s="75"/>
      <c r="IC114" s="74"/>
      <c r="ID114" s="75"/>
      <c r="IE114" s="76"/>
      <c r="IF114" s="75"/>
      <c r="IG114" s="74"/>
      <c r="IH114" s="75"/>
      <c r="II114" s="77"/>
      <c r="IJ114" s="75"/>
      <c r="IK114" s="74"/>
      <c r="IL114" s="78"/>
      <c r="IM114" s="77"/>
      <c r="IN114" s="62"/>
      <c r="IO114" s="74"/>
      <c r="IP114" s="75"/>
      <c r="IQ114" s="77"/>
      <c r="IR114" s="48"/>
      <c r="IS114" s="74"/>
      <c r="IT114" s="75"/>
      <c r="IU114" s="77"/>
      <c r="IV114" s="48"/>
      <c r="IW114" s="74"/>
      <c r="IX114" s="75"/>
      <c r="IY114" s="77"/>
      <c r="IZ114" s="48"/>
      <c r="JA114" s="74"/>
      <c r="JB114" s="75"/>
      <c r="JC114" s="77"/>
      <c r="JD114" s="48"/>
      <c r="JE114" s="74"/>
      <c r="JF114" s="75"/>
      <c r="JG114" s="80"/>
      <c r="JH114" s="48"/>
      <c r="JI114" s="74"/>
      <c r="JJ114" s="75"/>
      <c r="JK114" s="81"/>
      <c r="JL114" s="48"/>
      <c r="JM114" s="54"/>
      <c r="JN114" s="54"/>
    </row>
    <row r="115" spans="1:274">
      <c r="A115" s="146"/>
      <c r="B115" s="146"/>
      <c r="C115" s="146"/>
      <c r="D115" s="251"/>
      <c r="E115" s="36">
        <v>110</v>
      </c>
      <c r="F115" s="145">
        <v>2</v>
      </c>
      <c r="G115" s="132">
        <v>4498110300</v>
      </c>
      <c r="H115" s="133" t="s">
        <v>156</v>
      </c>
      <c r="I115" s="220">
        <v>109</v>
      </c>
      <c r="J115" s="119"/>
      <c r="K115" s="119"/>
      <c r="L115" s="119"/>
      <c r="M115" s="134"/>
      <c r="N115" s="134"/>
      <c r="O115" s="135"/>
      <c r="P115" s="135"/>
      <c r="Q115" s="130"/>
      <c r="R115" s="130"/>
      <c r="S115" s="135"/>
      <c r="T115" s="135"/>
      <c r="U115" s="130"/>
      <c r="V115" s="130"/>
      <c r="W115" s="135"/>
      <c r="X115" s="135"/>
      <c r="Y115" s="130"/>
      <c r="Z115" s="130"/>
      <c r="AA115" s="130"/>
      <c r="AB115" s="135"/>
      <c r="AC115" s="130"/>
      <c r="AD115" s="130"/>
      <c r="AE115" s="135"/>
      <c r="AF115" s="135"/>
      <c r="AG115" s="130"/>
      <c r="AH115" s="130"/>
      <c r="AI115" s="130"/>
      <c r="AJ115" s="135"/>
      <c r="AK115" s="130"/>
      <c r="AL115" s="136"/>
      <c r="AM115" s="137"/>
      <c r="AN115" s="130"/>
      <c r="AO115" s="130"/>
      <c r="AP115" s="136"/>
      <c r="AQ115" s="136"/>
      <c r="AR115" s="138"/>
      <c r="AS115" s="130"/>
      <c r="AT115" s="130"/>
      <c r="AU115" s="137"/>
      <c r="AV115" s="130"/>
      <c r="AW115" s="130"/>
      <c r="AX115" s="130"/>
      <c r="AY115" s="137"/>
      <c r="AZ115" s="130"/>
      <c r="BA115" s="130"/>
      <c r="BB115" s="130"/>
      <c r="BC115" s="139"/>
      <c r="BD115" s="130"/>
      <c r="BE115" s="130"/>
      <c r="BF115" s="130"/>
      <c r="BG115" s="140"/>
      <c r="BH115" s="130"/>
      <c r="BI115" s="141"/>
      <c r="BJ115" s="142"/>
      <c r="BK115" s="130"/>
      <c r="BL115" s="143"/>
      <c r="BM115" s="143"/>
      <c r="BN115" s="130"/>
      <c r="BO115" s="130"/>
      <c r="BP115" s="130"/>
      <c r="BQ115" s="143"/>
      <c r="BR115" s="143"/>
      <c r="BS115" s="130"/>
      <c r="BT115" s="130"/>
      <c r="BU115" s="130"/>
      <c r="BV115" s="143"/>
      <c r="BW115" s="143"/>
      <c r="BX115" s="130"/>
      <c r="BY115" s="130"/>
      <c r="BZ115" s="130"/>
      <c r="CA115" s="143"/>
      <c r="CB115" s="143"/>
      <c r="CC115" s="130"/>
      <c r="CD115" s="130"/>
      <c r="CE115" s="130"/>
      <c r="CF115" s="143"/>
      <c r="CG115" s="143"/>
      <c r="CH115" s="77"/>
      <c r="CI115" s="128"/>
      <c r="CJ115" s="74"/>
      <c r="CK115" s="107"/>
      <c r="CL115" s="129"/>
      <c r="CM115" s="77"/>
      <c r="CN115" s="130"/>
      <c r="CO115" s="74"/>
      <c r="CP115" s="107"/>
      <c r="CQ115" s="108"/>
      <c r="CR115" s="77"/>
      <c r="CS115" s="48"/>
      <c r="CT115" s="74"/>
      <c r="CU115" s="107"/>
      <c r="CV115" s="108"/>
      <c r="CW115" s="77"/>
      <c r="CX115" s="48"/>
      <c r="CY115" s="74"/>
      <c r="CZ115" s="107"/>
      <c r="DA115" s="108"/>
      <c r="DB115" s="77"/>
      <c r="DC115" s="48"/>
      <c r="DD115" s="74"/>
      <c r="DE115" s="107"/>
      <c r="DF115" s="108"/>
      <c r="DG115" s="77"/>
      <c r="DH115" s="48"/>
      <c r="DI115" s="74"/>
      <c r="DJ115" s="107"/>
      <c r="DK115" s="108"/>
      <c r="DL115" s="80"/>
      <c r="DM115" s="48"/>
      <c r="DN115" s="74"/>
      <c r="DO115" s="107"/>
      <c r="DP115" s="108"/>
      <c r="DQ115" s="81"/>
      <c r="DR115" s="48"/>
      <c r="DS115" s="54"/>
      <c r="DT115" s="54"/>
      <c r="DU115" s="74"/>
      <c r="DV115" s="56"/>
      <c r="DW115" s="76"/>
      <c r="DX115" s="75"/>
      <c r="DY115" s="74"/>
      <c r="DZ115" s="56"/>
      <c r="EA115" s="76">
        <v>1</v>
      </c>
      <c r="EB115" s="106"/>
      <c r="EC115" s="74"/>
      <c r="ED115" s="74"/>
      <c r="EE115" s="76"/>
      <c r="EF115" s="75"/>
      <c r="EG115" s="74"/>
      <c r="EH115" s="74"/>
      <c r="EI115" s="76">
        <v>3</v>
      </c>
      <c r="EJ115" s="75"/>
      <c r="EK115" s="74"/>
      <c r="EL115" s="48"/>
      <c r="EM115" s="77">
        <v>10</v>
      </c>
      <c r="EN115" s="75"/>
      <c r="EO115" s="74"/>
      <c r="EP115" s="48"/>
      <c r="EQ115" s="77"/>
      <c r="ER115" s="62"/>
      <c r="ES115" s="74"/>
      <c r="ET115" s="48"/>
      <c r="EU115" s="77"/>
      <c r="EV115" s="48"/>
      <c r="EW115" s="74"/>
      <c r="EX115" s="48"/>
      <c r="EY115" s="77"/>
      <c r="EZ115" s="48"/>
      <c r="FA115" s="74"/>
      <c r="FB115" s="48"/>
      <c r="FC115" s="77"/>
      <c r="FD115" s="48"/>
      <c r="FE115" s="74"/>
      <c r="FF115" s="48"/>
      <c r="FG115" s="77"/>
      <c r="FH115" s="48"/>
      <c r="FI115" s="74"/>
      <c r="FJ115" s="48"/>
      <c r="FK115" s="80"/>
      <c r="FL115" s="48"/>
      <c r="FM115" s="74"/>
      <c r="FN115" s="48"/>
      <c r="FO115" s="81"/>
      <c r="FP115" s="48"/>
      <c r="FQ115" s="54"/>
      <c r="FR115" s="54"/>
      <c r="FS115" s="74"/>
      <c r="FT115" s="75"/>
      <c r="FU115" s="76"/>
      <c r="FV115" s="75"/>
      <c r="FW115" s="74"/>
      <c r="FX115" s="75"/>
      <c r="FY115" s="76"/>
      <c r="FZ115" s="75"/>
      <c r="GA115" s="74"/>
      <c r="GB115" s="75"/>
      <c r="GC115" s="76"/>
      <c r="GD115" s="75"/>
      <c r="GE115" s="74"/>
      <c r="GF115" s="75"/>
      <c r="GG115" s="76"/>
      <c r="GH115" s="75"/>
      <c r="GI115" s="74"/>
      <c r="GJ115" s="75"/>
      <c r="GK115" s="77"/>
      <c r="GL115" s="75"/>
      <c r="GM115" s="74"/>
      <c r="GN115" s="78"/>
      <c r="GO115" s="77"/>
      <c r="GP115" s="62"/>
      <c r="GQ115" s="74"/>
      <c r="GR115" s="75"/>
      <c r="GS115" s="77"/>
      <c r="GT115" s="48"/>
      <c r="GU115" s="74"/>
      <c r="GV115" s="75"/>
      <c r="GW115" s="77"/>
      <c r="GX115" s="48"/>
      <c r="GY115" s="74"/>
      <c r="GZ115" s="75"/>
      <c r="HA115" s="77"/>
      <c r="HB115" s="48"/>
      <c r="HC115" s="74"/>
      <c r="HD115" s="75"/>
      <c r="HE115" s="77"/>
      <c r="HF115" s="48"/>
      <c r="HG115" s="74"/>
      <c r="HH115" s="75"/>
      <c r="HI115" s="80"/>
      <c r="HJ115" s="48"/>
      <c r="HK115" s="74"/>
      <c r="HL115" s="75"/>
      <c r="HM115" s="81"/>
      <c r="HN115" s="48"/>
      <c r="HO115" s="54"/>
      <c r="HP115" s="54"/>
      <c r="HQ115" s="74"/>
      <c r="HR115" s="75"/>
      <c r="HS115" s="76"/>
      <c r="HT115" s="75"/>
      <c r="HU115" s="74"/>
      <c r="HV115" s="75"/>
      <c r="HW115" s="76"/>
      <c r="HX115" s="75"/>
      <c r="HY115" s="74"/>
      <c r="HZ115" s="75"/>
      <c r="IA115" s="76"/>
      <c r="IB115" s="75"/>
      <c r="IC115" s="74"/>
      <c r="ID115" s="75"/>
      <c r="IE115" s="76"/>
      <c r="IF115" s="75"/>
      <c r="IG115" s="74"/>
      <c r="IH115" s="75"/>
      <c r="II115" s="77"/>
      <c r="IJ115" s="75"/>
      <c r="IK115" s="74"/>
      <c r="IL115" s="78"/>
      <c r="IM115" s="77"/>
      <c r="IN115" s="62"/>
      <c r="IO115" s="74"/>
      <c r="IP115" s="75"/>
      <c r="IQ115" s="77"/>
      <c r="IR115" s="48"/>
      <c r="IS115" s="74"/>
      <c r="IT115" s="75"/>
      <c r="IU115" s="77"/>
      <c r="IV115" s="48"/>
      <c r="IW115" s="74"/>
      <c r="IX115" s="75"/>
      <c r="IY115" s="77"/>
      <c r="IZ115" s="48"/>
      <c r="JA115" s="74"/>
      <c r="JB115" s="75"/>
      <c r="JC115" s="77"/>
      <c r="JD115" s="48"/>
      <c r="JE115" s="74"/>
      <c r="JF115" s="75"/>
      <c r="JG115" s="80"/>
      <c r="JH115" s="48"/>
      <c r="JI115" s="74"/>
      <c r="JJ115" s="75"/>
      <c r="JK115" s="81"/>
      <c r="JL115" s="48"/>
      <c r="JM115" s="54"/>
      <c r="JN115" s="54"/>
    </row>
    <row r="116" spans="1:274" s="27" customFormat="1">
      <c r="A116" s="146"/>
      <c r="B116" s="146"/>
      <c r="C116" s="146"/>
      <c r="D116" s="251"/>
      <c r="E116" s="36">
        <v>111</v>
      </c>
      <c r="F116" s="145">
        <v>1</v>
      </c>
      <c r="G116" s="132">
        <v>4491731400</v>
      </c>
      <c r="H116" s="133" t="s">
        <v>143</v>
      </c>
      <c r="I116" s="220">
        <v>851.61</v>
      </c>
      <c r="J116" s="119"/>
      <c r="K116" s="119"/>
      <c r="L116" s="119"/>
      <c r="M116" s="134"/>
      <c r="N116" s="134"/>
      <c r="O116" s="135"/>
      <c r="P116" s="135"/>
      <c r="Q116" s="130"/>
      <c r="R116" s="130"/>
      <c r="S116" s="135"/>
      <c r="T116" s="135"/>
      <c r="U116" s="130"/>
      <c r="V116" s="130"/>
      <c r="W116" s="135"/>
      <c r="X116" s="135"/>
      <c r="Y116" s="130"/>
      <c r="Z116" s="130"/>
      <c r="AA116" s="130"/>
      <c r="AB116" s="135"/>
      <c r="AC116" s="130"/>
      <c r="AD116" s="130"/>
      <c r="AE116" s="135"/>
      <c r="AF116" s="135"/>
      <c r="AG116" s="130"/>
      <c r="AH116" s="130"/>
      <c r="AI116" s="130"/>
      <c r="AJ116" s="135"/>
      <c r="AK116" s="130"/>
      <c r="AL116" s="136"/>
      <c r="AM116" s="137"/>
      <c r="AN116" s="130"/>
      <c r="AO116" s="130"/>
      <c r="AP116" s="136"/>
      <c r="AQ116" s="136"/>
      <c r="AR116" s="138"/>
      <c r="AS116" s="130"/>
      <c r="AT116" s="130"/>
      <c r="AU116" s="137"/>
      <c r="AV116" s="130"/>
      <c r="AW116" s="130"/>
      <c r="AX116" s="130"/>
      <c r="AY116" s="137"/>
      <c r="AZ116" s="130"/>
      <c r="BA116" s="130"/>
      <c r="BB116" s="130"/>
      <c r="BC116" s="139"/>
      <c r="BD116" s="130"/>
      <c r="BE116" s="130"/>
      <c r="BF116" s="130"/>
      <c r="BG116" s="140"/>
      <c r="BH116" s="130"/>
      <c r="BI116" s="141"/>
      <c r="BJ116" s="142"/>
      <c r="BK116" s="130"/>
      <c r="BL116" s="143"/>
      <c r="BM116" s="143"/>
      <c r="BN116" s="130"/>
      <c r="BO116" s="130"/>
      <c r="BP116" s="130"/>
      <c r="BQ116" s="143"/>
      <c r="BR116" s="143"/>
      <c r="BS116" s="130"/>
      <c r="BT116" s="130"/>
      <c r="BU116" s="130"/>
      <c r="BV116" s="143"/>
      <c r="BW116" s="143"/>
      <c r="BX116" s="130"/>
      <c r="BY116" s="130"/>
      <c r="BZ116" s="130"/>
      <c r="CA116" s="143"/>
      <c r="CB116" s="143"/>
      <c r="CC116" s="130"/>
      <c r="CD116" s="130"/>
      <c r="CE116" s="130"/>
      <c r="CF116" s="143"/>
      <c r="CG116" s="143"/>
      <c r="CH116" s="77"/>
      <c r="CI116" s="128"/>
      <c r="CJ116" s="74"/>
      <c r="CK116" s="107"/>
      <c r="CL116" s="129"/>
      <c r="CM116" s="77">
        <v>1</v>
      </c>
      <c r="CN116" s="130"/>
      <c r="CO116" s="74"/>
      <c r="CP116" s="107"/>
      <c r="CQ116" s="108"/>
      <c r="CR116" s="77"/>
      <c r="CS116" s="48"/>
      <c r="CT116" s="74"/>
      <c r="CU116" s="107"/>
      <c r="CV116" s="108"/>
      <c r="CW116" s="77"/>
      <c r="CX116" s="48"/>
      <c r="CY116" s="74"/>
      <c r="CZ116" s="107"/>
      <c r="DA116" s="108"/>
      <c r="DB116" s="77"/>
      <c r="DC116" s="48"/>
      <c r="DD116" s="74"/>
      <c r="DE116" s="107"/>
      <c r="DF116" s="108"/>
      <c r="DG116" s="77"/>
      <c r="DH116" s="48"/>
      <c r="DI116" s="74"/>
      <c r="DJ116" s="107"/>
      <c r="DK116" s="108"/>
      <c r="DL116" s="80"/>
      <c r="DM116" s="48"/>
      <c r="DN116" s="74"/>
      <c r="DO116" s="107"/>
      <c r="DP116" s="108"/>
      <c r="DQ116" s="81"/>
      <c r="DR116" s="48"/>
      <c r="DS116" s="54">
        <f>SUM(DS6:DS59)</f>
        <v>14197</v>
      </c>
      <c r="DT116" s="54">
        <f>SUM(DT6:DT59)</f>
        <v>3613651.209015687</v>
      </c>
      <c r="DU116" s="74"/>
      <c r="DV116" s="56"/>
      <c r="DW116" s="76"/>
      <c r="DX116" s="75"/>
      <c r="DY116" s="74"/>
      <c r="DZ116" s="56"/>
      <c r="EA116" s="76">
        <v>1</v>
      </c>
      <c r="EB116" s="106"/>
      <c r="EC116" s="74"/>
      <c r="ED116" s="74"/>
      <c r="EE116" s="76"/>
      <c r="EF116" s="75"/>
      <c r="EG116" s="74"/>
      <c r="EH116" s="74"/>
      <c r="EI116" s="76"/>
      <c r="EJ116" s="75"/>
      <c r="EK116" s="74"/>
      <c r="EL116" s="48"/>
      <c r="EM116" s="77">
        <v>3</v>
      </c>
      <c r="EN116" s="75"/>
      <c r="EO116" s="74"/>
      <c r="EP116" s="48"/>
      <c r="EQ116" s="77"/>
      <c r="ER116" s="62"/>
      <c r="ES116" s="74"/>
      <c r="ET116" s="48"/>
      <c r="EU116" s="77"/>
      <c r="EV116" s="48"/>
      <c r="EW116" s="74"/>
      <c r="EX116" s="48"/>
      <c r="EY116" s="77"/>
      <c r="EZ116" s="48"/>
      <c r="FA116" s="74"/>
      <c r="FB116" s="48"/>
      <c r="FC116" s="77"/>
      <c r="FD116" s="48"/>
      <c r="FE116" s="74"/>
      <c r="FF116" s="48"/>
      <c r="FG116" s="77"/>
      <c r="FH116" s="48"/>
      <c r="FI116" s="74"/>
      <c r="FJ116" s="48"/>
      <c r="FK116" s="80"/>
      <c r="FL116" s="48"/>
      <c r="FM116" s="74"/>
      <c r="FN116" s="48"/>
      <c r="FO116" s="81"/>
      <c r="FP116" s="48"/>
      <c r="FQ116" s="54">
        <f>SUM(FQ6:FQ59)</f>
        <v>8924</v>
      </c>
      <c r="FR116" s="54">
        <f>SUM(FR6:FR59)</f>
        <v>2950073.7157354164</v>
      </c>
      <c r="FS116" s="74"/>
      <c r="FT116" s="75"/>
      <c r="FU116" s="76"/>
      <c r="FV116" s="75"/>
      <c r="FW116" s="74"/>
      <c r="FX116" s="75"/>
      <c r="FY116" s="76"/>
      <c r="FZ116" s="75"/>
      <c r="GA116" s="74"/>
      <c r="GB116" s="75"/>
      <c r="GC116" s="76"/>
      <c r="GD116" s="75"/>
      <c r="GE116" s="74"/>
      <c r="GF116" s="75"/>
      <c r="GG116" s="76"/>
      <c r="GH116" s="75"/>
      <c r="GI116" s="74"/>
      <c r="GJ116" s="75"/>
      <c r="GK116" s="77"/>
      <c r="GL116" s="75"/>
      <c r="GM116" s="74"/>
      <c r="GN116" s="78"/>
      <c r="GO116" s="77"/>
      <c r="GP116" s="62"/>
      <c r="GQ116" s="74"/>
      <c r="GR116" s="75"/>
      <c r="GS116" s="77"/>
      <c r="GT116" s="48"/>
      <c r="GU116" s="74"/>
      <c r="GV116" s="75"/>
      <c r="GW116" s="77"/>
      <c r="GX116" s="48"/>
      <c r="GY116" s="74"/>
      <c r="GZ116" s="75"/>
      <c r="HA116" s="77"/>
      <c r="HB116" s="48"/>
      <c r="HC116" s="74"/>
      <c r="HD116" s="75"/>
      <c r="HE116" s="77"/>
      <c r="HF116" s="48"/>
      <c r="HG116" s="74"/>
      <c r="HH116" s="75"/>
      <c r="HI116" s="80"/>
      <c r="HJ116" s="48"/>
      <c r="HK116" s="74"/>
      <c r="HL116" s="75"/>
      <c r="HM116" s="81"/>
      <c r="HN116" s="48"/>
      <c r="HO116" s="54" t="e">
        <f>SUM(HO6:HO59)</f>
        <v>#REF!</v>
      </c>
      <c r="HP116" s="54" t="e">
        <f>SUM(HP6:HP59)</f>
        <v>#REF!</v>
      </c>
      <c r="HQ116" s="74"/>
      <c r="HR116" s="75"/>
      <c r="HS116" s="76"/>
      <c r="HT116" s="75"/>
      <c r="HU116" s="74"/>
      <c r="HV116" s="75"/>
      <c r="HW116" s="76"/>
      <c r="HX116" s="75"/>
      <c r="HY116" s="74"/>
      <c r="HZ116" s="75"/>
      <c r="IA116" s="76"/>
      <c r="IB116" s="75"/>
      <c r="IC116" s="74"/>
      <c r="ID116" s="75"/>
      <c r="IE116" s="76"/>
      <c r="IF116" s="75"/>
      <c r="IG116" s="74"/>
      <c r="IH116" s="75"/>
      <c r="II116" s="77"/>
      <c r="IJ116" s="75"/>
      <c r="IK116" s="74"/>
      <c r="IL116" s="78"/>
      <c r="IM116" s="77"/>
      <c r="IN116" s="62"/>
      <c r="IO116" s="74"/>
      <c r="IP116" s="75"/>
      <c r="IQ116" s="77"/>
      <c r="IR116" s="48"/>
      <c r="IS116" s="74"/>
      <c r="IT116" s="75"/>
      <c r="IU116" s="77"/>
      <c r="IV116" s="48"/>
      <c r="IW116" s="74"/>
      <c r="IX116" s="75"/>
      <c r="IY116" s="77"/>
      <c r="IZ116" s="48"/>
      <c r="JA116" s="74"/>
      <c r="JB116" s="75"/>
      <c r="JC116" s="77"/>
      <c r="JD116" s="48"/>
      <c r="JE116" s="74"/>
      <c r="JF116" s="75"/>
      <c r="JG116" s="80"/>
      <c r="JH116" s="48"/>
      <c r="JI116" s="74"/>
      <c r="JJ116" s="75"/>
      <c r="JK116" s="81"/>
      <c r="JL116" s="48"/>
      <c r="JM116" s="54">
        <f>SUM(JM6:JM59)</f>
        <v>18885.900000000001</v>
      </c>
      <c r="JN116" s="54">
        <f>SUM(JN6:JN59)</f>
        <v>4589750.3802937698</v>
      </c>
    </row>
    <row r="117" spans="1:274">
      <c r="A117" s="146"/>
      <c r="B117" s="146"/>
      <c r="C117" s="146"/>
      <c r="D117" s="218"/>
      <c r="E117" s="36">
        <v>112</v>
      </c>
      <c r="F117" s="145">
        <v>1</v>
      </c>
      <c r="G117" s="132" t="s">
        <v>160</v>
      </c>
      <c r="H117" s="133" t="s">
        <v>161</v>
      </c>
      <c r="I117" s="220">
        <v>44</v>
      </c>
      <c r="J117" s="119"/>
      <c r="K117" s="119"/>
      <c r="L117" s="119"/>
      <c r="M117" s="134"/>
      <c r="N117" s="134"/>
      <c r="O117" s="135"/>
      <c r="P117" s="135"/>
      <c r="Q117" s="130"/>
      <c r="R117" s="130"/>
      <c r="S117" s="135"/>
      <c r="T117" s="135"/>
      <c r="U117" s="130"/>
      <c r="V117" s="130"/>
      <c r="W117" s="135"/>
      <c r="X117" s="135"/>
      <c r="Y117" s="130"/>
      <c r="Z117" s="130"/>
      <c r="AA117" s="130"/>
      <c r="AB117" s="135"/>
      <c r="AC117" s="130"/>
      <c r="AD117" s="130"/>
      <c r="AE117" s="135"/>
      <c r="AF117" s="135"/>
      <c r="AG117" s="130"/>
      <c r="AH117" s="130"/>
      <c r="AI117" s="130"/>
      <c r="AJ117" s="135"/>
      <c r="AK117" s="130"/>
      <c r="AL117" s="136"/>
      <c r="AM117" s="137"/>
      <c r="AN117" s="130"/>
      <c r="AO117" s="130"/>
      <c r="AP117" s="136"/>
      <c r="AQ117" s="136"/>
      <c r="AR117" s="138"/>
      <c r="AS117" s="130"/>
      <c r="AT117" s="130"/>
      <c r="AU117" s="137"/>
      <c r="AV117" s="130"/>
      <c r="AW117" s="130"/>
      <c r="AX117" s="130"/>
      <c r="AY117" s="137"/>
      <c r="AZ117" s="130"/>
      <c r="BA117" s="130"/>
      <c r="BB117" s="130"/>
      <c r="BC117" s="139"/>
      <c r="BD117" s="130"/>
      <c r="BE117" s="130"/>
      <c r="BF117" s="130"/>
      <c r="BG117" s="140"/>
      <c r="BH117" s="130"/>
      <c r="BI117" s="141"/>
      <c r="BJ117" s="142"/>
      <c r="BK117" s="130"/>
      <c r="BL117" s="143"/>
      <c r="BM117" s="143"/>
      <c r="BN117" s="130"/>
      <c r="BO117" s="130"/>
      <c r="BP117" s="130"/>
      <c r="BQ117" s="143"/>
      <c r="BR117" s="143"/>
      <c r="BS117" s="130"/>
      <c r="BT117" s="130"/>
      <c r="BU117" s="130"/>
      <c r="BV117" s="143"/>
      <c r="BW117" s="143"/>
      <c r="BX117" s="130"/>
      <c r="BY117" s="130"/>
      <c r="BZ117" s="130"/>
      <c r="CA117" s="143"/>
      <c r="CB117" s="143"/>
      <c r="CC117" s="130"/>
      <c r="CD117" s="130"/>
      <c r="CE117" s="130"/>
      <c r="CF117" s="143"/>
      <c r="CG117" s="143"/>
      <c r="CH117" s="77"/>
      <c r="CI117" s="128"/>
      <c r="CJ117" s="74"/>
      <c r="CK117" s="107"/>
      <c r="CL117" s="129"/>
      <c r="CM117" s="77"/>
      <c r="CN117" s="130"/>
      <c r="CO117" s="74"/>
      <c r="CP117" s="107"/>
      <c r="CQ117" s="108"/>
      <c r="CR117" s="77"/>
      <c r="CS117" s="48"/>
      <c r="CT117" s="74"/>
      <c r="CU117" s="107"/>
      <c r="CV117" s="108"/>
      <c r="CW117" s="77"/>
      <c r="CX117" s="48"/>
      <c r="CY117" s="74"/>
      <c r="CZ117" s="107"/>
      <c r="DA117" s="108"/>
      <c r="DB117" s="77"/>
      <c r="DC117" s="48"/>
      <c r="DD117" s="74"/>
      <c r="DE117" s="107"/>
      <c r="DF117" s="108"/>
      <c r="DG117" s="77"/>
      <c r="DH117" s="48"/>
      <c r="DI117" s="74"/>
      <c r="DJ117" s="107"/>
      <c r="DK117" s="108"/>
      <c r="DL117" s="80"/>
      <c r="DM117" s="48"/>
      <c r="DN117" s="74"/>
      <c r="DO117" s="107"/>
      <c r="DP117" s="108"/>
      <c r="DQ117" s="81"/>
      <c r="DR117" s="48"/>
      <c r="DS117" s="54"/>
      <c r="DT117" s="54"/>
      <c r="DU117" s="74"/>
      <c r="DV117" s="56"/>
      <c r="DW117" s="76"/>
      <c r="DX117" s="75"/>
      <c r="DY117" s="74"/>
      <c r="DZ117" s="56"/>
      <c r="EA117" s="76">
        <v>1</v>
      </c>
      <c r="EB117" s="106"/>
      <c r="EC117" s="74"/>
      <c r="ED117" s="74"/>
      <c r="EE117" s="76"/>
      <c r="EF117" s="75"/>
      <c r="EG117" s="74"/>
      <c r="EH117" s="74"/>
      <c r="EI117" s="76"/>
      <c r="EJ117" s="75"/>
      <c r="EK117" s="74"/>
      <c r="EL117" s="48"/>
      <c r="EM117" s="77"/>
      <c r="EN117" s="75"/>
      <c r="EO117" s="74"/>
      <c r="EP117" s="48"/>
      <c r="EQ117" s="77"/>
      <c r="ER117" s="62"/>
      <c r="ES117" s="74"/>
      <c r="ET117" s="48"/>
      <c r="EU117" s="77"/>
      <c r="EV117" s="48"/>
      <c r="EW117" s="74"/>
      <c r="EX117" s="48"/>
      <c r="EY117" s="77"/>
      <c r="EZ117" s="48"/>
      <c r="FA117" s="74"/>
      <c r="FB117" s="48"/>
      <c r="FC117" s="77"/>
      <c r="FD117" s="48"/>
      <c r="FE117" s="74"/>
      <c r="FF117" s="48"/>
      <c r="FG117" s="77"/>
      <c r="FH117" s="48"/>
      <c r="FI117" s="74"/>
      <c r="FJ117" s="48"/>
      <c r="FK117" s="80"/>
      <c r="FL117" s="48"/>
      <c r="FM117" s="74"/>
      <c r="FN117" s="48"/>
      <c r="FO117" s="81"/>
      <c r="FP117" s="48"/>
      <c r="FQ117" s="54"/>
      <c r="FR117" s="54"/>
      <c r="FS117" s="74"/>
      <c r="FT117" s="75"/>
      <c r="FU117" s="76"/>
      <c r="FV117" s="75"/>
      <c r="FW117" s="74"/>
      <c r="FX117" s="75"/>
      <c r="FY117" s="76"/>
      <c r="FZ117" s="75"/>
      <c r="GA117" s="74"/>
      <c r="GB117" s="75"/>
      <c r="GC117" s="76"/>
      <c r="GD117" s="75"/>
      <c r="GE117" s="74"/>
      <c r="GF117" s="75"/>
      <c r="GG117" s="76"/>
      <c r="GH117" s="75"/>
      <c r="GI117" s="74"/>
      <c r="GJ117" s="75"/>
      <c r="GK117" s="77"/>
      <c r="GL117" s="75"/>
      <c r="GM117" s="74"/>
      <c r="GN117" s="78"/>
      <c r="GO117" s="77"/>
      <c r="GP117" s="62"/>
      <c r="GQ117" s="74"/>
      <c r="GR117" s="75"/>
      <c r="GS117" s="77"/>
      <c r="GT117" s="48"/>
      <c r="GU117" s="74"/>
      <c r="GV117" s="75"/>
      <c r="GW117" s="77"/>
      <c r="GX117" s="48"/>
      <c r="GY117" s="74"/>
      <c r="GZ117" s="75"/>
      <c r="HA117" s="77"/>
      <c r="HB117" s="48"/>
      <c r="HC117" s="74"/>
      <c r="HD117" s="75"/>
      <c r="HE117" s="77"/>
      <c r="HF117" s="48"/>
      <c r="HG117" s="74"/>
      <c r="HH117" s="75"/>
      <c r="HI117" s="80"/>
      <c r="HJ117" s="48"/>
      <c r="HK117" s="74"/>
      <c r="HL117" s="75"/>
      <c r="HM117" s="81"/>
      <c r="HN117" s="48"/>
      <c r="HO117" s="54"/>
      <c r="HP117" s="54"/>
      <c r="HQ117" s="74"/>
      <c r="HR117" s="75"/>
      <c r="HS117" s="76"/>
      <c r="HT117" s="75"/>
      <c r="HU117" s="74"/>
      <c r="HV117" s="75"/>
      <c r="HW117" s="76"/>
      <c r="HX117" s="75"/>
      <c r="HY117" s="74"/>
      <c r="HZ117" s="75"/>
      <c r="IA117" s="76"/>
      <c r="IB117" s="75"/>
      <c r="IC117" s="74"/>
      <c r="ID117" s="75"/>
      <c r="IE117" s="76"/>
      <c r="IF117" s="75"/>
      <c r="IG117" s="74"/>
      <c r="IH117" s="75"/>
      <c r="II117" s="77"/>
      <c r="IJ117" s="75"/>
      <c r="IK117" s="74"/>
      <c r="IL117" s="78"/>
      <c r="IM117" s="77"/>
      <c r="IN117" s="62"/>
      <c r="IO117" s="74"/>
      <c r="IP117" s="75"/>
      <c r="IQ117" s="77"/>
      <c r="IR117" s="48"/>
      <c r="IS117" s="74"/>
      <c r="IT117" s="75"/>
      <c r="IU117" s="77"/>
      <c r="IV117" s="48"/>
      <c r="IW117" s="74"/>
      <c r="IX117" s="75"/>
      <c r="IY117" s="77"/>
      <c r="IZ117" s="48"/>
      <c r="JA117" s="74"/>
      <c r="JB117" s="75"/>
      <c r="JC117" s="77"/>
      <c r="JD117" s="48"/>
      <c r="JE117" s="74"/>
      <c r="JF117" s="75"/>
      <c r="JG117" s="80"/>
      <c r="JH117" s="48"/>
      <c r="JI117" s="74"/>
      <c r="JJ117" s="75"/>
      <c r="JK117" s="81"/>
      <c r="JL117" s="48"/>
      <c r="JM117" s="54"/>
      <c r="JN117" s="54"/>
    </row>
    <row r="118" spans="1:274">
      <c r="A118" s="146"/>
      <c r="B118" s="146"/>
      <c r="C118" s="146"/>
      <c r="D118" s="218"/>
      <c r="E118" s="36">
        <v>113</v>
      </c>
      <c r="F118" s="145">
        <v>1</v>
      </c>
      <c r="G118" s="132" t="s">
        <v>162</v>
      </c>
      <c r="H118" s="133" t="s">
        <v>163</v>
      </c>
      <c r="I118" s="220">
        <v>71</v>
      </c>
      <c r="J118" s="119"/>
      <c r="K118" s="119"/>
      <c r="L118" s="119"/>
      <c r="M118" s="134"/>
      <c r="N118" s="134"/>
      <c r="O118" s="135"/>
      <c r="P118" s="135"/>
      <c r="Q118" s="130"/>
      <c r="R118" s="130"/>
      <c r="S118" s="135"/>
      <c r="T118" s="135"/>
      <c r="U118" s="130"/>
      <c r="V118" s="130"/>
      <c r="W118" s="135"/>
      <c r="X118" s="135"/>
      <c r="Y118" s="130"/>
      <c r="Z118" s="130"/>
      <c r="AA118" s="130"/>
      <c r="AB118" s="135"/>
      <c r="AC118" s="130"/>
      <c r="AD118" s="130"/>
      <c r="AE118" s="135"/>
      <c r="AF118" s="135"/>
      <c r="AG118" s="130"/>
      <c r="AH118" s="130"/>
      <c r="AI118" s="130"/>
      <c r="AJ118" s="135"/>
      <c r="AK118" s="130"/>
      <c r="AL118" s="136"/>
      <c r="AM118" s="137"/>
      <c r="AN118" s="130"/>
      <c r="AO118" s="130"/>
      <c r="AP118" s="136"/>
      <c r="AQ118" s="136"/>
      <c r="AR118" s="138"/>
      <c r="AS118" s="130"/>
      <c r="AT118" s="130"/>
      <c r="AU118" s="137"/>
      <c r="AV118" s="130"/>
      <c r="AW118" s="130"/>
      <c r="AX118" s="130"/>
      <c r="AY118" s="137"/>
      <c r="AZ118" s="130"/>
      <c r="BA118" s="130"/>
      <c r="BB118" s="130"/>
      <c r="BC118" s="139"/>
      <c r="BD118" s="130"/>
      <c r="BE118" s="130"/>
      <c r="BF118" s="130"/>
      <c r="BG118" s="140"/>
      <c r="BH118" s="130"/>
      <c r="BI118" s="141"/>
      <c r="BJ118" s="142"/>
      <c r="BK118" s="130"/>
      <c r="BL118" s="143"/>
      <c r="BM118" s="143"/>
      <c r="BN118" s="130"/>
      <c r="BO118" s="130"/>
      <c r="BP118" s="130"/>
      <c r="BQ118" s="143"/>
      <c r="BR118" s="143"/>
      <c r="BS118" s="130"/>
      <c r="BT118" s="130"/>
      <c r="BU118" s="130"/>
      <c r="BV118" s="143"/>
      <c r="BW118" s="143"/>
      <c r="BX118" s="130"/>
      <c r="BY118" s="130"/>
      <c r="BZ118" s="130"/>
      <c r="CA118" s="143"/>
      <c r="CB118" s="143"/>
      <c r="CC118" s="130"/>
      <c r="CD118" s="130"/>
      <c r="CE118" s="130"/>
      <c r="CF118" s="143"/>
      <c r="CG118" s="143"/>
      <c r="CH118" s="77"/>
      <c r="CI118" s="128"/>
      <c r="CJ118" s="74"/>
      <c r="CK118" s="107"/>
      <c r="CL118" s="129"/>
      <c r="CM118" s="77"/>
      <c r="CN118" s="130"/>
      <c r="CO118" s="74"/>
      <c r="CP118" s="107"/>
      <c r="CQ118" s="108"/>
      <c r="CR118" s="77"/>
      <c r="CS118" s="48"/>
      <c r="CT118" s="74"/>
      <c r="CU118" s="107"/>
      <c r="CV118" s="108"/>
      <c r="CW118" s="77"/>
      <c r="CX118" s="48"/>
      <c r="CY118" s="74"/>
      <c r="CZ118" s="107"/>
      <c r="DA118" s="108"/>
      <c r="DB118" s="77"/>
      <c r="DC118" s="48"/>
      <c r="DD118" s="74"/>
      <c r="DE118" s="107"/>
      <c r="DF118" s="108"/>
      <c r="DG118" s="77"/>
      <c r="DH118" s="48"/>
      <c r="DI118" s="74"/>
      <c r="DJ118" s="107"/>
      <c r="DK118" s="108"/>
      <c r="DL118" s="80"/>
      <c r="DM118" s="48"/>
      <c r="DN118" s="74"/>
      <c r="DO118" s="107"/>
      <c r="DP118" s="108"/>
      <c r="DQ118" s="81"/>
      <c r="DR118" s="48"/>
      <c r="DS118" s="54"/>
      <c r="DT118" s="54"/>
      <c r="DU118" s="74"/>
      <c r="DV118" s="56"/>
      <c r="DW118" s="76"/>
      <c r="DX118" s="75"/>
      <c r="DY118" s="74"/>
      <c r="DZ118" s="56"/>
      <c r="EA118" s="76">
        <v>1</v>
      </c>
      <c r="EB118" s="106"/>
      <c r="EC118" s="74"/>
      <c r="ED118" s="74"/>
      <c r="EE118" s="76"/>
      <c r="EF118" s="75"/>
      <c r="EG118" s="74"/>
      <c r="EH118" s="74"/>
      <c r="EI118" s="76"/>
      <c r="EJ118" s="75"/>
      <c r="EK118" s="74"/>
      <c r="EL118" s="48"/>
      <c r="EM118" s="77"/>
      <c r="EN118" s="75"/>
      <c r="EO118" s="74"/>
      <c r="EP118" s="48"/>
      <c r="EQ118" s="77"/>
      <c r="ER118" s="62"/>
      <c r="ES118" s="74"/>
      <c r="ET118" s="48"/>
      <c r="EU118" s="77"/>
      <c r="EV118" s="48"/>
      <c r="EW118" s="74"/>
      <c r="EX118" s="48"/>
      <c r="EY118" s="77"/>
      <c r="EZ118" s="48"/>
      <c r="FA118" s="74"/>
      <c r="FB118" s="48"/>
      <c r="FC118" s="77"/>
      <c r="FD118" s="48"/>
      <c r="FE118" s="74"/>
      <c r="FF118" s="48"/>
      <c r="FG118" s="77"/>
      <c r="FH118" s="48"/>
      <c r="FI118" s="74"/>
      <c r="FJ118" s="48"/>
      <c r="FK118" s="80"/>
      <c r="FL118" s="48"/>
      <c r="FM118" s="74"/>
      <c r="FN118" s="48"/>
      <c r="FO118" s="81"/>
      <c r="FP118" s="48"/>
      <c r="FQ118" s="54"/>
      <c r="FR118" s="54"/>
      <c r="FS118" s="74"/>
      <c r="FT118" s="75"/>
      <c r="FU118" s="76"/>
      <c r="FV118" s="75"/>
      <c r="FW118" s="74"/>
      <c r="FX118" s="75"/>
      <c r="FY118" s="76"/>
      <c r="FZ118" s="75"/>
      <c r="GA118" s="74"/>
      <c r="GB118" s="75"/>
      <c r="GC118" s="76"/>
      <c r="GD118" s="75"/>
      <c r="GE118" s="74"/>
      <c r="GF118" s="75"/>
      <c r="GG118" s="76"/>
      <c r="GH118" s="75"/>
      <c r="GI118" s="74"/>
      <c r="GJ118" s="75"/>
      <c r="GK118" s="77"/>
      <c r="GL118" s="75"/>
      <c r="GM118" s="74"/>
      <c r="GN118" s="78"/>
      <c r="GO118" s="77"/>
      <c r="GP118" s="62"/>
      <c r="GQ118" s="74"/>
      <c r="GR118" s="75"/>
      <c r="GS118" s="77"/>
      <c r="GT118" s="48"/>
      <c r="GU118" s="74"/>
      <c r="GV118" s="75"/>
      <c r="GW118" s="77"/>
      <c r="GX118" s="48"/>
      <c r="GY118" s="74"/>
      <c r="GZ118" s="75"/>
      <c r="HA118" s="77"/>
      <c r="HB118" s="48"/>
      <c r="HC118" s="74"/>
      <c r="HD118" s="75"/>
      <c r="HE118" s="77"/>
      <c r="HF118" s="48"/>
      <c r="HG118" s="74"/>
      <c r="HH118" s="75"/>
      <c r="HI118" s="80"/>
      <c r="HJ118" s="48"/>
      <c r="HK118" s="74"/>
      <c r="HL118" s="75"/>
      <c r="HM118" s="81"/>
      <c r="HN118" s="48"/>
      <c r="HO118" s="54"/>
      <c r="HP118" s="54"/>
      <c r="HQ118" s="74"/>
      <c r="HR118" s="75"/>
      <c r="HS118" s="76"/>
      <c r="HT118" s="75"/>
      <c r="HU118" s="74"/>
      <c r="HV118" s="75"/>
      <c r="HW118" s="76"/>
      <c r="HX118" s="75"/>
      <c r="HY118" s="74"/>
      <c r="HZ118" s="75"/>
      <c r="IA118" s="76"/>
      <c r="IB118" s="75"/>
      <c r="IC118" s="74"/>
      <c r="ID118" s="75"/>
      <c r="IE118" s="76"/>
      <c r="IF118" s="75"/>
      <c r="IG118" s="74"/>
      <c r="IH118" s="75"/>
      <c r="II118" s="77"/>
      <c r="IJ118" s="75"/>
      <c r="IK118" s="74"/>
      <c r="IL118" s="78"/>
      <c r="IM118" s="77"/>
      <c r="IN118" s="62"/>
      <c r="IO118" s="74"/>
      <c r="IP118" s="75"/>
      <c r="IQ118" s="77"/>
      <c r="IR118" s="48"/>
      <c r="IS118" s="74"/>
      <c r="IT118" s="75"/>
      <c r="IU118" s="77"/>
      <c r="IV118" s="48"/>
      <c r="IW118" s="74"/>
      <c r="IX118" s="75"/>
      <c r="IY118" s="77"/>
      <c r="IZ118" s="48"/>
      <c r="JA118" s="74"/>
      <c r="JB118" s="75"/>
      <c r="JC118" s="77"/>
      <c r="JD118" s="48"/>
      <c r="JE118" s="74"/>
      <c r="JF118" s="75"/>
      <c r="JG118" s="80"/>
      <c r="JH118" s="48"/>
      <c r="JI118" s="74"/>
      <c r="JJ118" s="75"/>
      <c r="JK118" s="81"/>
      <c r="JL118" s="48"/>
      <c r="JM118" s="54"/>
      <c r="JN118" s="54"/>
    </row>
    <row r="119" spans="1:274">
      <c r="A119" s="146"/>
      <c r="B119" s="146"/>
      <c r="C119" s="146"/>
      <c r="D119" s="218"/>
      <c r="E119" s="36">
        <v>114</v>
      </c>
      <c r="F119" s="145">
        <v>1</v>
      </c>
      <c r="G119" s="132" t="s">
        <v>164</v>
      </c>
      <c r="H119" s="133" t="s">
        <v>165</v>
      </c>
      <c r="I119" s="220">
        <v>51</v>
      </c>
      <c r="J119" s="119"/>
      <c r="K119" s="119"/>
      <c r="L119" s="119"/>
      <c r="M119" s="134"/>
      <c r="N119" s="134"/>
      <c r="O119" s="135"/>
      <c r="P119" s="135"/>
      <c r="Q119" s="130"/>
      <c r="R119" s="130"/>
      <c r="S119" s="135"/>
      <c r="T119" s="135"/>
      <c r="U119" s="130"/>
      <c r="V119" s="130"/>
      <c r="W119" s="135"/>
      <c r="X119" s="135"/>
      <c r="Y119" s="130"/>
      <c r="Z119" s="130"/>
      <c r="AA119" s="130"/>
      <c r="AB119" s="135"/>
      <c r="AC119" s="130"/>
      <c r="AD119" s="130"/>
      <c r="AE119" s="135"/>
      <c r="AF119" s="135"/>
      <c r="AG119" s="130"/>
      <c r="AH119" s="130"/>
      <c r="AI119" s="130"/>
      <c r="AJ119" s="135"/>
      <c r="AK119" s="130"/>
      <c r="AL119" s="136"/>
      <c r="AM119" s="137"/>
      <c r="AN119" s="130"/>
      <c r="AO119" s="130"/>
      <c r="AP119" s="136"/>
      <c r="AQ119" s="136"/>
      <c r="AR119" s="138"/>
      <c r="AS119" s="130"/>
      <c r="AT119" s="130"/>
      <c r="AU119" s="137"/>
      <c r="AV119" s="130"/>
      <c r="AW119" s="130"/>
      <c r="AX119" s="130"/>
      <c r="AY119" s="137"/>
      <c r="AZ119" s="130"/>
      <c r="BA119" s="130"/>
      <c r="BB119" s="130"/>
      <c r="BC119" s="139"/>
      <c r="BD119" s="130"/>
      <c r="BE119" s="130"/>
      <c r="BF119" s="130"/>
      <c r="BG119" s="140"/>
      <c r="BH119" s="130"/>
      <c r="BI119" s="141"/>
      <c r="BJ119" s="142"/>
      <c r="BK119" s="130"/>
      <c r="BL119" s="143"/>
      <c r="BM119" s="143"/>
      <c r="BN119" s="130"/>
      <c r="BO119" s="130"/>
      <c r="BP119" s="130"/>
      <c r="BQ119" s="143"/>
      <c r="BR119" s="143"/>
      <c r="BS119" s="130"/>
      <c r="BT119" s="130"/>
      <c r="BU119" s="130"/>
      <c r="BV119" s="143"/>
      <c r="BW119" s="143"/>
      <c r="BX119" s="130"/>
      <c r="BY119" s="130"/>
      <c r="BZ119" s="130"/>
      <c r="CA119" s="143"/>
      <c r="CB119" s="143"/>
      <c r="CC119" s="130"/>
      <c r="CD119" s="130"/>
      <c r="CE119" s="130"/>
      <c r="CF119" s="143"/>
      <c r="CG119" s="143"/>
      <c r="CH119" s="77"/>
      <c r="CI119" s="128"/>
      <c r="CJ119" s="74"/>
      <c r="CK119" s="107"/>
      <c r="CL119" s="129"/>
      <c r="CM119" s="77"/>
      <c r="CN119" s="130"/>
      <c r="CO119" s="74"/>
      <c r="CP119" s="107"/>
      <c r="CQ119" s="108"/>
      <c r="CR119" s="77"/>
      <c r="CS119" s="48"/>
      <c r="CT119" s="74"/>
      <c r="CU119" s="107"/>
      <c r="CV119" s="108"/>
      <c r="CW119" s="77"/>
      <c r="CX119" s="48"/>
      <c r="CY119" s="74"/>
      <c r="CZ119" s="107"/>
      <c r="DA119" s="108"/>
      <c r="DB119" s="77"/>
      <c r="DC119" s="48"/>
      <c r="DD119" s="74"/>
      <c r="DE119" s="107"/>
      <c r="DF119" s="108"/>
      <c r="DG119" s="77"/>
      <c r="DH119" s="48"/>
      <c r="DI119" s="74"/>
      <c r="DJ119" s="107"/>
      <c r="DK119" s="108"/>
      <c r="DL119" s="80"/>
      <c r="DM119" s="48"/>
      <c r="DN119" s="74"/>
      <c r="DO119" s="107"/>
      <c r="DP119" s="108"/>
      <c r="DQ119" s="81"/>
      <c r="DR119" s="48"/>
      <c r="DS119" s="54"/>
      <c r="DT119" s="54"/>
      <c r="DU119" s="74"/>
      <c r="DV119" s="56"/>
      <c r="DW119" s="76"/>
      <c r="DX119" s="75"/>
      <c r="DY119" s="74"/>
      <c r="DZ119" s="56"/>
      <c r="EA119" s="76">
        <v>1</v>
      </c>
      <c r="EB119" s="106"/>
      <c r="EC119" s="74"/>
      <c r="ED119" s="74"/>
      <c r="EE119" s="76"/>
      <c r="EF119" s="75"/>
      <c r="EG119" s="74"/>
      <c r="EH119" s="74"/>
      <c r="EI119" s="76"/>
      <c r="EJ119" s="75"/>
      <c r="EK119" s="74"/>
      <c r="EL119" s="48"/>
      <c r="EM119" s="77"/>
      <c r="EN119" s="75"/>
      <c r="EO119" s="74"/>
      <c r="EP119" s="48"/>
      <c r="EQ119" s="77"/>
      <c r="ER119" s="62"/>
      <c r="ES119" s="74"/>
      <c r="ET119" s="48"/>
      <c r="EU119" s="77"/>
      <c r="EV119" s="48"/>
      <c r="EW119" s="74"/>
      <c r="EX119" s="48"/>
      <c r="EY119" s="77"/>
      <c r="EZ119" s="48"/>
      <c r="FA119" s="74"/>
      <c r="FB119" s="48"/>
      <c r="FC119" s="77"/>
      <c r="FD119" s="48"/>
      <c r="FE119" s="74"/>
      <c r="FF119" s="48"/>
      <c r="FG119" s="77"/>
      <c r="FH119" s="48"/>
      <c r="FI119" s="74"/>
      <c r="FJ119" s="48"/>
      <c r="FK119" s="80"/>
      <c r="FL119" s="48"/>
      <c r="FM119" s="74"/>
      <c r="FN119" s="48"/>
      <c r="FO119" s="81"/>
      <c r="FP119" s="48"/>
      <c r="FQ119" s="54"/>
      <c r="FR119" s="54"/>
      <c r="FS119" s="74"/>
      <c r="FT119" s="75"/>
      <c r="FU119" s="76"/>
      <c r="FV119" s="75"/>
      <c r="FW119" s="74"/>
      <c r="FX119" s="75"/>
      <c r="FY119" s="76"/>
      <c r="FZ119" s="75"/>
      <c r="GA119" s="74"/>
      <c r="GB119" s="75"/>
      <c r="GC119" s="76"/>
      <c r="GD119" s="75"/>
      <c r="GE119" s="74"/>
      <c r="GF119" s="75"/>
      <c r="GG119" s="76"/>
      <c r="GH119" s="75"/>
      <c r="GI119" s="74"/>
      <c r="GJ119" s="75"/>
      <c r="GK119" s="77"/>
      <c r="GL119" s="75"/>
      <c r="GM119" s="74"/>
      <c r="GN119" s="78"/>
      <c r="GO119" s="77"/>
      <c r="GP119" s="62"/>
      <c r="GQ119" s="74"/>
      <c r="GR119" s="75"/>
      <c r="GS119" s="77"/>
      <c r="GT119" s="48"/>
      <c r="GU119" s="74"/>
      <c r="GV119" s="75"/>
      <c r="GW119" s="77"/>
      <c r="GX119" s="48"/>
      <c r="GY119" s="74"/>
      <c r="GZ119" s="75"/>
      <c r="HA119" s="77"/>
      <c r="HB119" s="48"/>
      <c r="HC119" s="74"/>
      <c r="HD119" s="75"/>
      <c r="HE119" s="77"/>
      <c r="HF119" s="48"/>
      <c r="HG119" s="74"/>
      <c r="HH119" s="75"/>
      <c r="HI119" s="80"/>
      <c r="HJ119" s="48"/>
      <c r="HK119" s="74"/>
      <c r="HL119" s="75"/>
      <c r="HM119" s="81"/>
      <c r="HN119" s="48"/>
      <c r="HO119" s="54"/>
      <c r="HP119" s="54"/>
      <c r="HQ119" s="74"/>
      <c r="HR119" s="75"/>
      <c r="HS119" s="76"/>
      <c r="HT119" s="75"/>
      <c r="HU119" s="74"/>
      <c r="HV119" s="75"/>
      <c r="HW119" s="76"/>
      <c r="HX119" s="75"/>
      <c r="HY119" s="74"/>
      <c r="HZ119" s="75"/>
      <c r="IA119" s="76"/>
      <c r="IB119" s="75"/>
      <c r="IC119" s="74"/>
      <c r="ID119" s="75"/>
      <c r="IE119" s="76"/>
      <c r="IF119" s="75"/>
      <c r="IG119" s="74"/>
      <c r="IH119" s="75"/>
      <c r="II119" s="77"/>
      <c r="IJ119" s="75"/>
      <c r="IK119" s="74"/>
      <c r="IL119" s="78"/>
      <c r="IM119" s="77"/>
      <c r="IN119" s="62"/>
      <c r="IO119" s="74"/>
      <c r="IP119" s="75"/>
      <c r="IQ119" s="77"/>
      <c r="IR119" s="48"/>
      <c r="IS119" s="74"/>
      <c r="IT119" s="75"/>
      <c r="IU119" s="77"/>
      <c r="IV119" s="48"/>
      <c r="IW119" s="74"/>
      <c r="IX119" s="75"/>
      <c r="IY119" s="77"/>
      <c r="IZ119" s="48"/>
      <c r="JA119" s="74"/>
      <c r="JB119" s="75"/>
      <c r="JC119" s="77"/>
      <c r="JD119" s="48"/>
      <c r="JE119" s="74"/>
      <c r="JF119" s="75"/>
      <c r="JG119" s="80"/>
      <c r="JH119" s="48"/>
      <c r="JI119" s="74"/>
      <c r="JJ119" s="75"/>
      <c r="JK119" s="81"/>
      <c r="JL119" s="48"/>
      <c r="JM119" s="54"/>
      <c r="JN119" s="54"/>
    </row>
    <row r="120" spans="1:274">
      <c r="A120" s="146"/>
      <c r="B120" s="146"/>
      <c r="C120" s="146"/>
      <c r="D120" s="218"/>
      <c r="E120" s="36">
        <v>115</v>
      </c>
      <c r="F120" s="145">
        <v>1</v>
      </c>
      <c r="G120" s="132" t="s">
        <v>166</v>
      </c>
      <c r="H120" s="133" t="s">
        <v>167</v>
      </c>
      <c r="I120" s="220">
        <v>375</v>
      </c>
      <c r="J120" s="119"/>
      <c r="K120" s="119"/>
      <c r="L120" s="119"/>
      <c r="M120" s="134"/>
      <c r="N120" s="134"/>
      <c r="O120" s="135"/>
      <c r="P120" s="135"/>
      <c r="Q120" s="130"/>
      <c r="R120" s="130"/>
      <c r="S120" s="135"/>
      <c r="T120" s="135"/>
      <c r="U120" s="130"/>
      <c r="V120" s="130"/>
      <c r="W120" s="135"/>
      <c r="X120" s="135"/>
      <c r="Y120" s="130"/>
      <c r="Z120" s="130"/>
      <c r="AA120" s="130"/>
      <c r="AB120" s="135"/>
      <c r="AC120" s="130"/>
      <c r="AD120" s="130"/>
      <c r="AE120" s="135"/>
      <c r="AF120" s="135"/>
      <c r="AG120" s="130"/>
      <c r="AH120" s="130"/>
      <c r="AI120" s="130"/>
      <c r="AJ120" s="135"/>
      <c r="AK120" s="130"/>
      <c r="AL120" s="136"/>
      <c r="AM120" s="137"/>
      <c r="AN120" s="130"/>
      <c r="AO120" s="130"/>
      <c r="AP120" s="136"/>
      <c r="AQ120" s="136"/>
      <c r="AR120" s="138"/>
      <c r="AS120" s="130"/>
      <c r="AT120" s="130"/>
      <c r="AU120" s="137"/>
      <c r="AV120" s="130"/>
      <c r="AW120" s="130"/>
      <c r="AX120" s="130"/>
      <c r="AY120" s="137"/>
      <c r="AZ120" s="130"/>
      <c r="BA120" s="130"/>
      <c r="BB120" s="130"/>
      <c r="BC120" s="139"/>
      <c r="BD120" s="130"/>
      <c r="BE120" s="130"/>
      <c r="BF120" s="130"/>
      <c r="BG120" s="140"/>
      <c r="BH120" s="130"/>
      <c r="BI120" s="141"/>
      <c r="BJ120" s="142"/>
      <c r="BK120" s="130"/>
      <c r="BL120" s="143"/>
      <c r="BM120" s="143"/>
      <c r="BN120" s="130"/>
      <c r="BO120" s="130"/>
      <c r="BP120" s="130"/>
      <c r="BQ120" s="143"/>
      <c r="BR120" s="143"/>
      <c r="BS120" s="130"/>
      <c r="BT120" s="130"/>
      <c r="BU120" s="130"/>
      <c r="BV120" s="143"/>
      <c r="BW120" s="143"/>
      <c r="BX120" s="130"/>
      <c r="BY120" s="130"/>
      <c r="BZ120" s="130"/>
      <c r="CA120" s="143"/>
      <c r="CB120" s="143"/>
      <c r="CC120" s="130"/>
      <c r="CD120" s="130"/>
      <c r="CE120" s="130"/>
      <c r="CF120" s="143"/>
      <c r="CG120" s="143"/>
      <c r="CH120" s="77"/>
      <c r="CI120" s="128"/>
      <c r="CJ120" s="74"/>
      <c r="CK120" s="107"/>
      <c r="CL120" s="129"/>
      <c r="CM120" s="77"/>
      <c r="CN120" s="130"/>
      <c r="CO120" s="74"/>
      <c r="CP120" s="107"/>
      <c r="CQ120" s="108"/>
      <c r="CR120" s="77"/>
      <c r="CS120" s="48"/>
      <c r="CT120" s="74"/>
      <c r="CU120" s="107"/>
      <c r="CV120" s="108"/>
      <c r="CW120" s="77"/>
      <c r="CX120" s="48"/>
      <c r="CY120" s="74"/>
      <c r="CZ120" s="107"/>
      <c r="DA120" s="108"/>
      <c r="DB120" s="77"/>
      <c r="DC120" s="48"/>
      <c r="DD120" s="74"/>
      <c r="DE120" s="107"/>
      <c r="DF120" s="108"/>
      <c r="DG120" s="77"/>
      <c r="DH120" s="48"/>
      <c r="DI120" s="74"/>
      <c r="DJ120" s="107"/>
      <c r="DK120" s="108"/>
      <c r="DL120" s="80"/>
      <c r="DM120" s="48"/>
      <c r="DN120" s="74"/>
      <c r="DO120" s="107"/>
      <c r="DP120" s="108"/>
      <c r="DQ120" s="81"/>
      <c r="DR120" s="48"/>
      <c r="DS120" s="54"/>
      <c r="DT120" s="54"/>
      <c r="DU120" s="74"/>
      <c r="DV120" s="56"/>
      <c r="DW120" s="76"/>
      <c r="DX120" s="75"/>
      <c r="DY120" s="74"/>
      <c r="DZ120" s="56"/>
      <c r="EA120" s="76">
        <v>1</v>
      </c>
      <c r="EB120" s="106"/>
      <c r="EC120" s="74"/>
      <c r="ED120" s="74"/>
      <c r="EE120" s="76"/>
      <c r="EF120" s="75"/>
      <c r="EG120" s="74"/>
      <c r="EH120" s="74"/>
      <c r="EI120" s="76"/>
      <c r="EJ120" s="75"/>
      <c r="EK120" s="74"/>
      <c r="EL120" s="48"/>
      <c r="EM120" s="77"/>
      <c r="EN120" s="75"/>
      <c r="EO120" s="74"/>
      <c r="EP120" s="48"/>
      <c r="EQ120" s="77"/>
      <c r="ER120" s="62"/>
      <c r="ES120" s="74"/>
      <c r="ET120" s="48"/>
      <c r="EU120" s="77"/>
      <c r="EV120" s="48"/>
      <c r="EW120" s="74"/>
      <c r="EX120" s="48"/>
      <c r="EY120" s="77"/>
      <c r="EZ120" s="48"/>
      <c r="FA120" s="74"/>
      <c r="FB120" s="48"/>
      <c r="FC120" s="77"/>
      <c r="FD120" s="48"/>
      <c r="FE120" s="74"/>
      <c r="FF120" s="48"/>
      <c r="FG120" s="77"/>
      <c r="FH120" s="48"/>
      <c r="FI120" s="74"/>
      <c r="FJ120" s="48"/>
      <c r="FK120" s="80"/>
      <c r="FL120" s="48"/>
      <c r="FM120" s="74"/>
      <c r="FN120" s="48"/>
      <c r="FO120" s="81"/>
      <c r="FP120" s="48"/>
      <c r="FQ120" s="54"/>
      <c r="FR120" s="54"/>
      <c r="FS120" s="74"/>
      <c r="FT120" s="75"/>
      <c r="FU120" s="76"/>
      <c r="FV120" s="75"/>
      <c r="FW120" s="74"/>
      <c r="FX120" s="75"/>
      <c r="FY120" s="76"/>
      <c r="FZ120" s="75"/>
      <c r="GA120" s="74"/>
      <c r="GB120" s="75"/>
      <c r="GC120" s="76"/>
      <c r="GD120" s="75"/>
      <c r="GE120" s="74"/>
      <c r="GF120" s="75"/>
      <c r="GG120" s="76"/>
      <c r="GH120" s="75"/>
      <c r="GI120" s="74"/>
      <c r="GJ120" s="75"/>
      <c r="GK120" s="77"/>
      <c r="GL120" s="75"/>
      <c r="GM120" s="74"/>
      <c r="GN120" s="78"/>
      <c r="GO120" s="77"/>
      <c r="GP120" s="62"/>
      <c r="GQ120" s="74"/>
      <c r="GR120" s="75"/>
      <c r="GS120" s="77"/>
      <c r="GT120" s="48"/>
      <c r="GU120" s="74"/>
      <c r="GV120" s="75"/>
      <c r="GW120" s="77"/>
      <c r="GX120" s="48"/>
      <c r="GY120" s="74"/>
      <c r="GZ120" s="75"/>
      <c r="HA120" s="77"/>
      <c r="HB120" s="48"/>
      <c r="HC120" s="74"/>
      <c r="HD120" s="75"/>
      <c r="HE120" s="77"/>
      <c r="HF120" s="48"/>
      <c r="HG120" s="74"/>
      <c r="HH120" s="75"/>
      <c r="HI120" s="80"/>
      <c r="HJ120" s="48"/>
      <c r="HK120" s="74"/>
      <c r="HL120" s="75"/>
      <c r="HM120" s="81"/>
      <c r="HN120" s="48"/>
      <c r="HO120" s="54"/>
      <c r="HP120" s="54"/>
      <c r="HQ120" s="74"/>
      <c r="HR120" s="75"/>
      <c r="HS120" s="76"/>
      <c r="HT120" s="75"/>
      <c r="HU120" s="74"/>
      <c r="HV120" s="75"/>
      <c r="HW120" s="76"/>
      <c r="HX120" s="75"/>
      <c r="HY120" s="74"/>
      <c r="HZ120" s="75"/>
      <c r="IA120" s="76"/>
      <c r="IB120" s="75"/>
      <c r="IC120" s="74"/>
      <c r="ID120" s="75"/>
      <c r="IE120" s="76"/>
      <c r="IF120" s="75"/>
      <c r="IG120" s="74"/>
      <c r="IH120" s="75"/>
      <c r="II120" s="77"/>
      <c r="IJ120" s="75"/>
      <c r="IK120" s="74"/>
      <c r="IL120" s="78"/>
      <c r="IM120" s="77"/>
      <c r="IN120" s="62"/>
      <c r="IO120" s="74"/>
      <c r="IP120" s="75"/>
      <c r="IQ120" s="77"/>
      <c r="IR120" s="48"/>
      <c r="IS120" s="74"/>
      <c r="IT120" s="75"/>
      <c r="IU120" s="77"/>
      <c r="IV120" s="48"/>
      <c r="IW120" s="74"/>
      <c r="IX120" s="75"/>
      <c r="IY120" s="77"/>
      <c r="IZ120" s="48"/>
      <c r="JA120" s="74"/>
      <c r="JB120" s="75"/>
      <c r="JC120" s="77"/>
      <c r="JD120" s="48"/>
      <c r="JE120" s="74"/>
      <c r="JF120" s="75"/>
      <c r="JG120" s="80"/>
      <c r="JH120" s="48"/>
      <c r="JI120" s="74"/>
      <c r="JJ120" s="75"/>
      <c r="JK120" s="81"/>
      <c r="JL120" s="48"/>
      <c r="JM120" s="54"/>
      <c r="JN120" s="54"/>
    </row>
    <row r="121" spans="1:274">
      <c r="A121" s="146"/>
      <c r="B121" s="146"/>
      <c r="C121" s="146"/>
      <c r="D121" s="218"/>
      <c r="E121" s="36">
        <v>116</v>
      </c>
      <c r="F121" s="145">
        <v>1</v>
      </c>
      <c r="G121" s="132" t="s">
        <v>168</v>
      </c>
      <c r="H121" s="133" t="s">
        <v>169</v>
      </c>
      <c r="I121" s="220">
        <v>616</v>
      </c>
      <c r="J121" s="119"/>
      <c r="K121" s="119"/>
      <c r="L121" s="119"/>
      <c r="M121" s="134"/>
      <c r="N121" s="134"/>
      <c r="O121" s="135"/>
      <c r="P121" s="135"/>
      <c r="Q121" s="130"/>
      <c r="R121" s="130"/>
      <c r="S121" s="135"/>
      <c r="T121" s="135"/>
      <c r="U121" s="130"/>
      <c r="V121" s="130"/>
      <c r="W121" s="135"/>
      <c r="X121" s="135"/>
      <c r="Y121" s="130"/>
      <c r="Z121" s="130"/>
      <c r="AA121" s="130"/>
      <c r="AB121" s="135"/>
      <c r="AC121" s="130"/>
      <c r="AD121" s="130"/>
      <c r="AE121" s="135"/>
      <c r="AF121" s="135"/>
      <c r="AG121" s="130"/>
      <c r="AH121" s="130"/>
      <c r="AI121" s="130"/>
      <c r="AJ121" s="135"/>
      <c r="AK121" s="130"/>
      <c r="AL121" s="136"/>
      <c r="AM121" s="137"/>
      <c r="AN121" s="130"/>
      <c r="AO121" s="130"/>
      <c r="AP121" s="136"/>
      <c r="AQ121" s="136"/>
      <c r="AR121" s="138"/>
      <c r="AS121" s="130"/>
      <c r="AT121" s="130"/>
      <c r="AU121" s="137"/>
      <c r="AV121" s="130"/>
      <c r="AW121" s="130"/>
      <c r="AX121" s="130"/>
      <c r="AY121" s="137"/>
      <c r="AZ121" s="130"/>
      <c r="BA121" s="130"/>
      <c r="BB121" s="130"/>
      <c r="BC121" s="139"/>
      <c r="BD121" s="130"/>
      <c r="BE121" s="130"/>
      <c r="BF121" s="130"/>
      <c r="BG121" s="140"/>
      <c r="BH121" s="130"/>
      <c r="BI121" s="141"/>
      <c r="BJ121" s="142"/>
      <c r="BK121" s="130"/>
      <c r="BL121" s="143"/>
      <c r="BM121" s="143"/>
      <c r="BN121" s="130"/>
      <c r="BO121" s="130"/>
      <c r="BP121" s="130"/>
      <c r="BQ121" s="143"/>
      <c r="BR121" s="143"/>
      <c r="BS121" s="130"/>
      <c r="BT121" s="130"/>
      <c r="BU121" s="130"/>
      <c r="BV121" s="143"/>
      <c r="BW121" s="143"/>
      <c r="BX121" s="130"/>
      <c r="BY121" s="130"/>
      <c r="BZ121" s="130"/>
      <c r="CA121" s="143"/>
      <c r="CB121" s="143"/>
      <c r="CC121" s="130"/>
      <c r="CD121" s="130"/>
      <c r="CE121" s="130"/>
      <c r="CF121" s="143"/>
      <c r="CG121" s="143"/>
      <c r="CH121" s="77"/>
      <c r="CI121" s="128"/>
      <c r="CJ121" s="74"/>
      <c r="CK121" s="107"/>
      <c r="CL121" s="129"/>
      <c r="CM121" s="77"/>
      <c r="CN121" s="130"/>
      <c r="CO121" s="74"/>
      <c r="CP121" s="107"/>
      <c r="CQ121" s="108"/>
      <c r="CR121" s="77"/>
      <c r="CS121" s="48"/>
      <c r="CT121" s="74"/>
      <c r="CU121" s="107"/>
      <c r="CV121" s="108"/>
      <c r="CW121" s="77"/>
      <c r="CX121" s="48"/>
      <c r="CY121" s="74"/>
      <c r="CZ121" s="107"/>
      <c r="DA121" s="108"/>
      <c r="DB121" s="77"/>
      <c r="DC121" s="48"/>
      <c r="DD121" s="74"/>
      <c r="DE121" s="107"/>
      <c r="DF121" s="108"/>
      <c r="DG121" s="77"/>
      <c r="DH121" s="48"/>
      <c r="DI121" s="74"/>
      <c r="DJ121" s="107"/>
      <c r="DK121" s="108"/>
      <c r="DL121" s="80"/>
      <c r="DM121" s="48"/>
      <c r="DN121" s="74"/>
      <c r="DO121" s="107"/>
      <c r="DP121" s="108"/>
      <c r="DQ121" s="81"/>
      <c r="DR121" s="48"/>
      <c r="DS121" s="54"/>
      <c r="DT121" s="54"/>
      <c r="DU121" s="74"/>
      <c r="DV121" s="56"/>
      <c r="DW121" s="76"/>
      <c r="DX121" s="75"/>
      <c r="DY121" s="74"/>
      <c r="DZ121" s="56"/>
      <c r="EA121" s="76">
        <v>3</v>
      </c>
      <c r="EB121" s="106"/>
      <c r="EC121" s="74"/>
      <c r="ED121" s="74"/>
      <c r="EE121" s="76"/>
      <c r="EF121" s="75"/>
      <c r="EG121" s="74"/>
      <c r="EH121" s="74"/>
      <c r="EI121" s="76"/>
      <c r="EJ121" s="75"/>
      <c r="EK121" s="74"/>
      <c r="EL121" s="48"/>
      <c r="EM121" s="77">
        <v>3</v>
      </c>
      <c r="EN121" s="75"/>
      <c r="EO121" s="74"/>
      <c r="EP121" s="48"/>
      <c r="EQ121" s="77"/>
      <c r="ER121" s="62"/>
      <c r="ES121" s="74"/>
      <c r="ET121" s="48"/>
      <c r="EU121" s="77"/>
      <c r="EV121" s="48"/>
      <c r="EW121" s="74"/>
      <c r="EX121" s="48"/>
      <c r="EY121" s="77"/>
      <c r="EZ121" s="48"/>
      <c r="FA121" s="74"/>
      <c r="FB121" s="48"/>
      <c r="FC121" s="77"/>
      <c r="FD121" s="48"/>
      <c r="FE121" s="74"/>
      <c r="FF121" s="48"/>
      <c r="FG121" s="77"/>
      <c r="FH121" s="48"/>
      <c r="FI121" s="74"/>
      <c r="FJ121" s="48"/>
      <c r="FK121" s="80"/>
      <c r="FL121" s="48"/>
      <c r="FM121" s="74"/>
      <c r="FN121" s="48"/>
      <c r="FO121" s="81"/>
      <c r="FP121" s="48"/>
      <c r="FQ121" s="54"/>
      <c r="FR121" s="54"/>
      <c r="FS121" s="74"/>
      <c r="FT121" s="75"/>
      <c r="FU121" s="76"/>
      <c r="FV121" s="75"/>
      <c r="FW121" s="74"/>
      <c r="FX121" s="75"/>
      <c r="FY121" s="76"/>
      <c r="FZ121" s="75"/>
      <c r="GA121" s="74"/>
      <c r="GB121" s="75"/>
      <c r="GC121" s="76"/>
      <c r="GD121" s="75"/>
      <c r="GE121" s="74"/>
      <c r="GF121" s="75"/>
      <c r="GG121" s="76"/>
      <c r="GH121" s="75"/>
      <c r="GI121" s="74"/>
      <c r="GJ121" s="75"/>
      <c r="GK121" s="77"/>
      <c r="GL121" s="75"/>
      <c r="GM121" s="74"/>
      <c r="GN121" s="78"/>
      <c r="GO121" s="77"/>
      <c r="GP121" s="62"/>
      <c r="GQ121" s="74"/>
      <c r="GR121" s="75"/>
      <c r="GS121" s="77"/>
      <c r="GT121" s="48"/>
      <c r="GU121" s="74"/>
      <c r="GV121" s="75"/>
      <c r="GW121" s="77"/>
      <c r="GX121" s="48"/>
      <c r="GY121" s="74"/>
      <c r="GZ121" s="75"/>
      <c r="HA121" s="77"/>
      <c r="HB121" s="48"/>
      <c r="HC121" s="74"/>
      <c r="HD121" s="75"/>
      <c r="HE121" s="77"/>
      <c r="HF121" s="48"/>
      <c r="HG121" s="74"/>
      <c r="HH121" s="75"/>
      <c r="HI121" s="80"/>
      <c r="HJ121" s="48"/>
      <c r="HK121" s="74"/>
      <c r="HL121" s="75"/>
      <c r="HM121" s="81"/>
      <c r="HN121" s="48"/>
      <c r="HO121" s="54"/>
      <c r="HP121" s="54"/>
      <c r="HQ121" s="74"/>
      <c r="HR121" s="75"/>
      <c r="HS121" s="76"/>
      <c r="HT121" s="75"/>
      <c r="HU121" s="74"/>
      <c r="HV121" s="75"/>
      <c r="HW121" s="76"/>
      <c r="HX121" s="75"/>
      <c r="HY121" s="74"/>
      <c r="HZ121" s="75"/>
      <c r="IA121" s="76"/>
      <c r="IB121" s="75"/>
      <c r="IC121" s="74"/>
      <c r="ID121" s="75"/>
      <c r="IE121" s="76"/>
      <c r="IF121" s="75"/>
      <c r="IG121" s="74"/>
      <c r="IH121" s="75"/>
      <c r="II121" s="77"/>
      <c r="IJ121" s="75"/>
      <c r="IK121" s="74"/>
      <c r="IL121" s="78"/>
      <c r="IM121" s="77"/>
      <c r="IN121" s="62"/>
      <c r="IO121" s="74"/>
      <c r="IP121" s="75"/>
      <c r="IQ121" s="77"/>
      <c r="IR121" s="48"/>
      <c r="IS121" s="74"/>
      <c r="IT121" s="75"/>
      <c r="IU121" s="77"/>
      <c r="IV121" s="48"/>
      <c r="IW121" s="74"/>
      <c r="IX121" s="75"/>
      <c r="IY121" s="77"/>
      <c r="IZ121" s="48"/>
      <c r="JA121" s="74"/>
      <c r="JB121" s="75"/>
      <c r="JC121" s="77"/>
      <c r="JD121" s="48"/>
      <c r="JE121" s="74"/>
      <c r="JF121" s="75"/>
      <c r="JG121" s="80"/>
      <c r="JH121" s="48"/>
      <c r="JI121" s="74"/>
      <c r="JJ121" s="75"/>
      <c r="JK121" s="81"/>
      <c r="JL121" s="48"/>
      <c r="JM121" s="54"/>
      <c r="JN121" s="54"/>
    </row>
    <row r="122" spans="1:274">
      <c r="A122" s="146"/>
      <c r="B122" s="146"/>
      <c r="C122" s="146"/>
      <c r="D122" s="218"/>
      <c r="E122" s="36">
        <v>117</v>
      </c>
      <c r="F122" s="145">
        <v>1</v>
      </c>
      <c r="G122" s="132" t="s">
        <v>104</v>
      </c>
      <c r="H122" s="133" t="s">
        <v>170</v>
      </c>
      <c r="I122" s="220">
        <v>625</v>
      </c>
      <c r="J122" s="119"/>
      <c r="K122" s="119"/>
      <c r="L122" s="119"/>
      <c r="M122" s="134"/>
      <c r="N122" s="134"/>
      <c r="O122" s="135"/>
      <c r="P122" s="135"/>
      <c r="Q122" s="130"/>
      <c r="R122" s="130"/>
      <c r="S122" s="135"/>
      <c r="T122" s="135"/>
      <c r="U122" s="130"/>
      <c r="V122" s="130"/>
      <c r="W122" s="135"/>
      <c r="X122" s="135"/>
      <c r="Y122" s="130"/>
      <c r="Z122" s="130"/>
      <c r="AA122" s="130"/>
      <c r="AB122" s="135"/>
      <c r="AC122" s="130"/>
      <c r="AD122" s="130"/>
      <c r="AE122" s="135"/>
      <c r="AF122" s="135"/>
      <c r="AG122" s="130"/>
      <c r="AH122" s="130"/>
      <c r="AI122" s="130"/>
      <c r="AJ122" s="135"/>
      <c r="AK122" s="130"/>
      <c r="AL122" s="136"/>
      <c r="AM122" s="137"/>
      <c r="AN122" s="130"/>
      <c r="AO122" s="130"/>
      <c r="AP122" s="136"/>
      <c r="AQ122" s="136"/>
      <c r="AR122" s="138"/>
      <c r="AS122" s="130"/>
      <c r="AT122" s="130"/>
      <c r="AU122" s="137"/>
      <c r="AV122" s="130"/>
      <c r="AW122" s="130"/>
      <c r="AX122" s="130"/>
      <c r="AY122" s="137"/>
      <c r="AZ122" s="130"/>
      <c r="BA122" s="130"/>
      <c r="BB122" s="130"/>
      <c r="BC122" s="139"/>
      <c r="BD122" s="130"/>
      <c r="BE122" s="130"/>
      <c r="BF122" s="130"/>
      <c r="BG122" s="140"/>
      <c r="BH122" s="130"/>
      <c r="BI122" s="141"/>
      <c r="BJ122" s="142"/>
      <c r="BK122" s="130"/>
      <c r="BL122" s="143"/>
      <c r="BM122" s="143"/>
      <c r="BN122" s="130"/>
      <c r="BO122" s="130"/>
      <c r="BP122" s="130"/>
      <c r="BQ122" s="143"/>
      <c r="BR122" s="143"/>
      <c r="BS122" s="130"/>
      <c r="BT122" s="130"/>
      <c r="BU122" s="130"/>
      <c r="BV122" s="143"/>
      <c r="BW122" s="143"/>
      <c r="BX122" s="130"/>
      <c r="BY122" s="130"/>
      <c r="BZ122" s="130"/>
      <c r="CA122" s="143"/>
      <c r="CB122" s="143"/>
      <c r="CC122" s="130"/>
      <c r="CD122" s="130"/>
      <c r="CE122" s="130"/>
      <c r="CF122" s="143"/>
      <c r="CG122" s="143"/>
      <c r="CH122" s="77"/>
      <c r="CI122" s="128"/>
      <c r="CJ122" s="74"/>
      <c r="CK122" s="107"/>
      <c r="CL122" s="129"/>
      <c r="CM122" s="77"/>
      <c r="CN122" s="130"/>
      <c r="CO122" s="74"/>
      <c r="CP122" s="107"/>
      <c r="CQ122" s="108"/>
      <c r="CR122" s="77"/>
      <c r="CS122" s="48"/>
      <c r="CT122" s="74"/>
      <c r="CU122" s="107"/>
      <c r="CV122" s="108"/>
      <c r="CW122" s="77"/>
      <c r="CX122" s="48"/>
      <c r="CY122" s="74"/>
      <c r="CZ122" s="107"/>
      <c r="DA122" s="108"/>
      <c r="DB122" s="77"/>
      <c r="DC122" s="48"/>
      <c r="DD122" s="74"/>
      <c r="DE122" s="107"/>
      <c r="DF122" s="108"/>
      <c r="DG122" s="77"/>
      <c r="DH122" s="48"/>
      <c r="DI122" s="74"/>
      <c r="DJ122" s="107"/>
      <c r="DK122" s="108"/>
      <c r="DL122" s="80"/>
      <c r="DM122" s="48"/>
      <c r="DN122" s="74"/>
      <c r="DO122" s="107"/>
      <c r="DP122" s="108"/>
      <c r="DQ122" s="81"/>
      <c r="DR122" s="48"/>
      <c r="DS122" s="54"/>
      <c r="DT122" s="54"/>
      <c r="DU122" s="74"/>
      <c r="DV122" s="56"/>
      <c r="DW122" s="76"/>
      <c r="DX122" s="75"/>
      <c r="DY122" s="74"/>
      <c r="DZ122" s="56"/>
      <c r="EA122" s="76">
        <v>1</v>
      </c>
      <c r="EB122" s="106"/>
      <c r="EC122" s="74"/>
      <c r="ED122" s="74"/>
      <c r="EE122" s="76"/>
      <c r="EF122" s="75"/>
      <c r="EG122" s="74"/>
      <c r="EH122" s="74"/>
      <c r="EI122" s="76"/>
      <c r="EJ122" s="75"/>
      <c r="EK122" s="74"/>
      <c r="EL122" s="48"/>
      <c r="EM122" s="77"/>
      <c r="EN122" s="75"/>
      <c r="EO122" s="74"/>
      <c r="EP122" s="48"/>
      <c r="EQ122" s="77"/>
      <c r="ER122" s="62"/>
      <c r="ES122" s="74"/>
      <c r="ET122" s="48"/>
      <c r="EU122" s="77"/>
      <c r="EV122" s="48"/>
      <c r="EW122" s="74"/>
      <c r="EX122" s="48"/>
      <c r="EY122" s="77"/>
      <c r="EZ122" s="48"/>
      <c r="FA122" s="74"/>
      <c r="FB122" s="48"/>
      <c r="FC122" s="77"/>
      <c r="FD122" s="48"/>
      <c r="FE122" s="74"/>
      <c r="FF122" s="48"/>
      <c r="FG122" s="77"/>
      <c r="FH122" s="48"/>
      <c r="FI122" s="74"/>
      <c r="FJ122" s="48"/>
      <c r="FK122" s="80"/>
      <c r="FL122" s="48"/>
      <c r="FM122" s="74"/>
      <c r="FN122" s="48"/>
      <c r="FO122" s="81"/>
      <c r="FP122" s="48"/>
      <c r="FQ122" s="54"/>
      <c r="FR122" s="54"/>
      <c r="FS122" s="74"/>
      <c r="FT122" s="75"/>
      <c r="FU122" s="76"/>
      <c r="FV122" s="75"/>
      <c r="FW122" s="74"/>
      <c r="FX122" s="75"/>
      <c r="FY122" s="76"/>
      <c r="FZ122" s="75"/>
      <c r="GA122" s="74"/>
      <c r="GB122" s="75"/>
      <c r="GC122" s="76"/>
      <c r="GD122" s="75"/>
      <c r="GE122" s="74"/>
      <c r="GF122" s="75"/>
      <c r="GG122" s="76"/>
      <c r="GH122" s="75"/>
      <c r="GI122" s="74"/>
      <c r="GJ122" s="75"/>
      <c r="GK122" s="77"/>
      <c r="GL122" s="75"/>
      <c r="GM122" s="74"/>
      <c r="GN122" s="78"/>
      <c r="GO122" s="77"/>
      <c r="GP122" s="62"/>
      <c r="GQ122" s="74"/>
      <c r="GR122" s="75"/>
      <c r="GS122" s="77"/>
      <c r="GT122" s="48"/>
      <c r="GU122" s="74"/>
      <c r="GV122" s="75"/>
      <c r="GW122" s="77"/>
      <c r="GX122" s="48"/>
      <c r="GY122" s="74"/>
      <c r="GZ122" s="75"/>
      <c r="HA122" s="77"/>
      <c r="HB122" s="48"/>
      <c r="HC122" s="74"/>
      <c r="HD122" s="75"/>
      <c r="HE122" s="77"/>
      <c r="HF122" s="48"/>
      <c r="HG122" s="74"/>
      <c r="HH122" s="75"/>
      <c r="HI122" s="80"/>
      <c r="HJ122" s="48"/>
      <c r="HK122" s="74"/>
      <c r="HL122" s="75"/>
      <c r="HM122" s="81"/>
      <c r="HN122" s="48"/>
      <c r="HO122" s="54"/>
      <c r="HP122" s="54"/>
      <c r="HQ122" s="74"/>
      <c r="HR122" s="75"/>
      <c r="HS122" s="76"/>
      <c r="HT122" s="75"/>
      <c r="HU122" s="74"/>
      <c r="HV122" s="75"/>
      <c r="HW122" s="76"/>
      <c r="HX122" s="75"/>
      <c r="HY122" s="74"/>
      <c r="HZ122" s="75"/>
      <c r="IA122" s="76"/>
      <c r="IB122" s="75"/>
      <c r="IC122" s="74"/>
      <c r="ID122" s="75"/>
      <c r="IE122" s="76"/>
      <c r="IF122" s="75"/>
      <c r="IG122" s="74"/>
      <c r="IH122" s="75"/>
      <c r="II122" s="77"/>
      <c r="IJ122" s="75"/>
      <c r="IK122" s="74"/>
      <c r="IL122" s="78"/>
      <c r="IM122" s="77"/>
      <c r="IN122" s="62"/>
      <c r="IO122" s="74"/>
      <c r="IP122" s="75"/>
      <c r="IQ122" s="77"/>
      <c r="IR122" s="48"/>
      <c r="IS122" s="74"/>
      <c r="IT122" s="75"/>
      <c r="IU122" s="77"/>
      <c r="IV122" s="48"/>
      <c r="IW122" s="74"/>
      <c r="IX122" s="75"/>
      <c r="IY122" s="77"/>
      <c r="IZ122" s="48"/>
      <c r="JA122" s="74"/>
      <c r="JB122" s="75"/>
      <c r="JC122" s="77"/>
      <c r="JD122" s="48"/>
      <c r="JE122" s="74"/>
      <c r="JF122" s="75"/>
      <c r="JG122" s="80"/>
      <c r="JH122" s="48"/>
      <c r="JI122" s="74"/>
      <c r="JJ122" s="75"/>
      <c r="JK122" s="81"/>
      <c r="JL122" s="48"/>
      <c r="JM122" s="54"/>
      <c r="JN122" s="54"/>
    </row>
    <row r="123" spans="1:274">
      <c r="A123" s="146"/>
      <c r="B123" s="146"/>
      <c r="C123" s="146"/>
      <c r="D123" s="218"/>
      <c r="E123" s="36">
        <v>118</v>
      </c>
      <c r="F123" s="145">
        <v>1</v>
      </c>
      <c r="G123" s="132">
        <v>9254800504</v>
      </c>
      <c r="H123" s="133" t="s">
        <v>172</v>
      </c>
      <c r="I123" s="220">
        <v>307.60000000000002</v>
      </c>
      <c r="J123" s="119"/>
      <c r="K123" s="119"/>
      <c r="L123" s="119"/>
      <c r="M123" s="134"/>
      <c r="N123" s="134"/>
      <c r="O123" s="135"/>
      <c r="P123" s="135"/>
      <c r="Q123" s="130"/>
      <c r="R123" s="130"/>
      <c r="S123" s="135"/>
      <c r="T123" s="135"/>
      <c r="U123" s="130"/>
      <c r="V123" s="130"/>
      <c r="W123" s="135"/>
      <c r="X123" s="135"/>
      <c r="Y123" s="130"/>
      <c r="Z123" s="130"/>
      <c r="AA123" s="130"/>
      <c r="AB123" s="135"/>
      <c r="AC123" s="130"/>
      <c r="AD123" s="130"/>
      <c r="AE123" s="135"/>
      <c r="AF123" s="135"/>
      <c r="AG123" s="130"/>
      <c r="AH123" s="130"/>
      <c r="AI123" s="130"/>
      <c r="AJ123" s="135"/>
      <c r="AK123" s="130"/>
      <c r="AL123" s="136"/>
      <c r="AM123" s="137"/>
      <c r="AN123" s="130"/>
      <c r="AO123" s="130"/>
      <c r="AP123" s="136"/>
      <c r="AQ123" s="136"/>
      <c r="AR123" s="138"/>
      <c r="AS123" s="130"/>
      <c r="AT123" s="130"/>
      <c r="AU123" s="137"/>
      <c r="AV123" s="130"/>
      <c r="AW123" s="130"/>
      <c r="AX123" s="130"/>
      <c r="AY123" s="137"/>
      <c r="AZ123" s="130"/>
      <c r="BA123" s="130"/>
      <c r="BB123" s="130"/>
      <c r="BC123" s="139"/>
      <c r="BD123" s="130"/>
      <c r="BE123" s="130"/>
      <c r="BF123" s="130"/>
      <c r="BG123" s="140"/>
      <c r="BH123" s="130"/>
      <c r="BI123" s="141"/>
      <c r="BJ123" s="142"/>
      <c r="BK123" s="130"/>
      <c r="BL123" s="143"/>
      <c r="BM123" s="143"/>
      <c r="BN123" s="130"/>
      <c r="BO123" s="130"/>
      <c r="BP123" s="130"/>
      <c r="BQ123" s="143"/>
      <c r="BR123" s="143"/>
      <c r="BS123" s="130"/>
      <c r="BT123" s="130"/>
      <c r="BU123" s="130"/>
      <c r="BV123" s="143"/>
      <c r="BW123" s="143"/>
      <c r="BX123" s="130"/>
      <c r="BY123" s="130"/>
      <c r="BZ123" s="130"/>
      <c r="CA123" s="143"/>
      <c r="CB123" s="143"/>
      <c r="CC123" s="130"/>
      <c r="CD123" s="130"/>
      <c r="CE123" s="130"/>
      <c r="CF123" s="143"/>
      <c r="CG123" s="143"/>
      <c r="CH123" s="77"/>
      <c r="CI123" s="128"/>
      <c r="CJ123" s="74"/>
      <c r="CK123" s="107"/>
      <c r="CL123" s="129"/>
      <c r="CM123" s="77"/>
      <c r="CN123" s="130"/>
      <c r="CO123" s="74"/>
      <c r="CP123" s="107"/>
      <c r="CQ123" s="108"/>
      <c r="CR123" s="77"/>
      <c r="CS123" s="48"/>
      <c r="CT123" s="74"/>
      <c r="CU123" s="107"/>
      <c r="CV123" s="108"/>
      <c r="CW123" s="77"/>
      <c r="CX123" s="48"/>
      <c r="CY123" s="74"/>
      <c r="CZ123" s="107"/>
      <c r="DA123" s="108"/>
      <c r="DB123" s="77"/>
      <c r="DC123" s="48"/>
      <c r="DD123" s="74"/>
      <c r="DE123" s="107"/>
      <c r="DF123" s="108"/>
      <c r="DG123" s="77"/>
      <c r="DH123" s="48"/>
      <c r="DI123" s="74"/>
      <c r="DJ123" s="107"/>
      <c r="DK123" s="108"/>
      <c r="DL123" s="80"/>
      <c r="DM123" s="48"/>
      <c r="DN123" s="74"/>
      <c r="DO123" s="107"/>
      <c r="DP123" s="108"/>
      <c r="DQ123" s="81"/>
      <c r="DR123" s="48"/>
      <c r="DS123" s="54"/>
      <c r="DT123" s="54"/>
      <c r="DU123" s="74"/>
      <c r="DV123" s="56"/>
      <c r="DW123" s="76"/>
      <c r="DX123" s="75"/>
      <c r="DY123" s="74"/>
      <c r="DZ123" s="56"/>
      <c r="EA123" s="76"/>
      <c r="EB123" s="106"/>
      <c r="EC123" s="74"/>
      <c r="ED123" s="74"/>
      <c r="EE123" s="76"/>
      <c r="EF123" s="75"/>
      <c r="EG123" s="74"/>
      <c r="EH123" s="74"/>
      <c r="EI123" s="76"/>
      <c r="EJ123" s="75"/>
      <c r="EK123" s="74"/>
      <c r="EL123" s="48"/>
      <c r="EM123" s="77"/>
      <c r="EN123" s="75"/>
      <c r="EO123" s="74"/>
      <c r="EP123" s="48">
        <v>5</v>
      </c>
      <c r="EQ123" s="77"/>
      <c r="ER123" s="62" t="s">
        <v>100</v>
      </c>
      <c r="ES123" s="74"/>
      <c r="ET123" s="48">
        <v>5</v>
      </c>
      <c r="EU123" s="77"/>
      <c r="EV123" s="48" t="s">
        <v>100</v>
      </c>
      <c r="EW123" s="74"/>
      <c r="EX123" s="48">
        <v>5</v>
      </c>
      <c r="EY123" s="77"/>
      <c r="EZ123" s="48"/>
      <c r="FA123" s="74"/>
      <c r="FB123" s="48">
        <v>5</v>
      </c>
      <c r="FC123" s="77"/>
      <c r="FD123" s="48"/>
      <c r="FE123" s="74"/>
      <c r="FF123" s="48">
        <v>5</v>
      </c>
      <c r="FG123" s="77"/>
      <c r="FH123" s="48"/>
      <c r="FI123" s="74"/>
      <c r="FJ123" s="48"/>
      <c r="FK123" s="80"/>
      <c r="FL123" s="48"/>
      <c r="FM123" s="74"/>
      <c r="FN123" s="48"/>
      <c r="FO123" s="81"/>
      <c r="FP123" s="48"/>
      <c r="FQ123" s="54"/>
      <c r="FR123" s="54"/>
      <c r="FS123" s="74"/>
      <c r="FT123" s="75"/>
      <c r="FU123" s="76"/>
      <c r="FV123" s="75"/>
      <c r="FW123" s="74"/>
      <c r="FX123" s="75"/>
      <c r="FY123" s="76"/>
      <c r="FZ123" s="75"/>
      <c r="GA123" s="74"/>
      <c r="GB123" s="75"/>
      <c r="GC123" s="76"/>
      <c r="GD123" s="75"/>
      <c r="GE123" s="74"/>
      <c r="GF123" s="75"/>
      <c r="GG123" s="76"/>
      <c r="GH123" s="75"/>
      <c r="GI123" s="74"/>
      <c r="GJ123" s="75"/>
      <c r="GK123" s="77"/>
      <c r="GL123" s="75"/>
      <c r="GM123" s="74"/>
      <c r="GN123" s="78"/>
      <c r="GO123" s="77"/>
      <c r="GP123" s="62"/>
      <c r="GQ123" s="74"/>
      <c r="GR123" s="75"/>
      <c r="GS123" s="77"/>
      <c r="GT123" s="48"/>
      <c r="GU123" s="74"/>
      <c r="GV123" s="75"/>
      <c r="GW123" s="77"/>
      <c r="GX123" s="48"/>
      <c r="GY123" s="74"/>
      <c r="GZ123" s="75"/>
      <c r="HA123" s="77"/>
      <c r="HB123" s="48"/>
      <c r="HC123" s="74"/>
      <c r="HD123" s="75"/>
      <c r="HE123" s="77"/>
      <c r="HF123" s="48"/>
      <c r="HG123" s="74"/>
      <c r="HH123" s="75"/>
      <c r="HI123" s="80"/>
      <c r="HJ123" s="48"/>
      <c r="HK123" s="74"/>
      <c r="HL123" s="75"/>
      <c r="HM123" s="81"/>
      <c r="HN123" s="48"/>
      <c r="HO123" s="54"/>
      <c r="HP123" s="54"/>
      <c r="HQ123" s="74"/>
      <c r="HR123" s="75"/>
      <c r="HS123" s="76"/>
      <c r="HT123" s="75"/>
      <c r="HU123" s="74"/>
      <c r="HV123" s="75"/>
      <c r="HW123" s="76"/>
      <c r="HX123" s="75"/>
      <c r="HY123" s="74"/>
      <c r="HZ123" s="75"/>
      <c r="IA123" s="76"/>
      <c r="IB123" s="75"/>
      <c r="IC123" s="74"/>
      <c r="ID123" s="75"/>
      <c r="IE123" s="76"/>
      <c r="IF123" s="75"/>
      <c r="IG123" s="74"/>
      <c r="IH123" s="75"/>
      <c r="II123" s="77"/>
      <c r="IJ123" s="75"/>
      <c r="IK123" s="74"/>
      <c r="IL123" s="78"/>
      <c r="IM123" s="77"/>
      <c r="IN123" s="62"/>
      <c r="IO123" s="74"/>
      <c r="IP123" s="75"/>
      <c r="IQ123" s="77"/>
      <c r="IR123" s="48"/>
      <c r="IS123" s="74"/>
      <c r="IT123" s="75"/>
      <c r="IU123" s="77"/>
      <c r="IV123" s="48"/>
      <c r="IW123" s="74"/>
      <c r="IX123" s="75"/>
      <c r="IY123" s="77"/>
      <c r="IZ123" s="48"/>
      <c r="JA123" s="74"/>
      <c r="JB123" s="75"/>
      <c r="JC123" s="77"/>
      <c r="JD123" s="48"/>
      <c r="JE123" s="74"/>
      <c r="JF123" s="75"/>
      <c r="JG123" s="80"/>
      <c r="JH123" s="48"/>
      <c r="JI123" s="74"/>
      <c r="JJ123" s="75"/>
      <c r="JK123" s="81"/>
      <c r="JL123" s="48"/>
      <c r="JM123" s="54"/>
      <c r="JN123" s="54"/>
    </row>
    <row r="124" spans="1:274">
      <c r="A124" s="146"/>
      <c r="B124" s="146"/>
      <c r="C124" s="146"/>
      <c r="D124" s="218"/>
      <c r="E124" s="36">
        <v>119</v>
      </c>
      <c r="F124" s="145">
        <v>1</v>
      </c>
      <c r="G124" s="132">
        <v>4235041001</v>
      </c>
      <c r="H124" s="133" t="s">
        <v>63</v>
      </c>
      <c r="I124" s="220">
        <v>143.27000000000001</v>
      </c>
      <c r="J124" s="119"/>
      <c r="K124" s="119"/>
      <c r="L124" s="119"/>
      <c r="M124" s="134"/>
      <c r="N124" s="134"/>
      <c r="O124" s="135"/>
      <c r="P124" s="135"/>
      <c r="Q124" s="130"/>
      <c r="R124" s="130"/>
      <c r="S124" s="135"/>
      <c r="T124" s="135"/>
      <c r="U124" s="130"/>
      <c r="V124" s="130"/>
      <c r="W124" s="135"/>
      <c r="X124" s="135"/>
      <c r="Y124" s="130"/>
      <c r="Z124" s="130"/>
      <c r="AA124" s="130"/>
      <c r="AB124" s="135"/>
      <c r="AC124" s="130"/>
      <c r="AD124" s="130"/>
      <c r="AE124" s="135"/>
      <c r="AF124" s="135"/>
      <c r="AG124" s="130"/>
      <c r="AH124" s="130"/>
      <c r="AI124" s="130"/>
      <c r="AJ124" s="135"/>
      <c r="AK124" s="130"/>
      <c r="AL124" s="136"/>
      <c r="AM124" s="137"/>
      <c r="AN124" s="130"/>
      <c r="AO124" s="130"/>
      <c r="AP124" s="136"/>
      <c r="AQ124" s="136"/>
      <c r="AR124" s="138"/>
      <c r="AS124" s="130"/>
      <c r="AT124" s="130"/>
      <c r="AU124" s="137"/>
      <c r="AV124" s="130"/>
      <c r="AW124" s="130"/>
      <c r="AX124" s="130"/>
      <c r="AY124" s="137"/>
      <c r="AZ124" s="130"/>
      <c r="BA124" s="130"/>
      <c r="BB124" s="130"/>
      <c r="BC124" s="139"/>
      <c r="BD124" s="130"/>
      <c r="BE124" s="130"/>
      <c r="BF124" s="130"/>
      <c r="BG124" s="140"/>
      <c r="BH124" s="130"/>
      <c r="BI124" s="141"/>
      <c r="BJ124" s="142"/>
      <c r="BK124" s="130"/>
      <c r="BL124" s="143"/>
      <c r="BM124" s="143"/>
      <c r="BN124" s="130"/>
      <c r="BO124" s="130"/>
      <c r="BP124" s="130"/>
      <c r="BQ124" s="143"/>
      <c r="BR124" s="143"/>
      <c r="BS124" s="130"/>
      <c r="BT124" s="130"/>
      <c r="BU124" s="130"/>
      <c r="BV124" s="143"/>
      <c r="BW124" s="143"/>
      <c r="BX124" s="130"/>
      <c r="BY124" s="130"/>
      <c r="BZ124" s="130"/>
      <c r="CA124" s="143"/>
      <c r="CB124" s="143"/>
      <c r="CC124" s="130"/>
      <c r="CD124" s="130"/>
      <c r="CE124" s="130"/>
      <c r="CF124" s="143"/>
      <c r="CG124" s="143"/>
      <c r="CH124" s="77"/>
      <c r="CI124" s="128"/>
      <c r="CJ124" s="74"/>
      <c r="CK124" s="107"/>
      <c r="CL124" s="129"/>
      <c r="CM124" s="77"/>
      <c r="CN124" s="130"/>
      <c r="CO124" s="74"/>
      <c r="CP124" s="107"/>
      <c r="CQ124" s="108"/>
      <c r="CR124" s="77"/>
      <c r="CS124" s="48"/>
      <c r="CT124" s="74"/>
      <c r="CU124" s="107"/>
      <c r="CV124" s="108"/>
      <c r="CW124" s="77"/>
      <c r="CX124" s="48"/>
      <c r="CY124" s="74"/>
      <c r="CZ124" s="107"/>
      <c r="DA124" s="108"/>
      <c r="DB124" s="77"/>
      <c r="DC124" s="48"/>
      <c r="DD124" s="74"/>
      <c r="DE124" s="107"/>
      <c r="DF124" s="108"/>
      <c r="DG124" s="77"/>
      <c r="DH124" s="48"/>
      <c r="DI124" s="74"/>
      <c r="DJ124" s="107"/>
      <c r="DK124" s="108"/>
      <c r="DL124" s="80"/>
      <c r="DM124" s="48"/>
      <c r="DN124" s="74"/>
      <c r="DO124" s="107"/>
      <c r="DP124" s="108"/>
      <c r="DQ124" s="81"/>
      <c r="DR124" s="48"/>
      <c r="DS124" s="54"/>
      <c r="DT124" s="54"/>
      <c r="DU124" s="74"/>
      <c r="DV124" s="56"/>
      <c r="DW124" s="76"/>
      <c r="DX124" s="75"/>
      <c r="DY124" s="74"/>
      <c r="DZ124" s="56"/>
      <c r="EA124" s="76"/>
      <c r="EB124" s="106"/>
      <c r="EC124" s="74"/>
      <c r="ED124" s="74"/>
      <c r="EE124" s="76"/>
      <c r="EF124" s="75"/>
      <c r="EG124" s="74"/>
      <c r="EH124" s="74"/>
      <c r="EI124" s="76"/>
      <c r="EJ124" s="75"/>
      <c r="EK124" s="74"/>
      <c r="EL124" s="48"/>
      <c r="EM124" s="77"/>
      <c r="EN124" s="75"/>
      <c r="EO124" s="74"/>
      <c r="EP124" s="48">
        <v>5</v>
      </c>
      <c r="EQ124" s="77"/>
      <c r="ER124" s="62" t="s">
        <v>100</v>
      </c>
      <c r="ES124" s="74"/>
      <c r="ET124" s="48">
        <v>5</v>
      </c>
      <c r="EU124" s="77"/>
      <c r="EV124" s="48" t="s">
        <v>100</v>
      </c>
      <c r="EW124" s="74"/>
      <c r="EX124" s="48">
        <v>5</v>
      </c>
      <c r="EY124" s="77"/>
      <c r="EZ124" s="48"/>
      <c r="FA124" s="74"/>
      <c r="FB124" s="48">
        <v>5</v>
      </c>
      <c r="FC124" s="77"/>
      <c r="FD124" s="48"/>
      <c r="FE124" s="74"/>
      <c r="FF124" s="48">
        <v>5</v>
      </c>
      <c r="FG124" s="77"/>
      <c r="FH124" s="48"/>
      <c r="FI124" s="74"/>
      <c r="FJ124" s="48"/>
      <c r="FK124" s="80"/>
      <c r="FL124" s="48"/>
      <c r="FM124" s="74"/>
      <c r="FN124" s="48"/>
      <c r="FO124" s="81"/>
      <c r="FP124" s="48"/>
      <c r="FQ124" s="54"/>
      <c r="FR124" s="54"/>
      <c r="FS124" s="74"/>
      <c r="FT124" s="75"/>
      <c r="FU124" s="76"/>
      <c r="FV124" s="75"/>
      <c r="FW124" s="74"/>
      <c r="FX124" s="75"/>
      <c r="FY124" s="76"/>
      <c r="FZ124" s="75"/>
      <c r="GA124" s="74"/>
      <c r="GB124" s="75"/>
      <c r="GC124" s="76"/>
      <c r="GD124" s="75"/>
      <c r="GE124" s="74"/>
      <c r="GF124" s="75"/>
      <c r="GG124" s="76"/>
      <c r="GH124" s="75"/>
      <c r="GI124" s="74"/>
      <c r="GJ124" s="75"/>
      <c r="GK124" s="77"/>
      <c r="GL124" s="75"/>
      <c r="GM124" s="74"/>
      <c r="GN124" s="78"/>
      <c r="GO124" s="77"/>
      <c r="GP124" s="62"/>
      <c r="GQ124" s="74"/>
      <c r="GR124" s="75"/>
      <c r="GS124" s="77"/>
      <c r="GT124" s="48"/>
      <c r="GU124" s="74"/>
      <c r="GV124" s="75"/>
      <c r="GW124" s="77"/>
      <c r="GX124" s="48"/>
      <c r="GY124" s="74"/>
      <c r="GZ124" s="75"/>
      <c r="HA124" s="77"/>
      <c r="HB124" s="48"/>
      <c r="HC124" s="74"/>
      <c r="HD124" s="75"/>
      <c r="HE124" s="77"/>
      <c r="HF124" s="48"/>
      <c r="HG124" s="74"/>
      <c r="HH124" s="75"/>
      <c r="HI124" s="80"/>
      <c r="HJ124" s="48"/>
      <c r="HK124" s="74"/>
      <c r="HL124" s="75"/>
      <c r="HM124" s="81"/>
      <c r="HN124" s="48"/>
      <c r="HO124" s="54"/>
      <c r="HP124" s="54"/>
      <c r="HQ124" s="74"/>
      <c r="HR124" s="75"/>
      <c r="HS124" s="76"/>
      <c r="HT124" s="75"/>
      <c r="HU124" s="74"/>
      <c r="HV124" s="75"/>
      <c r="HW124" s="76"/>
      <c r="HX124" s="75"/>
      <c r="HY124" s="74"/>
      <c r="HZ124" s="75"/>
      <c r="IA124" s="76"/>
      <c r="IB124" s="75"/>
      <c r="IC124" s="74"/>
      <c r="ID124" s="75"/>
      <c r="IE124" s="76"/>
      <c r="IF124" s="75"/>
      <c r="IG124" s="74"/>
      <c r="IH124" s="75"/>
      <c r="II124" s="77"/>
      <c r="IJ124" s="75"/>
      <c r="IK124" s="74"/>
      <c r="IL124" s="78"/>
      <c r="IM124" s="77"/>
      <c r="IN124" s="62"/>
      <c r="IO124" s="74"/>
      <c r="IP124" s="75"/>
      <c r="IQ124" s="77"/>
      <c r="IR124" s="48"/>
      <c r="IS124" s="74"/>
      <c r="IT124" s="75"/>
      <c r="IU124" s="77"/>
      <c r="IV124" s="48"/>
      <c r="IW124" s="74"/>
      <c r="IX124" s="75"/>
      <c r="IY124" s="77"/>
      <c r="IZ124" s="48"/>
      <c r="JA124" s="74"/>
      <c r="JB124" s="75"/>
      <c r="JC124" s="77"/>
      <c r="JD124" s="48"/>
      <c r="JE124" s="74"/>
      <c r="JF124" s="75"/>
      <c r="JG124" s="80"/>
      <c r="JH124" s="48"/>
      <c r="JI124" s="74"/>
      <c r="JJ124" s="75"/>
      <c r="JK124" s="81"/>
      <c r="JL124" s="48"/>
      <c r="JM124" s="54"/>
      <c r="JN124" s="54"/>
    </row>
    <row r="125" spans="1:274">
      <c r="A125" s="146"/>
      <c r="B125" s="146"/>
      <c r="C125" s="146"/>
      <c r="D125" s="218"/>
      <c r="E125" s="36">
        <v>120</v>
      </c>
      <c r="F125" s="145">
        <v>2</v>
      </c>
      <c r="G125" s="133">
        <v>4213659252</v>
      </c>
      <c r="H125" s="133" t="s">
        <v>157</v>
      </c>
      <c r="I125" s="220">
        <v>1272</v>
      </c>
      <c r="J125" s="119"/>
      <c r="K125" s="119"/>
      <c r="L125" s="119"/>
      <c r="M125" s="134"/>
      <c r="N125" s="134"/>
      <c r="O125" s="135"/>
      <c r="P125" s="135"/>
      <c r="Q125" s="130"/>
      <c r="R125" s="130"/>
      <c r="S125" s="135"/>
      <c r="T125" s="135"/>
      <c r="U125" s="130"/>
      <c r="V125" s="130"/>
      <c r="W125" s="135"/>
      <c r="X125" s="135"/>
      <c r="Y125" s="130"/>
      <c r="Z125" s="130"/>
      <c r="AA125" s="130"/>
      <c r="AB125" s="135"/>
      <c r="AC125" s="130"/>
      <c r="AD125" s="130"/>
      <c r="AE125" s="135"/>
      <c r="AF125" s="135"/>
      <c r="AG125" s="130"/>
      <c r="AH125" s="130"/>
      <c r="AI125" s="130"/>
      <c r="AJ125" s="135"/>
      <c r="AK125" s="130"/>
      <c r="AL125" s="136"/>
      <c r="AM125" s="137"/>
      <c r="AN125" s="130"/>
      <c r="AO125" s="130"/>
      <c r="AP125" s="136"/>
      <c r="AQ125" s="136"/>
      <c r="AR125" s="138"/>
      <c r="AS125" s="130"/>
      <c r="AT125" s="130"/>
      <c r="AU125" s="137"/>
      <c r="AV125" s="130"/>
      <c r="AW125" s="130"/>
      <c r="AX125" s="130"/>
      <c r="AY125" s="137"/>
      <c r="AZ125" s="130"/>
      <c r="BA125" s="130"/>
      <c r="BB125" s="130"/>
      <c r="BC125" s="139"/>
      <c r="BD125" s="130"/>
      <c r="BE125" s="130"/>
      <c r="BF125" s="130"/>
      <c r="BG125" s="140"/>
      <c r="BH125" s="130"/>
      <c r="BI125" s="141"/>
      <c r="BJ125" s="142"/>
      <c r="BK125" s="130"/>
      <c r="BL125" s="143"/>
      <c r="BM125" s="143"/>
      <c r="BN125" s="130"/>
      <c r="BO125" s="130"/>
      <c r="BP125" s="130"/>
      <c r="BQ125" s="143"/>
      <c r="BR125" s="143"/>
      <c r="BS125" s="130"/>
      <c r="BT125" s="130"/>
      <c r="BU125" s="130"/>
      <c r="BV125" s="143"/>
      <c r="BW125" s="143"/>
      <c r="BX125" s="130"/>
      <c r="BY125" s="130"/>
      <c r="BZ125" s="130"/>
      <c r="CA125" s="143"/>
      <c r="CB125" s="143"/>
      <c r="CC125" s="130"/>
      <c r="CD125" s="130"/>
      <c r="CE125" s="130"/>
      <c r="CF125" s="143"/>
      <c r="CG125" s="143"/>
      <c r="CH125" s="77"/>
      <c r="CI125" s="128"/>
      <c r="CJ125" s="74"/>
      <c r="CK125" s="107"/>
      <c r="CL125" s="129"/>
      <c r="CM125" s="77"/>
      <c r="CN125" s="130"/>
      <c r="CO125" s="74"/>
      <c r="CP125" s="107"/>
      <c r="CQ125" s="108"/>
      <c r="CR125" s="77"/>
      <c r="CS125" s="48"/>
      <c r="CT125" s="74"/>
      <c r="CU125" s="107"/>
      <c r="CV125" s="108"/>
      <c r="CW125" s="77"/>
      <c r="CX125" s="48"/>
      <c r="CY125" s="74"/>
      <c r="CZ125" s="107"/>
      <c r="DA125" s="108"/>
      <c r="DB125" s="77"/>
      <c r="DC125" s="48"/>
      <c r="DD125" s="74"/>
      <c r="DE125" s="107"/>
      <c r="DF125" s="108"/>
      <c r="DG125" s="77"/>
      <c r="DH125" s="48"/>
      <c r="DI125" s="74"/>
      <c r="DJ125" s="107"/>
      <c r="DK125" s="108"/>
      <c r="DL125" s="80"/>
      <c r="DM125" s="48"/>
      <c r="DN125" s="74"/>
      <c r="DO125" s="107"/>
      <c r="DP125" s="108"/>
      <c r="DQ125" s="81"/>
      <c r="DR125" s="48"/>
      <c r="DS125" s="54"/>
      <c r="DT125" s="54"/>
      <c r="DU125" s="74"/>
      <c r="DV125" s="56"/>
      <c r="DW125" s="76"/>
      <c r="DX125" s="75"/>
      <c r="DY125" s="74"/>
      <c r="DZ125" s="56"/>
      <c r="EA125" s="76">
        <v>1</v>
      </c>
      <c r="EB125" s="106"/>
      <c r="EC125" s="74"/>
      <c r="ED125" s="74"/>
      <c r="EE125" s="76"/>
      <c r="EF125" s="75"/>
      <c r="EG125" s="74"/>
      <c r="EH125" s="74"/>
      <c r="EI125" s="76"/>
      <c r="EJ125" s="75"/>
      <c r="EK125" s="74"/>
      <c r="EL125" s="48"/>
      <c r="EM125" s="77"/>
      <c r="EN125" s="75"/>
      <c r="EO125" s="74"/>
      <c r="EP125" s="48"/>
      <c r="EQ125" s="77"/>
      <c r="ER125" s="62"/>
      <c r="ES125" s="74"/>
      <c r="ET125" s="48"/>
      <c r="EU125" s="77"/>
      <c r="EV125" s="48"/>
      <c r="EW125" s="74"/>
      <c r="EX125" s="48"/>
      <c r="EY125" s="77"/>
      <c r="EZ125" s="48"/>
      <c r="FA125" s="74"/>
      <c r="FB125" s="48"/>
      <c r="FC125" s="77"/>
      <c r="FD125" s="48"/>
      <c r="FE125" s="74"/>
      <c r="FF125" s="48"/>
      <c r="FG125" s="77"/>
      <c r="FH125" s="48"/>
      <c r="FI125" s="74"/>
      <c r="FJ125" s="48"/>
      <c r="FK125" s="80"/>
      <c r="FL125" s="48"/>
      <c r="FM125" s="74"/>
      <c r="FN125" s="48"/>
      <c r="FO125" s="81"/>
      <c r="FP125" s="48"/>
      <c r="FQ125" s="54"/>
      <c r="FR125" s="54"/>
      <c r="FS125" s="74"/>
      <c r="FT125" s="75"/>
      <c r="FU125" s="76"/>
      <c r="FV125" s="75"/>
      <c r="FW125" s="74"/>
      <c r="FX125" s="75"/>
      <c r="FY125" s="76"/>
      <c r="FZ125" s="75"/>
      <c r="GA125" s="74"/>
      <c r="GB125" s="75"/>
      <c r="GC125" s="76"/>
      <c r="GD125" s="75"/>
      <c r="GE125" s="74"/>
      <c r="GF125" s="75"/>
      <c r="GG125" s="76"/>
      <c r="GH125" s="75"/>
      <c r="GI125" s="74"/>
      <c r="GJ125" s="75"/>
      <c r="GK125" s="77"/>
      <c r="GL125" s="75"/>
      <c r="GM125" s="74"/>
      <c r="GN125" s="78"/>
      <c r="GO125" s="77"/>
      <c r="GP125" s="62"/>
      <c r="GQ125" s="74"/>
      <c r="GR125" s="75"/>
      <c r="GS125" s="77"/>
      <c r="GT125" s="48"/>
      <c r="GU125" s="74"/>
      <c r="GV125" s="75"/>
      <c r="GW125" s="77"/>
      <c r="GX125" s="48"/>
      <c r="GY125" s="74"/>
      <c r="GZ125" s="75"/>
      <c r="HA125" s="77"/>
      <c r="HB125" s="48"/>
      <c r="HC125" s="74"/>
      <c r="HD125" s="75"/>
      <c r="HE125" s="77"/>
      <c r="HF125" s="48"/>
      <c r="HG125" s="74"/>
      <c r="HH125" s="75"/>
      <c r="HI125" s="80"/>
      <c r="HJ125" s="48"/>
      <c r="HK125" s="74"/>
      <c r="HL125" s="75"/>
      <c r="HM125" s="81"/>
      <c r="HN125" s="48"/>
      <c r="HO125" s="54"/>
      <c r="HP125" s="54"/>
      <c r="HQ125" s="74"/>
      <c r="HR125" s="75"/>
      <c r="HS125" s="76"/>
      <c r="HT125" s="75"/>
      <c r="HU125" s="74"/>
      <c r="HV125" s="75"/>
      <c r="HW125" s="76"/>
      <c r="HX125" s="75"/>
      <c r="HY125" s="74"/>
      <c r="HZ125" s="75"/>
      <c r="IA125" s="76"/>
      <c r="IB125" s="75"/>
      <c r="IC125" s="74"/>
      <c r="ID125" s="75"/>
      <c r="IE125" s="76"/>
      <c r="IF125" s="75"/>
      <c r="IG125" s="74"/>
      <c r="IH125" s="75"/>
      <c r="II125" s="77"/>
      <c r="IJ125" s="75"/>
      <c r="IK125" s="74"/>
      <c r="IL125" s="78"/>
      <c r="IM125" s="77"/>
      <c r="IN125" s="62"/>
      <c r="IO125" s="74"/>
      <c r="IP125" s="75"/>
      <c r="IQ125" s="77"/>
      <c r="IR125" s="48"/>
      <c r="IS125" s="74"/>
      <c r="IT125" s="75"/>
      <c r="IU125" s="77"/>
      <c r="IV125" s="48"/>
      <c r="IW125" s="74"/>
      <c r="IX125" s="75"/>
      <c r="IY125" s="77"/>
      <c r="IZ125" s="48"/>
      <c r="JA125" s="74"/>
      <c r="JB125" s="75"/>
      <c r="JC125" s="77"/>
      <c r="JD125" s="48"/>
      <c r="JE125" s="74"/>
      <c r="JF125" s="75"/>
      <c r="JG125" s="80"/>
      <c r="JH125" s="48"/>
      <c r="JI125" s="74"/>
      <c r="JJ125" s="75"/>
      <c r="JK125" s="81"/>
      <c r="JL125" s="48"/>
      <c r="JM125" s="54"/>
      <c r="JN125" s="54"/>
    </row>
    <row r="126" spans="1:274" s="27" customFormat="1" ht="14.4" customHeight="1">
      <c r="A126" s="28"/>
      <c r="B126" s="28"/>
      <c r="C126" s="28"/>
      <c r="D126" s="29"/>
      <c r="E126" s="30"/>
      <c r="F126" s="155"/>
      <c r="G126" s="156"/>
      <c r="H126" s="157"/>
      <c r="I126" s="158"/>
      <c r="J126" s="31"/>
      <c r="K126" s="31"/>
      <c r="L126" s="31"/>
      <c r="M126" s="32"/>
      <c r="N126" s="32"/>
      <c r="O126" s="33"/>
      <c r="P126" s="33"/>
      <c r="Q126" s="32"/>
      <c r="R126" s="32"/>
      <c r="S126" s="33"/>
      <c r="T126" s="33"/>
      <c r="U126" s="32"/>
      <c r="V126" s="32"/>
      <c r="W126" s="33"/>
      <c r="X126" s="33"/>
      <c r="Y126" s="32"/>
      <c r="Z126" s="32"/>
      <c r="AA126" s="32"/>
      <c r="AB126" s="33"/>
      <c r="AC126" s="32"/>
      <c r="AD126" s="32"/>
      <c r="AE126" s="33"/>
      <c r="AF126" s="33"/>
      <c r="AG126" s="32"/>
      <c r="AH126" s="32"/>
      <c r="AI126" s="32"/>
      <c r="AJ126" s="33"/>
      <c r="AK126" s="32"/>
      <c r="AL126" s="32"/>
      <c r="AM126" s="32"/>
      <c r="AN126" s="33"/>
      <c r="AO126" s="32"/>
      <c r="AP126" s="32"/>
      <c r="AQ126" s="32"/>
      <c r="AR126" s="33"/>
      <c r="AS126" s="32"/>
      <c r="AT126" s="32"/>
      <c r="AU126" s="32"/>
      <c r="AV126" s="33"/>
      <c r="AW126" s="32"/>
      <c r="AX126" s="32"/>
      <c r="AY126" s="33"/>
      <c r="AZ126" s="33"/>
      <c r="BA126" s="32"/>
      <c r="BB126" s="32"/>
      <c r="BC126" s="34"/>
      <c r="BD126" s="33"/>
      <c r="BE126" s="32"/>
      <c r="BF126" s="32"/>
      <c r="BG126" s="35"/>
      <c r="BH126" s="33"/>
      <c r="BI126" s="33"/>
      <c r="BJ126" s="33"/>
      <c r="BK126" s="32"/>
      <c r="BL126" s="32"/>
      <c r="BM126" s="32"/>
      <c r="BN126" s="33"/>
      <c r="BO126" s="33"/>
      <c r="BP126" s="32"/>
      <c r="BQ126" s="32"/>
      <c r="BR126" s="32"/>
      <c r="BS126" s="33"/>
      <c r="BT126" s="33"/>
      <c r="BU126" s="32"/>
      <c r="BV126" s="32"/>
      <c r="BW126" s="32"/>
      <c r="BX126" s="33"/>
      <c r="BY126" s="33"/>
      <c r="BZ126" s="32"/>
      <c r="CA126" s="32"/>
      <c r="CB126" s="32"/>
      <c r="CC126" s="32"/>
      <c r="CD126" s="33"/>
      <c r="CE126" s="32"/>
      <c r="CF126" s="32"/>
      <c r="CG126" s="32"/>
      <c r="CH126" s="33"/>
      <c r="CI126" s="33"/>
      <c r="CJ126" s="32"/>
      <c r="CK126" s="32"/>
      <c r="CL126" s="32"/>
      <c r="CM126" s="32"/>
      <c r="CN126" s="33"/>
      <c r="CO126" s="32"/>
      <c r="CP126" s="32"/>
      <c r="CQ126" s="32"/>
      <c r="CR126" s="32"/>
      <c r="CS126" s="33"/>
      <c r="CT126" s="32"/>
      <c r="CU126" s="32"/>
      <c r="CV126" s="32"/>
      <c r="CW126" s="32"/>
      <c r="CX126" s="33"/>
      <c r="CY126" s="32"/>
      <c r="CZ126" s="32"/>
      <c r="DA126" s="32"/>
      <c r="DB126" s="32"/>
      <c r="DC126" s="33"/>
      <c r="DD126" s="32"/>
      <c r="DE126" s="32"/>
      <c r="DF126" s="32"/>
      <c r="DG126" s="33"/>
      <c r="DH126" s="33"/>
      <c r="DI126" s="32"/>
      <c r="DJ126" s="32"/>
      <c r="DK126" s="32"/>
      <c r="DL126" s="34"/>
      <c r="DM126" s="33"/>
      <c r="DN126" s="32"/>
      <c r="DO126" s="32"/>
      <c r="DP126" s="32"/>
      <c r="DQ126" s="35"/>
      <c r="DR126" s="33"/>
      <c r="DS126" s="33"/>
      <c r="DT126" s="33"/>
      <c r="DU126" s="32"/>
      <c r="DV126" s="159">
        <f>SUM(DV6:DV85)</f>
        <v>970</v>
      </c>
      <c r="DW126" s="33"/>
      <c r="DX126" s="33"/>
      <c r="DY126" s="32"/>
      <c r="DZ126" s="159">
        <f>SUM(DZ6:DZ85)</f>
        <v>1029</v>
      </c>
      <c r="EA126" s="33"/>
      <c r="EB126" s="33"/>
      <c r="EC126" s="32"/>
      <c r="ED126" s="159">
        <f>SUM(ED6:ED85)</f>
        <v>1063</v>
      </c>
      <c r="EE126" s="33"/>
      <c r="EF126" s="33"/>
      <c r="EG126" s="32"/>
      <c r="EH126" s="159">
        <f>SUM(EH6:EH85)</f>
        <v>1357</v>
      </c>
      <c r="EI126" s="32"/>
      <c r="EJ126" s="33"/>
      <c r="EK126" s="32"/>
      <c r="EL126" s="159">
        <f>SUM(EL6:EL85)</f>
        <v>1365</v>
      </c>
      <c r="EM126" s="33"/>
      <c r="EN126" s="33"/>
      <c r="EO126" s="32"/>
      <c r="EP126" s="159">
        <f>SUM(EP6:EP85)</f>
        <v>1271</v>
      </c>
      <c r="EQ126" s="32"/>
      <c r="ER126" s="33"/>
      <c r="ES126" s="32"/>
      <c r="ET126" s="159">
        <f>SUM(ET6:ET85)</f>
        <v>1223</v>
      </c>
      <c r="EU126" s="32"/>
      <c r="EV126" s="33"/>
      <c r="EW126" s="32"/>
      <c r="EX126" s="159">
        <f>SUM(EX6:EX85)</f>
        <v>1307</v>
      </c>
      <c r="EY126" s="32"/>
      <c r="EZ126" s="33"/>
      <c r="FA126" s="32"/>
      <c r="FB126" s="159">
        <f>SUM(FB6:FB85)</f>
        <v>1287</v>
      </c>
      <c r="FC126" s="32"/>
      <c r="FD126" s="33"/>
      <c r="FE126" s="32"/>
      <c r="FF126" s="159">
        <f>SUM(FF6:FF85)</f>
        <v>1263</v>
      </c>
      <c r="FG126" s="33"/>
      <c r="FH126" s="33"/>
      <c r="FI126" s="32"/>
      <c r="FJ126" s="159">
        <f>SUM(FJ6:FJ85)</f>
        <v>1263</v>
      </c>
      <c r="FK126" s="34"/>
      <c r="FL126" s="33"/>
      <c r="FM126" s="32"/>
      <c r="FN126" s="159">
        <f>SUM(FN6:FN85)</f>
        <v>1263</v>
      </c>
      <c r="FO126" s="35"/>
      <c r="FP126" s="33"/>
      <c r="FQ126" s="33"/>
      <c r="FR126" s="33"/>
      <c r="FS126" s="32"/>
      <c r="FT126" s="32"/>
      <c r="FU126" s="33"/>
      <c r="FV126" s="33"/>
      <c r="FW126" s="32"/>
      <c r="FX126" s="32"/>
      <c r="FY126" s="33"/>
      <c r="FZ126" s="33"/>
      <c r="GA126" s="32"/>
      <c r="GB126" s="32"/>
      <c r="GC126" s="33"/>
      <c r="GD126" s="33"/>
      <c r="GE126" s="32"/>
      <c r="GF126" s="32"/>
      <c r="GG126" s="32"/>
      <c r="GH126" s="33"/>
      <c r="GI126" s="32"/>
      <c r="GJ126" s="32"/>
      <c r="GK126" s="33"/>
      <c r="GL126" s="33"/>
      <c r="GM126" s="32"/>
      <c r="GN126" s="32"/>
      <c r="GO126" s="32"/>
      <c r="GP126" s="33"/>
      <c r="GQ126" s="32"/>
      <c r="GR126" s="32"/>
      <c r="GS126" s="32"/>
      <c r="GT126" s="33"/>
      <c r="GU126" s="32"/>
      <c r="GV126" s="32"/>
      <c r="GW126" s="32"/>
      <c r="GX126" s="33"/>
      <c r="GY126" s="32"/>
      <c r="GZ126" s="32"/>
      <c r="HA126" s="32"/>
      <c r="HB126" s="33"/>
      <c r="HC126" s="32"/>
      <c r="HD126" s="32"/>
      <c r="HE126" s="33"/>
      <c r="HF126" s="33"/>
      <c r="HG126" s="32"/>
      <c r="HH126" s="32"/>
      <c r="HI126" s="34"/>
      <c r="HJ126" s="33"/>
      <c r="HK126" s="32"/>
      <c r="HL126" s="32"/>
      <c r="HM126" s="35"/>
      <c r="HN126" s="33"/>
      <c r="HO126" s="33"/>
      <c r="HP126" s="33"/>
      <c r="HQ126" s="32"/>
      <c r="HR126" s="32"/>
      <c r="HS126" s="33"/>
      <c r="HT126" s="33"/>
      <c r="HU126" s="32"/>
      <c r="HV126" s="32"/>
      <c r="HW126" s="33"/>
      <c r="HX126" s="33"/>
      <c r="HY126" s="32"/>
      <c r="HZ126" s="32"/>
      <c r="IA126" s="33"/>
      <c r="IB126" s="33"/>
      <c r="IC126" s="32"/>
      <c r="ID126" s="32"/>
      <c r="IE126" s="32"/>
      <c r="IF126" s="33"/>
      <c r="IG126" s="32"/>
      <c r="IH126" s="32"/>
      <c r="II126" s="33"/>
      <c r="IJ126" s="33"/>
      <c r="IK126" s="32"/>
      <c r="IL126" s="32"/>
      <c r="IM126" s="32"/>
      <c r="IN126" s="33"/>
      <c r="IO126" s="32"/>
      <c r="IP126" s="32"/>
      <c r="IQ126" s="32"/>
      <c r="IR126" s="33"/>
      <c r="IS126" s="32"/>
      <c r="IT126" s="32"/>
      <c r="IU126" s="32"/>
      <c r="IV126" s="33"/>
      <c r="IW126" s="32"/>
      <c r="IX126" s="32"/>
      <c r="IY126" s="32"/>
      <c r="IZ126" s="33"/>
      <c r="JA126" s="32"/>
      <c r="JB126" s="32"/>
      <c r="JC126" s="33"/>
      <c r="JD126" s="33"/>
      <c r="JE126" s="32"/>
      <c r="JF126" s="32"/>
      <c r="JG126" s="34"/>
      <c r="JH126" s="33"/>
      <c r="JI126" s="32"/>
      <c r="JJ126" s="32"/>
      <c r="JK126" s="35"/>
      <c r="JL126" s="33"/>
      <c r="JM126" s="33"/>
      <c r="JN126" s="33"/>
    </row>
    <row r="127" spans="1:274">
      <c r="G127" s="160"/>
    </row>
    <row r="128" spans="1:274">
      <c r="G128" s="160"/>
      <c r="BW128" s="161"/>
      <c r="CB128" s="161"/>
    </row>
    <row r="129" spans="7:90">
      <c r="G129" s="160"/>
    </row>
    <row r="130" spans="7:90">
      <c r="G130" s="160"/>
    </row>
    <row r="131" spans="7:90">
      <c r="G131" s="160"/>
      <c r="CJ131" s="162">
        <v>15941.95</v>
      </c>
      <c r="CK131" s="1">
        <f t="shared" ref="CK131:CK138" si="185">CJ131*0.8</f>
        <v>12753.560000000001</v>
      </c>
      <c r="CL131" s="1">
        <f t="shared" ref="CL131:CL138" si="186">CK131/10.91</f>
        <v>1168.9789184234648</v>
      </c>
    </row>
    <row r="132" spans="7:90">
      <c r="G132" s="160"/>
      <c r="CJ132" s="162">
        <v>5953.36</v>
      </c>
      <c r="CK132" s="1">
        <f t="shared" si="185"/>
        <v>4762.6880000000001</v>
      </c>
      <c r="CL132" s="1">
        <f t="shared" si="186"/>
        <v>436.54335472043999</v>
      </c>
    </row>
    <row r="133" spans="7:90">
      <c r="G133" s="160"/>
      <c r="CJ133" s="162">
        <v>11039.01</v>
      </c>
      <c r="CK133" s="1">
        <f t="shared" si="185"/>
        <v>8831.2080000000005</v>
      </c>
      <c r="CL133" s="1">
        <f t="shared" si="186"/>
        <v>809.45994500458301</v>
      </c>
    </row>
    <row r="134" spans="7:90">
      <c r="G134" s="160"/>
      <c r="CJ134" s="162">
        <v>4250.55</v>
      </c>
      <c r="CK134" s="1">
        <f t="shared" si="185"/>
        <v>3400.4400000000005</v>
      </c>
      <c r="CL134" s="1">
        <f t="shared" si="186"/>
        <v>311.68102658111826</v>
      </c>
    </row>
    <row r="135" spans="7:90">
      <c r="G135" s="160"/>
      <c r="CJ135" s="162">
        <v>9874.77</v>
      </c>
      <c r="CK135" s="1">
        <f t="shared" si="185"/>
        <v>7899.8160000000007</v>
      </c>
      <c r="CL135" s="1">
        <f t="shared" si="186"/>
        <v>724.08945921173245</v>
      </c>
    </row>
    <row r="136" spans="7:90">
      <c r="G136" s="160"/>
      <c r="CJ136" s="162">
        <v>4319.08</v>
      </c>
      <c r="CK136" s="1">
        <f t="shared" si="185"/>
        <v>3455.2640000000001</v>
      </c>
      <c r="CL136" s="1">
        <f t="shared" si="186"/>
        <v>316.70614115490378</v>
      </c>
    </row>
    <row r="137" spans="7:90">
      <c r="G137" s="160"/>
      <c r="CJ137" s="162">
        <v>1146.93</v>
      </c>
      <c r="CK137" s="1">
        <f t="shared" si="185"/>
        <v>917.5440000000001</v>
      </c>
      <c r="CL137" s="1">
        <f t="shared" si="186"/>
        <v>84.101191567369398</v>
      </c>
    </row>
    <row r="138" spans="7:90">
      <c r="G138" s="160"/>
      <c r="CJ138" s="162">
        <v>4323.13</v>
      </c>
      <c r="CK138" s="1">
        <f t="shared" si="185"/>
        <v>3458.5040000000004</v>
      </c>
      <c r="CL138" s="1">
        <f t="shared" si="186"/>
        <v>317.00311640696611</v>
      </c>
    </row>
    <row r="139" spans="7:90">
      <c r="G139" s="160"/>
    </row>
    <row r="140" spans="7:90">
      <c r="G140" s="160"/>
    </row>
    <row r="141" spans="7:90">
      <c r="G141" s="163"/>
    </row>
    <row r="142" spans="7:90">
      <c r="G142" s="163"/>
    </row>
    <row r="143" spans="7:90">
      <c r="G143" s="163"/>
    </row>
  </sheetData>
  <sheetProtection formatCells="0" formatColumns="0" formatRows="0" insertColumns="0" insertRows="0" insertHyperlinks="0" deleteColumns="0" deleteRows="0" sort="0" autoFilter="0" pivotTables="0"/>
  <autoFilter ref="A5:GD126" xr:uid="{00000000-0009-0000-0000-000000000000}"/>
  <mergeCells count="87">
    <mergeCell ref="M3:BJ3"/>
    <mergeCell ref="BK3:DT3"/>
    <mergeCell ref="DU3:FR3"/>
    <mergeCell ref="FS3:HP3"/>
    <mergeCell ref="HQ3:JN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O4"/>
    <mergeCell ref="Q4:S4"/>
    <mergeCell ref="U4:W4"/>
    <mergeCell ref="Y4:AA4"/>
    <mergeCell ref="AC4:AE4"/>
    <mergeCell ref="AG4:AI4"/>
    <mergeCell ref="AK4:AM4"/>
    <mergeCell ref="AO4:AQ4"/>
    <mergeCell ref="AS4:AU4"/>
    <mergeCell ref="AW4:AY4"/>
    <mergeCell ref="BA4:BC4"/>
    <mergeCell ref="BE4:BG4"/>
    <mergeCell ref="BI4:BJ4"/>
    <mergeCell ref="BK4:BN4"/>
    <mergeCell ref="BP4:BS4"/>
    <mergeCell ref="BU4:BX4"/>
    <mergeCell ref="BZ4:CC4"/>
    <mergeCell ref="CE4:CH4"/>
    <mergeCell ref="CJ4:CM4"/>
    <mergeCell ref="CO4:CR4"/>
    <mergeCell ref="CT4:CW4"/>
    <mergeCell ref="CY4:DB4"/>
    <mergeCell ref="DD4:DG4"/>
    <mergeCell ref="DI4:DL4"/>
    <mergeCell ref="DN4:DQ4"/>
    <mergeCell ref="DS4:DT4"/>
    <mergeCell ref="DU4:DW4"/>
    <mergeCell ref="DY4:EA4"/>
    <mergeCell ref="EC4:EE4"/>
    <mergeCell ref="EG4:EI4"/>
    <mergeCell ref="EK4:EM4"/>
    <mergeCell ref="EO4:EQ4"/>
    <mergeCell ref="ES4:EU4"/>
    <mergeCell ref="EW4:EY4"/>
    <mergeCell ref="FA4:FC4"/>
    <mergeCell ref="FE4:FG4"/>
    <mergeCell ref="FI4:FK4"/>
    <mergeCell ref="FM4:FO4"/>
    <mergeCell ref="FQ4:FR4"/>
    <mergeCell ref="FS4:FU4"/>
    <mergeCell ref="FW4:FY4"/>
    <mergeCell ref="GA4:GC4"/>
    <mergeCell ref="GE4:GG4"/>
    <mergeCell ref="GI4:GK4"/>
    <mergeCell ref="GM4:GO4"/>
    <mergeCell ref="GQ4:GS4"/>
    <mergeCell ref="GU4:GW4"/>
    <mergeCell ref="GY4:HA4"/>
    <mergeCell ref="IK4:IM4"/>
    <mergeCell ref="HC4:HE4"/>
    <mergeCell ref="HG4:HI4"/>
    <mergeCell ref="HK4:HM4"/>
    <mergeCell ref="HO4:HP4"/>
    <mergeCell ref="HQ4:HS4"/>
    <mergeCell ref="JI4:JK4"/>
    <mergeCell ref="JM4:JN4"/>
    <mergeCell ref="A6:A109"/>
    <mergeCell ref="B6:B65"/>
    <mergeCell ref="C6:C65"/>
    <mergeCell ref="D6:D116"/>
    <mergeCell ref="AJ6:AJ47"/>
    <mergeCell ref="IO4:IQ4"/>
    <mergeCell ref="IS4:IU4"/>
    <mergeCell ref="IW4:IY4"/>
    <mergeCell ref="JA4:JC4"/>
    <mergeCell ref="JE4:JG4"/>
    <mergeCell ref="HU4:HW4"/>
    <mergeCell ref="HY4:IA4"/>
    <mergeCell ref="IC4:IE4"/>
    <mergeCell ref="IG4:II4"/>
  </mergeCells>
  <conditionalFormatting sqref="G126:G1048576 G75 G1:G69 G77:G82 G85:G12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T66"/>
  <sheetViews>
    <sheetView workbookViewId="0">
      <selection activeCell="Q3" sqref="Q3:Q66"/>
    </sheetView>
  </sheetViews>
  <sheetFormatPr defaultColWidth="10" defaultRowHeight="14.4"/>
  <cols>
    <col min="7" max="7" width="9.109375" style="58"/>
    <col min="8" max="8" width="9.5546875" bestFit="1" customWidth="1"/>
    <col min="20" max="20" width="9.5546875" bestFit="1" customWidth="1"/>
  </cols>
  <sheetData>
    <row r="3" spans="2:20" ht="18">
      <c r="B3" s="41">
        <v>5</v>
      </c>
      <c r="C3" s="58">
        <f t="shared" ref="C3:C34" si="0">B3*0.4</f>
        <v>2</v>
      </c>
      <c r="F3" s="41">
        <v>5</v>
      </c>
      <c r="G3" s="58">
        <f t="shared" ref="G3:G20" si="1">F3/0.8</f>
        <v>6.25</v>
      </c>
      <c r="H3" s="58">
        <v>3</v>
      </c>
      <c r="N3" s="58">
        <v>6.25</v>
      </c>
      <c r="O3" s="58">
        <f t="shared" ref="O3:O34" si="2">N3*0.87</f>
        <v>5.4375</v>
      </c>
      <c r="P3" s="58">
        <v>5.4375</v>
      </c>
      <c r="Q3" s="58">
        <f t="shared" ref="Q3:Q34" si="3">N3*1.1</f>
        <v>6.8750000000000009</v>
      </c>
      <c r="T3" s="58">
        <v>3</v>
      </c>
    </row>
    <row r="4" spans="2:20" ht="18">
      <c r="B4" s="41">
        <v>25</v>
      </c>
      <c r="C4" s="58">
        <f t="shared" si="0"/>
        <v>10</v>
      </c>
      <c r="F4" s="41">
        <v>15</v>
      </c>
      <c r="G4" s="58">
        <f t="shared" si="1"/>
        <v>18.75</v>
      </c>
      <c r="H4" s="58">
        <f t="shared" ref="H4:H35" si="4">F4/1.1</f>
        <v>13.636363636363635</v>
      </c>
      <c r="N4" s="58">
        <v>18.75</v>
      </c>
      <c r="O4" s="58">
        <f t="shared" si="2"/>
        <v>16.3125</v>
      </c>
      <c r="P4" s="58">
        <v>16.3125</v>
      </c>
      <c r="Q4" s="58">
        <f t="shared" si="3"/>
        <v>20.625</v>
      </c>
      <c r="T4" s="58">
        <v>13.636363636363635</v>
      </c>
    </row>
    <row r="5" spans="2:20" ht="18">
      <c r="B5" s="41">
        <v>25</v>
      </c>
      <c r="C5" s="58">
        <f t="shared" si="0"/>
        <v>10</v>
      </c>
      <c r="F5" s="41">
        <v>15</v>
      </c>
      <c r="G5" s="58">
        <f t="shared" si="1"/>
        <v>18.75</v>
      </c>
      <c r="H5" s="58">
        <f t="shared" si="4"/>
        <v>13.636363636363635</v>
      </c>
      <c r="N5" s="58">
        <v>18.75</v>
      </c>
      <c r="O5" s="58">
        <f t="shared" si="2"/>
        <v>16.3125</v>
      </c>
      <c r="P5" s="58">
        <v>16.3125</v>
      </c>
      <c r="Q5" s="58">
        <f t="shared" si="3"/>
        <v>20.625</v>
      </c>
      <c r="T5" s="58">
        <v>13.636363636363635</v>
      </c>
    </row>
    <row r="6" spans="2:20" ht="18">
      <c r="B6" s="41">
        <v>10</v>
      </c>
      <c r="C6" s="58">
        <f t="shared" si="0"/>
        <v>4</v>
      </c>
      <c r="F6" s="41">
        <v>10</v>
      </c>
      <c r="G6" s="58">
        <f t="shared" si="1"/>
        <v>12.5</v>
      </c>
      <c r="H6" s="58">
        <f t="shared" si="4"/>
        <v>9.0909090909090899</v>
      </c>
      <c r="N6" s="58">
        <v>12.5</v>
      </c>
      <c r="O6" s="58">
        <f t="shared" si="2"/>
        <v>10.875</v>
      </c>
      <c r="P6" s="58">
        <v>10.875</v>
      </c>
      <c r="Q6" s="58">
        <f t="shared" si="3"/>
        <v>13.750000000000002</v>
      </c>
      <c r="T6" s="58">
        <v>9.0909090909090899</v>
      </c>
    </row>
    <row r="7" spans="2:20" ht="18">
      <c r="B7" s="41">
        <v>0</v>
      </c>
      <c r="C7" s="58">
        <f t="shared" si="0"/>
        <v>0</v>
      </c>
      <c r="F7" s="41">
        <v>0</v>
      </c>
      <c r="G7" s="58">
        <f t="shared" si="1"/>
        <v>0</v>
      </c>
      <c r="H7" s="58">
        <f t="shared" si="4"/>
        <v>0</v>
      </c>
      <c r="N7" s="58">
        <v>0</v>
      </c>
      <c r="O7" s="58">
        <f t="shared" si="2"/>
        <v>0</v>
      </c>
      <c r="P7" s="58">
        <v>0</v>
      </c>
      <c r="Q7" s="58">
        <f t="shared" si="3"/>
        <v>0</v>
      </c>
      <c r="T7" s="58">
        <v>0</v>
      </c>
    </row>
    <row r="8" spans="2:20" ht="18">
      <c r="B8" s="41">
        <v>0</v>
      </c>
      <c r="C8" s="58">
        <f t="shared" si="0"/>
        <v>0</v>
      </c>
      <c r="F8" s="41">
        <v>0</v>
      </c>
      <c r="G8" s="58">
        <f t="shared" si="1"/>
        <v>0</v>
      </c>
      <c r="H8" s="58">
        <f t="shared" si="4"/>
        <v>0</v>
      </c>
      <c r="N8" s="58">
        <v>0</v>
      </c>
      <c r="O8" s="58">
        <f t="shared" si="2"/>
        <v>0</v>
      </c>
      <c r="P8" s="58">
        <v>0</v>
      </c>
      <c r="Q8" s="58">
        <f t="shared" si="3"/>
        <v>0</v>
      </c>
      <c r="T8" s="58">
        <v>0</v>
      </c>
    </row>
    <row r="9" spans="2:20" ht="18">
      <c r="B9" s="41">
        <v>200</v>
      </c>
      <c r="C9" s="58">
        <f t="shared" si="0"/>
        <v>80</v>
      </c>
      <c r="F9" s="41">
        <v>200</v>
      </c>
      <c r="G9" s="58">
        <f t="shared" si="1"/>
        <v>250</v>
      </c>
      <c r="H9" s="58">
        <f t="shared" si="4"/>
        <v>181.81818181818181</v>
      </c>
      <c r="N9" s="58">
        <v>250</v>
      </c>
      <c r="O9" s="58">
        <f t="shared" si="2"/>
        <v>217.5</v>
      </c>
      <c r="P9" s="58">
        <v>217.5</v>
      </c>
      <c r="Q9" s="58">
        <f t="shared" si="3"/>
        <v>275</v>
      </c>
      <c r="T9" s="58">
        <v>181.81818181818181</v>
      </c>
    </row>
    <row r="10" spans="2:20" ht="18">
      <c r="B10" s="41">
        <v>50</v>
      </c>
      <c r="C10" s="58">
        <f t="shared" si="0"/>
        <v>20</v>
      </c>
      <c r="F10" s="41">
        <v>50</v>
      </c>
      <c r="G10" s="58">
        <f t="shared" si="1"/>
        <v>62.5</v>
      </c>
      <c r="H10" s="58">
        <f t="shared" si="4"/>
        <v>45.454545454545453</v>
      </c>
      <c r="N10" s="58">
        <v>62.5</v>
      </c>
      <c r="O10" s="58">
        <f t="shared" si="2"/>
        <v>54.375</v>
      </c>
      <c r="P10" s="58">
        <v>54.375</v>
      </c>
      <c r="Q10" s="58">
        <f t="shared" si="3"/>
        <v>68.75</v>
      </c>
      <c r="T10" s="58">
        <v>45.454545454545453</v>
      </c>
    </row>
    <row r="11" spans="2:20" ht="18">
      <c r="B11" s="41">
        <v>10</v>
      </c>
      <c r="C11" s="58">
        <f t="shared" si="0"/>
        <v>4</v>
      </c>
      <c r="F11" s="41">
        <v>10</v>
      </c>
      <c r="G11" s="58">
        <f t="shared" si="1"/>
        <v>12.5</v>
      </c>
      <c r="H11" s="58">
        <f t="shared" si="4"/>
        <v>9.0909090909090899</v>
      </c>
      <c r="N11" s="58">
        <v>12.5</v>
      </c>
      <c r="O11" s="58">
        <f t="shared" si="2"/>
        <v>10.875</v>
      </c>
      <c r="P11" s="58">
        <v>10.875</v>
      </c>
      <c r="Q11" s="58">
        <f t="shared" si="3"/>
        <v>13.750000000000002</v>
      </c>
      <c r="T11" s="58">
        <v>9.0909090909090899</v>
      </c>
    </row>
    <row r="12" spans="2:20" ht="18">
      <c r="B12" s="41">
        <v>4</v>
      </c>
      <c r="C12" s="58">
        <f t="shared" si="0"/>
        <v>1.6</v>
      </c>
      <c r="F12" s="41">
        <v>2</v>
      </c>
      <c r="G12" s="58">
        <f t="shared" si="1"/>
        <v>2.5</v>
      </c>
      <c r="H12" s="58">
        <f t="shared" si="4"/>
        <v>1.8181818181818181</v>
      </c>
      <c r="N12" s="58">
        <v>2.5</v>
      </c>
      <c r="O12" s="58">
        <f t="shared" si="2"/>
        <v>2.1749999999999998</v>
      </c>
      <c r="P12" s="58">
        <v>2.1749999999999998</v>
      </c>
      <c r="Q12" s="58">
        <f t="shared" si="3"/>
        <v>2.75</v>
      </c>
      <c r="T12" s="58">
        <v>1.8181818181818181</v>
      </c>
    </row>
    <row r="13" spans="2:20" ht="18">
      <c r="B13" s="41">
        <v>35</v>
      </c>
      <c r="C13" s="58">
        <f t="shared" si="0"/>
        <v>14</v>
      </c>
      <c r="F13" s="41">
        <v>35</v>
      </c>
      <c r="G13" s="58">
        <f t="shared" si="1"/>
        <v>43.75</v>
      </c>
      <c r="H13" s="58">
        <f t="shared" si="4"/>
        <v>31.818181818181817</v>
      </c>
      <c r="N13" s="58">
        <v>43.75</v>
      </c>
      <c r="O13" s="58">
        <f t="shared" si="2"/>
        <v>38.0625</v>
      </c>
      <c r="P13" s="58">
        <v>38.0625</v>
      </c>
      <c r="Q13" s="58">
        <f t="shared" si="3"/>
        <v>48.125000000000007</v>
      </c>
      <c r="T13" s="58">
        <v>31.818181818181817</v>
      </c>
    </row>
    <row r="14" spans="2:20" ht="18">
      <c r="B14" s="41">
        <v>12</v>
      </c>
      <c r="C14" s="58">
        <f t="shared" si="0"/>
        <v>4.8000000000000007</v>
      </c>
      <c r="F14" s="41">
        <v>8</v>
      </c>
      <c r="G14" s="58">
        <f t="shared" si="1"/>
        <v>10</v>
      </c>
      <c r="H14" s="58">
        <f t="shared" si="4"/>
        <v>7.2727272727272725</v>
      </c>
      <c r="N14" s="58">
        <v>10</v>
      </c>
      <c r="O14" s="58">
        <f t="shared" si="2"/>
        <v>8.6999999999999993</v>
      </c>
      <c r="P14" s="58">
        <v>8.6999999999999993</v>
      </c>
      <c r="Q14" s="58">
        <f t="shared" si="3"/>
        <v>11</v>
      </c>
      <c r="T14" s="58">
        <v>7.2727272727272725</v>
      </c>
    </row>
    <row r="15" spans="2:20" ht="18">
      <c r="B15" s="41">
        <v>12</v>
      </c>
      <c r="C15" s="58">
        <f t="shared" si="0"/>
        <v>4.8000000000000007</v>
      </c>
      <c r="F15" s="41">
        <v>8</v>
      </c>
      <c r="G15" s="58">
        <f t="shared" si="1"/>
        <v>10</v>
      </c>
      <c r="H15" s="58">
        <f t="shared" si="4"/>
        <v>7.2727272727272725</v>
      </c>
      <c r="N15" s="58">
        <v>10</v>
      </c>
      <c r="O15" s="58">
        <f t="shared" si="2"/>
        <v>8.6999999999999993</v>
      </c>
      <c r="P15" s="58">
        <v>8.6999999999999993</v>
      </c>
      <c r="Q15" s="58">
        <f t="shared" si="3"/>
        <v>11</v>
      </c>
      <c r="T15" s="58">
        <v>7.2727272727272725</v>
      </c>
    </row>
    <row r="16" spans="2:20" ht="18">
      <c r="B16" s="41">
        <v>12</v>
      </c>
      <c r="C16" s="58">
        <f t="shared" si="0"/>
        <v>4.8000000000000007</v>
      </c>
      <c r="F16" s="41">
        <v>10</v>
      </c>
      <c r="G16" s="58">
        <f t="shared" si="1"/>
        <v>12.5</v>
      </c>
      <c r="H16" s="58">
        <f t="shared" si="4"/>
        <v>9.0909090909090899</v>
      </c>
      <c r="N16" s="58">
        <v>12.5</v>
      </c>
      <c r="O16" s="58">
        <f t="shared" si="2"/>
        <v>10.875</v>
      </c>
      <c r="P16" s="58">
        <v>10.875</v>
      </c>
      <c r="Q16" s="58">
        <f t="shared" si="3"/>
        <v>13.750000000000002</v>
      </c>
      <c r="T16" s="58">
        <v>9.0909090909090899</v>
      </c>
    </row>
    <row r="17" spans="2:20" ht="18">
      <c r="B17" s="41">
        <v>10</v>
      </c>
      <c r="C17" s="58">
        <f t="shared" si="0"/>
        <v>4</v>
      </c>
      <c r="F17" s="41">
        <v>10</v>
      </c>
      <c r="G17" s="58">
        <f t="shared" si="1"/>
        <v>12.5</v>
      </c>
      <c r="H17" s="58">
        <f t="shared" si="4"/>
        <v>9.0909090909090899</v>
      </c>
      <c r="N17" s="58">
        <v>12.5</v>
      </c>
      <c r="O17" s="58">
        <f t="shared" si="2"/>
        <v>10.875</v>
      </c>
      <c r="P17" s="58">
        <v>10.875</v>
      </c>
      <c r="Q17" s="58">
        <f t="shared" si="3"/>
        <v>13.750000000000002</v>
      </c>
      <c r="T17" s="58">
        <v>9.0909090909090899</v>
      </c>
    </row>
    <row r="18" spans="2:20" ht="18">
      <c r="B18" s="41">
        <v>10</v>
      </c>
      <c r="C18" s="58">
        <f t="shared" si="0"/>
        <v>4</v>
      </c>
      <c r="F18" s="41">
        <v>10</v>
      </c>
      <c r="G18" s="58">
        <f t="shared" si="1"/>
        <v>12.5</v>
      </c>
      <c r="H18" s="58">
        <f t="shared" si="4"/>
        <v>9.0909090909090899</v>
      </c>
      <c r="N18" s="58">
        <v>12.5</v>
      </c>
      <c r="O18" s="58">
        <f t="shared" si="2"/>
        <v>10.875</v>
      </c>
      <c r="P18" s="58">
        <v>10.875</v>
      </c>
      <c r="Q18" s="58">
        <f t="shared" si="3"/>
        <v>13.750000000000002</v>
      </c>
      <c r="T18" s="58">
        <v>9.0909090909090899</v>
      </c>
    </row>
    <row r="19" spans="2:20" ht="18">
      <c r="B19" s="41">
        <v>21</v>
      </c>
      <c r="C19" s="58">
        <f t="shared" si="0"/>
        <v>8.4</v>
      </c>
      <c r="F19" s="41">
        <v>21</v>
      </c>
      <c r="G19" s="58">
        <f t="shared" si="1"/>
        <v>26.25</v>
      </c>
      <c r="H19" s="58">
        <f t="shared" si="4"/>
        <v>19.09090909090909</v>
      </c>
      <c r="N19" s="58">
        <v>26.25</v>
      </c>
      <c r="O19" s="58">
        <f t="shared" si="2"/>
        <v>22.837499999999999</v>
      </c>
      <c r="P19" s="58">
        <v>22.837499999999999</v>
      </c>
      <c r="Q19" s="58">
        <f t="shared" si="3"/>
        <v>28.875000000000004</v>
      </c>
      <c r="T19" s="58">
        <v>19.09090909090909</v>
      </c>
    </row>
    <row r="20" spans="2:20" ht="18">
      <c r="B20" s="41">
        <v>53</v>
      </c>
      <c r="C20" s="58">
        <f t="shared" si="0"/>
        <v>21.200000000000003</v>
      </c>
      <c r="F20" s="41">
        <v>40</v>
      </c>
      <c r="G20" s="58">
        <f t="shared" si="1"/>
        <v>50</v>
      </c>
      <c r="H20" s="58">
        <f t="shared" si="4"/>
        <v>36.36363636363636</v>
      </c>
      <c r="N20" s="58">
        <v>50</v>
      </c>
      <c r="O20" s="58">
        <f t="shared" si="2"/>
        <v>43.5</v>
      </c>
      <c r="P20" s="58">
        <v>43.5</v>
      </c>
      <c r="Q20" s="58">
        <f t="shared" si="3"/>
        <v>55.000000000000007</v>
      </c>
      <c r="T20" s="58">
        <v>36.36363636363636</v>
      </c>
    </row>
    <row r="21" spans="2:20" ht="18">
      <c r="B21" s="41">
        <v>1</v>
      </c>
      <c r="C21" s="58">
        <f t="shared" si="0"/>
        <v>0.4</v>
      </c>
      <c r="F21" s="41">
        <v>1</v>
      </c>
      <c r="G21" s="58">
        <v>2</v>
      </c>
      <c r="H21" s="58">
        <f t="shared" si="4"/>
        <v>0.90909090909090906</v>
      </c>
      <c r="N21" s="58">
        <v>2</v>
      </c>
      <c r="O21" s="58">
        <f t="shared" si="2"/>
        <v>1.74</v>
      </c>
      <c r="P21" s="58">
        <v>1.74</v>
      </c>
      <c r="Q21" s="58">
        <f t="shared" si="3"/>
        <v>2.2000000000000002</v>
      </c>
      <c r="T21" s="58">
        <v>0.90909090909090906</v>
      </c>
    </row>
    <row r="22" spans="2:20" ht="18">
      <c r="B22" s="41">
        <v>4</v>
      </c>
      <c r="C22" s="58">
        <f t="shared" si="0"/>
        <v>1.6</v>
      </c>
      <c r="F22" s="41">
        <v>4</v>
      </c>
      <c r="G22" s="58">
        <f t="shared" ref="G22:G59" si="5">F22/0.8</f>
        <v>5</v>
      </c>
      <c r="H22" s="58">
        <f t="shared" si="4"/>
        <v>3.6363636363636362</v>
      </c>
      <c r="N22" s="58">
        <v>5</v>
      </c>
      <c r="O22" s="58">
        <f t="shared" si="2"/>
        <v>4.3499999999999996</v>
      </c>
      <c r="P22" s="58">
        <v>4.3499999999999996</v>
      </c>
      <c r="Q22" s="58">
        <f t="shared" si="3"/>
        <v>5.5</v>
      </c>
      <c r="T22" s="58">
        <v>3.6363636363636362</v>
      </c>
    </row>
    <row r="23" spans="2:20" ht="18">
      <c r="B23" s="41">
        <v>20</v>
      </c>
      <c r="C23" s="58">
        <f t="shared" si="0"/>
        <v>8</v>
      </c>
      <c r="F23" s="41">
        <v>20</v>
      </c>
      <c r="G23" s="58">
        <f t="shared" si="5"/>
        <v>25</v>
      </c>
      <c r="H23" s="58">
        <f t="shared" si="4"/>
        <v>18.18181818181818</v>
      </c>
      <c r="N23" s="58">
        <v>25</v>
      </c>
      <c r="O23" s="58">
        <f t="shared" si="2"/>
        <v>21.75</v>
      </c>
      <c r="P23" s="58">
        <v>21.75</v>
      </c>
      <c r="Q23" s="58">
        <f t="shared" si="3"/>
        <v>27.500000000000004</v>
      </c>
      <c r="T23" s="58">
        <v>18.18181818181818</v>
      </c>
    </row>
    <row r="24" spans="2:20" ht="18">
      <c r="B24" s="41">
        <v>20</v>
      </c>
      <c r="C24" s="58">
        <f t="shared" si="0"/>
        <v>8</v>
      </c>
      <c r="F24" s="41">
        <v>20</v>
      </c>
      <c r="G24" s="58">
        <f t="shared" si="5"/>
        <v>25</v>
      </c>
      <c r="H24" s="58">
        <f t="shared" si="4"/>
        <v>18.18181818181818</v>
      </c>
      <c r="N24" s="58">
        <v>25</v>
      </c>
      <c r="O24" s="58">
        <f t="shared" si="2"/>
        <v>21.75</v>
      </c>
      <c r="P24" s="58">
        <v>21.75</v>
      </c>
      <c r="Q24" s="58">
        <f t="shared" si="3"/>
        <v>27.500000000000004</v>
      </c>
      <c r="T24" s="58">
        <v>18.18181818181818</v>
      </c>
    </row>
    <row r="25" spans="2:20" ht="18">
      <c r="B25" s="41">
        <v>6</v>
      </c>
      <c r="C25" s="58">
        <f t="shared" si="0"/>
        <v>2.4000000000000004</v>
      </c>
      <c r="F25" s="41">
        <v>6</v>
      </c>
      <c r="G25" s="58">
        <f t="shared" si="5"/>
        <v>7.5</v>
      </c>
      <c r="H25" s="58">
        <f t="shared" si="4"/>
        <v>5.4545454545454541</v>
      </c>
      <c r="N25" s="58">
        <v>7.5</v>
      </c>
      <c r="O25" s="58">
        <f t="shared" si="2"/>
        <v>6.5250000000000004</v>
      </c>
      <c r="P25" s="58">
        <v>6.5250000000000004</v>
      </c>
      <c r="Q25" s="58">
        <f t="shared" si="3"/>
        <v>8.25</v>
      </c>
      <c r="T25" s="58">
        <v>5.4545454545454541</v>
      </c>
    </row>
    <row r="26" spans="2:20" ht="18">
      <c r="B26" s="41">
        <v>200</v>
      </c>
      <c r="C26" s="58">
        <f t="shared" si="0"/>
        <v>80</v>
      </c>
      <c r="F26" s="41">
        <v>200</v>
      </c>
      <c r="G26" s="58">
        <f t="shared" si="5"/>
        <v>250</v>
      </c>
      <c r="H26" s="58">
        <f t="shared" si="4"/>
        <v>181.81818181818181</v>
      </c>
      <c r="N26" s="58">
        <v>250</v>
      </c>
      <c r="O26" s="58">
        <f t="shared" si="2"/>
        <v>217.5</v>
      </c>
      <c r="P26" s="58">
        <v>217.5</v>
      </c>
      <c r="Q26" s="58">
        <f t="shared" si="3"/>
        <v>275</v>
      </c>
      <c r="T26" s="58">
        <v>181.81818181818181</v>
      </c>
    </row>
    <row r="27" spans="2:20" ht="18">
      <c r="B27" s="41">
        <v>13</v>
      </c>
      <c r="C27" s="58">
        <f t="shared" si="0"/>
        <v>5.2</v>
      </c>
      <c r="F27" s="41">
        <v>13</v>
      </c>
      <c r="G27" s="58">
        <f t="shared" si="5"/>
        <v>16.25</v>
      </c>
      <c r="H27" s="58">
        <f t="shared" si="4"/>
        <v>11.818181818181817</v>
      </c>
      <c r="N27" s="58">
        <v>16.25</v>
      </c>
      <c r="O27" s="58">
        <f t="shared" si="2"/>
        <v>14.137499999999999</v>
      </c>
      <c r="P27" s="58">
        <v>14.137499999999999</v>
      </c>
      <c r="Q27" s="58">
        <f t="shared" si="3"/>
        <v>17.875</v>
      </c>
      <c r="T27" s="58">
        <v>11.818181818181817</v>
      </c>
    </row>
    <row r="28" spans="2:20" ht="18">
      <c r="B28" s="41">
        <v>8</v>
      </c>
      <c r="C28" s="58">
        <f t="shared" si="0"/>
        <v>3.2</v>
      </c>
      <c r="F28" s="41">
        <v>8</v>
      </c>
      <c r="G28" s="58">
        <f t="shared" si="5"/>
        <v>10</v>
      </c>
      <c r="H28" s="58">
        <f t="shared" si="4"/>
        <v>7.2727272727272725</v>
      </c>
      <c r="N28" s="58">
        <v>10</v>
      </c>
      <c r="O28" s="58">
        <f t="shared" si="2"/>
        <v>8.6999999999999993</v>
      </c>
      <c r="P28" s="58">
        <v>8.6999999999999993</v>
      </c>
      <c r="Q28" s="58">
        <f t="shared" si="3"/>
        <v>11</v>
      </c>
      <c r="T28" s="58">
        <v>7.2727272727272725</v>
      </c>
    </row>
    <row r="29" spans="2:20" ht="18">
      <c r="B29" s="41">
        <v>12</v>
      </c>
      <c r="C29" s="58">
        <f t="shared" si="0"/>
        <v>4.8000000000000007</v>
      </c>
      <c r="F29" s="41">
        <v>12</v>
      </c>
      <c r="G29" s="58">
        <f t="shared" si="5"/>
        <v>15</v>
      </c>
      <c r="H29" s="58">
        <f t="shared" si="4"/>
        <v>10.909090909090908</v>
      </c>
      <c r="N29" s="58">
        <v>15</v>
      </c>
      <c r="O29" s="58">
        <f t="shared" si="2"/>
        <v>13.05</v>
      </c>
      <c r="P29" s="58">
        <v>13.05</v>
      </c>
      <c r="Q29" s="58">
        <f t="shared" si="3"/>
        <v>16.5</v>
      </c>
      <c r="T29" s="58">
        <v>10.909090909090908</v>
      </c>
    </row>
    <row r="30" spans="2:20" ht="18">
      <c r="B30" s="41">
        <v>11</v>
      </c>
      <c r="C30" s="58">
        <f t="shared" si="0"/>
        <v>4.4000000000000004</v>
      </c>
      <c r="F30" s="41">
        <v>11</v>
      </c>
      <c r="G30" s="58">
        <f t="shared" si="5"/>
        <v>13.75</v>
      </c>
      <c r="H30" s="58">
        <f t="shared" si="4"/>
        <v>10</v>
      </c>
      <c r="N30" s="58">
        <v>13.75</v>
      </c>
      <c r="O30" s="58">
        <f t="shared" si="2"/>
        <v>11.9625</v>
      </c>
      <c r="P30" s="58">
        <v>11.9625</v>
      </c>
      <c r="Q30" s="58">
        <f t="shared" si="3"/>
        <v>15.125000000000002</v>
      </c>
      <c r="T30" s="58">
        <v>10</v>
      </c>
    </row>
    <row r="31" spans="2:20" ht="18">
      <c r="B31" s="41">
        <v>8</v>
      </c>
      <c r="C31" s="58">
        <f t="shared" si="0"/>
        <v>3.2</v>
      </c>
      <c r="F31" s="41">
        <v>8</v>
      </c>
      <c r="G31" s="58">
        <f t="shared" si="5"/>
        <v>10</v>
      </c>
      <c r="H31" s="58">
        <f t="shared" si="4"/>
        <v>7.2727272727272725</v>
      </c>
      <c r="N31" s="58">
        <v>10</v>
      </c>
      <c r="O31" s="58">
        <f t="shared" si="2"/>
        <v>8.6999999999999993</v>
      </c>
      <c r="P31" s="58">
        <v>8.6999999999999993</v>
      </c>
      <c r="Q31" s="58">
        <f t="shared" si="3"/>
        <v>11</v>
      </c>
      <c r="T31" s="58">
        <v>7.2727272727272725</v>
      </c>
    </row>
    <row r="32" spans="2:20" ht="18">
      <c r="B32" s="41">
        <v>9</v>
      </c>
      <c r="C32" s="58">
        <f t="shared" si="0"/>
        <v>3.6</v>
      </c>
      <c r="F32" s="41">
        <v>9</v>
      </c>
      <c r="G32" s="58">
        <f t="shared" si="5"/>
        <v>11.25</v>
      </c>
      <c r="H32" s="58">
        <f t="shared" si="4"/>
        <v>8.1818181818181817</v>
      </c>
      <c r="N32" s="58">
        <v>11.25</v>
      </c>
      <c r="O32" s="58">
        <f t="shared" si="2"/>
        <v>9.7874999999999996</v>
      </c>
      <c r="P32" s="58">
        <v>9.7874999999999996</v>
      </c>
      <c r="Q32" s="58">
        <f t="shared" si="3"/>
        <v>12.375000000000002</v>
      </c>
      <c r="T32" s="58">
        <v>8.1818181818181817</v>
      </c>
    </row>
    <row r="33" spans="2:20" ht="18">
      <c r="B33" s="41">
        <v>2</v>
      </c>
      <c r="C33" s="58">
        <f t="shared" si="0"/>
        <v>0.8</v>
      </c>
      <c r="F33" s="41">
        <v>2</v>
      </c>
      <c r="G33" s="58">
        <f t="shared" si="5"/>
        <v>2.5</v>
      </c>
      <c r="H33" s="58">
        <f t="shared" si="4"/>
        <v>1.8181818181818181</v>
      </c>
      <c r="N33" s="58">
        <v>2.5</v>
      </c>
      <c r="O33" s="58">
        <f t="shared" si="2"/>
        <v>2.1749999999999998</v>
      </c>
      <c r="P33" s="58">
        <v>2.1749999999999998</v>
      </c>
      <c r="Q33" s="58">
        <f t="shared" si="3"/>
        <v>2.75</v>
      </c>
      <c r="T33" s="58">
        <v>1.8181818181818181</v>
      </c>
    </row>
    <row r="34" spans="2:20" ht="18">
      <c r="B34" s="41">
        <v>20</v>
      </c>
      <c r="C34" s="58">
        <f t="shared" si="0"/>
        <v>8</v>
      </c>
      <c r="F34" s="41">
        <v>20</v>
      </c>
      <c r="G34" s="58">
        <f t="shared" si="5"/>
        <v>25</v>
      </c>
      <c r="H34" s="58">
        <f t="shared" si="4"/>
        <v>18.18181818181818</v>
      </c>
      <c r="N34" s="58">
        <v>25</v>
      </c>
      <c r="O34" s="58">
        <f t="shared" si="2"/>
        <v>21.75</v>
      </c>
      <c r="P34" s="58">
        <v>21.75</v>
      </c>
      <c r="Q34" s="58">
        <f t="shared" si="3"/>
        <v>27.500000000000004</v>
      </c>
      <c r="T34" s="58">
        <v>18.18181818181818</v>
      </c>
    </row>
    <row r="35" spans="2:20" ht="18">
      <c r="B35" s="41">
        <v>3</v>
      </c>
      <c r="C35" s="58">
        <f t="shared" ref="C35:C60" si="6">B35*0.4</f>
        <v>1.2000000000000002</v>
      </c>
      <c r="F35" s="41">
        <v>3</v>
      </c>
      <c r="G35" s="58">
        <f t="shared" si="5"/>
        <v>3.75</v>
      </c>
      <c r="H35" s="58">
        <f t="shared" si="4"/>
        <v>2.7272727272727271</v>
      </c>
      <c r="N35" s="58">
        <v>3.75</v>
      </c>
      <c r="O35" s="58">
        <f t="shared" ref="O35:O66" si="7">N35*0.87</f>
        <v>3.2625000000000002</v>
      </c>
      <c r="P35" s="58">
        <v>3.2625000000000002</v>
      </c>
      <c r="Q35" s="58">
        <f t="shared" ref="Q35:Q66" si="8">N35*1.1</f>
        <v>4.125</v>
      </c>
      <c r="T35" s="58">
        <v>2.7272727272727271</v>
      </c>
    </row>
    <row r="36" spans="2:20" ht="18">
      <c r="B36" s="41">
        <v>6</v>
      </c>
      <c r="C36" s="58">
        <f t="shared" si="6"/>
        <v>2.4000000000000004</v>
      </c>
      <c r="F36" s="41">
        <v>6</v>
      </c>
      <c r="G36" s="58">
        <f t="shared" si="5"/>
        <v>7.5</v>
      </c>
      <c r="H36" s="58">
        <f t="shared" ref="H36:H62" si="9">F36/1.1</f>
        <v>5.4545454545454541</v>
      </c>
      <c r="N36" s="58">
        <v>7.5</v>
      </c>
      <c r="O36" s="58">
        <f t="shared" si="7"/>
        <v>6.5250000000000004</v>
      </c>
      <c r="P36" s="58">
        <v>6.5250000000000004</v>
      </c>
      <c r="Q36" s="58">
        <f t="shared" si="8"/>
        <v>8.25</v>
      </c>
      <c r="T36" s="58">
        <v>5.4545454545454541</v>
      </c>
    </row>
    <row r="37" spans="2:20" ht="18">
      <c r="B37" s="41">
        <v>4</v>
      </c>
      <c r="C37" s="58">
        <f t="shared" si="6"/>
        <v>1.6</v>
      </c>
      <c r="F37" s="41">
        <v>4</v>
      </c>
      <c r="G37" s="58">
        <f t="shared" si="5"/>
        <v>5</v>
      </c>
      <c r="H37" s="58">
        <f t="shared" si="9"/>
        <v>3.6363636363636362</v>
      </c>
      <c r="N37" s="58">
        <v>5</v>
      </c>
      <c r="O37" s="58">
        <f t="shared" si="7"/>
        <v>4.3499999999999996</v>
      </c>
      <c r="P37" s="58">
        <v>4.3499999999999996</v>
      </c>
      <c r="Q37" s="58">
        <f t="shared" si="8"/>
        <v>5.5</v>
      </c>
      <c r="T37" s="58">
        <v>3.6363636363636362</v>
      </c>
    </row>
    <row r="38" spans="2:20" ht="18">
      <c r="B38" s="41">
        <v>2</v>
      </c>
      <c r="C38" s="58">
        <f t="shared" si="6"/>
        <v>0.8</v>
      </c>
      <c r="F38" s="41">
        <v>2</v>
      </c>
      <c r="G38" s="58">
        <f t="shared" si="5"/>
        <v>2.5</v>
      </c>
      <c r="H38" s="58">
        <f t="shared" si="9"/>
        <v>1.8181818181818181</v>
      </c>
      <c r="N38" s="58">
        <v>2.5</v>
      </c>
      <c r="O38" s="58">
        <f t="shared" si="7"/>
        <v>2.1749999999999998</v>
      </c>
      <c r="P38" s="58">
        <v>2.1749999999999998</v>
      </c>
      <c r="Q38" s="58">
        <f t="shared" si="8"/>
        <v>2.75</v>
      </c>
      <c r="T38" s="58">
        <v>1.8181818181818181</v>
      </c>
    </row>
    <row r="39" spans="2:20" ht="18">
      <c r="B39" s="41">
        <v>3</v>
      </c>
      <c r="C39" s="58">
        <f t="shared" si="6"/>
        <v>1.2000000000000002</v>
      </c>
      <c r="F39" s="41">
        <v>3</v>
      </c>
      <c r="G39" s="58">
        <f t="shared" si="5"/>
        <v>3.75</v>
      </c>
      <c r="H39" s="58">
        <f t="shared" si="9"/>
        <v>2.7272727272727271</v>
      </c>
      <c r="N39" s="58">
        <v>3.75</v>
      </c>
      <c r="O39" s="58">
        <f t="shared" si="7"/>
        <v>3.2625000000000002</v>
      </c>
      <c r="P39" s="58">
        <v>3.2625000000000002</v>
      </c>
      <c r="Q39" s="58">
        <f t="shared" si="8"/>
        <v>4.125</v>
      </c>
      <c r="T39" s="58">
        <v>2.7272727272727271</v>
      </c>
    </row>
    <row r="40" spans="2:20" ht="18">
      <c r="B40" s="41">
        <v>3</v>
      </c>
      <c r="C40" s="58">
        <f t="shared" si="6"/>
        <v>1.2000000000000002</v>
      </c>
      <c r="F40" s="41">
        <v>3</v>
      </c>
      <c r="G40" s="58">
        <f t="shared" si="5"/>
        <v>3.75</v>
      </c>
      <c r="H40" s="58">
        <f t="shared" si="9"/>
        <v>2.7272727272727271</v>
      </c>
      <c r="N40" s="58">
        <v>3.75</v>
      </c>
      <c r="O40" s="58">
        <f t="shared" si="7"/>
        <v>3.2625000000000002</v>
      </c>
      <c r="P40" s="58">
        <v>3.2625000000000002</v>
      </c>
      <c r="Q40" s="58">
        <f t="shared" si="8"/>
        <v>4.125</v>
      </c>
      <c r="T40" s="58">
        <v>2.7272727272727271</v>
      </c>
    </row>
    <row r="41" spans="2:20" ht="18">
      <c r="B41" s="41">
        <v>5</v>
      </c>
      <c r="C41" s="58">
        <f t="shared" si="6"/>
        <v>2</v>
      </c>
      <c r="F41" s="41">
        <v>5</v>
      </c>
      <c r="G41" s="58">
        <f t="shared" si="5"/>
        <v>6.25</v>
      </c>
      <c r="H41" s="58">
        <f t="shared" si="9"/>
        <v>4.545454545454545</v>
      </c>
      <c r="N41" s="58">
        <v>6.25</v>
      </c>
      <c r="O41" s="58">
        <f t="shared" si="7"/>
        <v>5.4375</v>
      </c>
      <c r="P41" s="58">
        <v>5.4375</v>
      </c>
      <c r="Q41" s="58">
        <f t="shared" si="8"/>
        <v>6.8750000000000009</v>
      </c>
      <c r="T41" s="58">
        <v>4.545454545454545</v>
      </c>
    </row>
    <row r="42" spans="2:20" ht="18">
      <c r="B42" s="41">
        <v>9</v>
      </c>
      <c r="C42" s="58">
        <f t="shared" si="6"/>
        <v>3.6</v>
      </c>
      <c r="F42" s="41">
        <v>9</v>
      </c>
      <c r="G42" s="58">
        <f t="shared" si="5"/>
        <v>11.25</v>
      </c>
      <c r="H42" s="58">
        <f t="shared" si="9"/>
        <v>8.1818181818181817</v>
      </c>
      <c r="N42" s="58">
        <v>11.25</v>
      </c>
      <c r="O42" s="58">
        <f t="shared" si="7"/>
        <v>9.7874999999999996</v>
      </c>
      <c r="P42" s="58">
        <v>9.7874999999999996</v>
      </c>
      <c r="Q42" s="58">
        <f t="shared" si="8"/>
        <v>12.375000000000002</v>
      </c>
      <c r="T42" s="58">
        <v>8.1818181818181817</v>
      </c>
    </row>
    <row r="43" spans="2:20" ht="18">
      <c r="B43" s="41">
        <v>9</v>
      </c>
      <c r="C43" s="58">
        <f t="shared" si="6"/>
        <v>3.6</v>
      </c>
      <c r="F43" s="41">
        <v>9</v>
      </c>
      <c r="G43" s="58">
        <f t="shared" si="5"/>
        <v>11.25</v>
      </c>
      <c r="H43" s="58">
        <f t="shared" si="9"/>
        <v>8.1818181818181817</v>
      </c>
      <c r="N43" s="58">
        <v>11.25</v>
      </c>
      <c r="O43" s="58">
        <f t="shared" si="7"/>
        <v>9.7874999999999996</v>
      </c>
      <c r="P43" s="58">
        <v>9.7874999999999996</v>
      </c>
      <c r="Q43" s="58">
        <f t="shared" si="8"/>
        <v>12.375000000000002</v>
      </c>
      <c r="T43" s="58">
        <v>8.1818181818181817</v>
      </c>
    </row>
    <row r="44" spans="2:20" ht="18">
      <c r="B44" s="41">
        <v>10</v>
      </c>
      <c r="C44" s="58">
        <f t="shared" si="6"/>
        <v>4</v>
      </c>
      <c r="F44" s="41">
        <v>10</v>
      </c>
      <c r="G44" s="58">
        <f t="shared" si="5"/>
        <v>12.5</v>
      </c>
      <c r="H44" s="58">
        <f t="shared" si="9"/>
        <v>9.0909090909090899</v>
      </c>
      <c r="N44" s="58">
        <v>12.5</v>
      </c>
      <c r="O44" s="58">
        <f t="shared" si="7"/>
        <v>10.875</v>
      </c>
      <c r="P44" s="58">
        <v>10.875</v>
      </c>
      <c r="Q44" s="58">
        <f t="shared" si="8"/>
        <v>13.750000000000002</v>
      </c>
      <c r="T44" s="58">
        <v>9.0909090909090899</v>
      </c>
    </row>
    <row r="45" spans="2:20" ht="18">
      <c r="B45" s="74">
        <v>3</v>
      </c>
      <c r="C45" s="58">
        <f t="shared" si="6"/>
        <v>1.2000000000000002</v>
      </c>
      <c r="F45" s="74">
        <v>3</v>
      </c>
      <c r="G45" s="58">
        <f t="shared" si="5"/>
        <v>3.75</v>
      </c>
      <c r="H45" s="58">
        <f t="shared" si="9"/>
        <v>2.7272727272727271</v>
      </c>
      <c r="N45" s="58">
        <v>3.75</v>
      </c>
      <c r="O45" s="58">
        <f t="shared" si="7"/>
        <v>3.2625000000000002</v>
      </c>
      <c r="P45" s="58">
        <v>3.2625000000000002</v>
      </c>
      <c r="Q45" s="58">
        <f t="shared" si="8"/>
        <v>4.125</v>
      </c>
      <c r="T45" s="58">
        <v>2.7272727272727271</v>
      </c>
    </row>
    <row r="46" spans="2:20" ht="18">
      <c r="B46" s="74">
        <v>3</v>
      </c>
      <c r="C46" s="58">
        <f t="shared" si="6"/>
        <v>1.2000000000000002</v>
      </c>
      <c r="F46" s="74">
        <v>3</v>
      </c>
      <c r="G46" s="58">
        <f t="shared" si="5"/>
        <v>3.75</v>
      </c>
      <c r="H46" s="58">
        <f t="shared" si="9"/>
        <v>2.7272727272727271</v>
      </c>
      <c r="N46" s="58">
        <v>3.75</v>
      </c>
      <c r="O46" s="58">
        <f t="shared" si="7"/>
        <v>3.2625000000000002</v>
      </c>
      <c r="P46" s="58">
        <v>3.2625000000000002</v>
      </c>
      <c r="Q46" s="58">
        <f t="shared" si="8"/>
        <v>4.125</v>
      </c>
      <c r="T46" s="58">
        <v>2.7272727272727271</v>
      </c>
    </row>
    <row r="47" spans="2:20" ht="18">
      <c r="B47" s="74">
        <v>15</v>
      </c>
      <c r="C47" s="58">
        <f t="shared" si="6"/>
        <v>6</v>
      </c>
      <c r="F47" s="74">
        <v>15</v>
      </c>
      <c r="G47" s="58">
        <f t="shared" si="5"/>
        <v>18.75</v>
      </c>
      <c r="H47" s="58">
        <f t="shared" si="9"/>
        <v>13.636363636363635</v>
      </c>
      <c r="N47" s="58">
        <v>18.75</v>
      </c>
      <c r="O47" s="58">
        <f t="shared" si="7"/>
        <v>16.3125</v>
      </c>
      <c r="P47" s="58">
        <v>16.3125</v>
      </c>
      <c r="Q47" s="58">
        <f t="shared" si="8"/>
        <v>20.625</v>
      </c>
      <c r="T47" s="58">
        <v>13.636363636363635</v>
      </c>
    </row>
    <row r="48" spans="2:20" ht="18">
      <c r="B48" s="74">
        <v>10</v>
      </c>
      <c r="C48" s="58">
        <f t="shared" si="6"/>
        <v>4</v>
      </c>
      <c r="F48" s="74">
        <v>10</v>
      </c>
      <c r="G48" s="58">
        <f t="shared" si="5"/>
        <v>12.5</v>
      </c>
      <c r="H48" s="58">
        <f t="shared" si="9"/>
        <v>9.0909090909090899</v>
      </c>
      <c r="N48" s="58">
        <v>12.5</v>
      </c>
      <c r="O48" s="58">
        <f t="shared" si="7"/>
        <v>10.875</v>
      </c>
      <c r="P48" s="58">
        <v>10.875</v>
      </c>
      <c r="Q48" s="58">
        <f t="shared" si="8"/>
        <v>13.750000000000002</v>
      </c>
      <c r="T48" s="58">
        <v>9.0909090909090899</v>
      </c>
    </row>
    <row r="49" spans="2:20" ht="18">
      <c r="B49" s="74">
        <v>3</v>
      </c>
      <c r="C49" s="58">
        <f t="shared" si="6"/>
        <v>1.2000000000000002</v>
      </c>
      <c r="F49" s="74">
        <v>3</v>
      </c>
      <c r="G49" s="58">
        <f t="shared" si="5"/>
        <v>3.75</v>
      </c>
      <c r="H49" s="58">
        <f t="shared" si="9"/>
        <v>2.7272727272727271</v>
      </c>
      <c r="N49" s="58">
        <v>3.75</v>
      </c>
      <c r="O49" s="58">
        <f t="shared" si="7"/>
        <v>3.2625000000000002</v>
      </c>
      <c r="P49" s="58">
        <v>3.2625000000000002</v>
      </c>
      <c r="Q49" s="58">
        <f t="shared" si="8"/>
        <v>4.125</v>
      </c>
      <c r="T49" s="58">
        <v>2.7272727272727271</v>
      </c>
    </row>
    <row r="50" spans="2:20" ht="18">
      <c r="B50" s="74">
        <v>3</v>
      </c>
      <c r="C50" s="58">
        <f t="shared" si="6"/>
        <v>1.2000000000000002</v>
      </c>
      <c r="F50" s="74">
        <v>3</v>
      </c>
      <c r="G50" s="58">
        <f t="shared" si="5"/>
        <v>3.75</v>
      </c>
      <c r="H50" s="58">
        <f t="shared" si="9"/>
        <v>2.7272727272727271</v>
      </c>
      <c r="N50" s="58">
        <v>3.75</v>
      </c>
      <c r="O50" s="58">
        <f t="shared" si="7"/>
        <v>3.2625000000000002</v>
      </c>
      <c r="P50" s="58">
        <v>3.2625000000000002</v>
      </c>
      <c r="Q50" s="58">
        <f t="shared" si="8"/>
        <v>4.125</v>
      </c>
      <c r="T50" s="58">
        <v>2.7272727272727271</v>
      </c>
    </row>
    <row r="51" spans="2:20" ht="18">
      <c r="B51" s="74">
        <v>100</v>
      </c>
      <c r="C51" s="58">
        <f t="shared" si="6"/>
        <v>40</v>
      </c>
      <c r="F51" s="74">
        <v>100</v>
      </c>
      <c r="G51" s="58">
        <f t="shared" si="5"/>
        <v>125</v>
      </c>
      <c r="H51" s="58">
        <f t="shared" si="9"/>
        <v>90.909090909090907</v>
      </c>
      <c r="N51" s="58">
        <v>125</v>
      </c>
      <c r="O51" s="58">
        <f t="shared" si="7"/>
        <v>108.75</v>
      </c>
      <c r="P51" s="58">
        <v>108.75</v>
      </c>
      <c r="Q51" s="58">
        <f t="shared" si="8"/>
        <v>137.5</v>
      </c>
      <c r="T51" s="58">
        <v>90.909090909090907</v>
      </c>
    </row>
    <row r="52" spans="2:20" ht="18">
      <c r="B52" s="74">
        <v>20</v>
      </c>
      <c r="C52" s="58">
        <f t="shared" si="6"/>
        <v>8</v>
      </c>
      <c r="F52" s="74">
        <v>20</v>
      </c>
      <c r="G52" s="58">
        <f t="shared" si="5"/>
        <v>25</v>
      </c>
      <c r="H52" s="58">
        <f t="shared" si="9"/>
        <v>18.18181818181818</v>
      </c>
      <c r="N52" s="58">
        <v>25</v>
      </c>
      <c r="O52" s="58">
        <f t="shared" si="7"/>
        <v>21.75</v>
      </c>
      <c r="P52" s="58">
        <v>21.75</v>
      </c>
      <c r="Q52" s="58">
        <f t="shared" si="8"/>
        <v>27.500000000000004</v>
      </c>
      <c r="T52" s="58">
        <v>18.18181818181818</v>
      </c>
    </row>
    <row r="53" spans="2:20" ht="18">
      <c r="B53" s="74">
        <v>40</v>
      </c>
      <c r="C53" s="58">
        <f t="shared" si="6"/>
        <v>16</v>
      </c>
      <c r="F53" s="74">
        <v>40</v>
      </c>
      <c r="G53" s="58">
        <f t="shared" si="5"/>
        <v>50</v>
      </c>
      <c r="H53" s="58">
        <f t="shared" si="9"/>
        <v>36.36363636363636</v>
      </c>
      <c r="N53" s="58">
        <v>50</v>
      </c>
      <c r="O53" s="58">
        <f t="shared" si="7"/>
        <v>43.5</v>
      </c>
      <c r="P53" s="58">
        <v>43.5</v>
      </c>
      <c r="Q53" s="58">
        <f t="shared" si="8"/>
        <v>55.000000000000007</v>
      </c>
      <c r="T53" s="58">
        <v>36.36363636363636</v>
      </c>
    </row>
    <row r="54" spans="2:20" ht="18">
      <c r="B54" s="74">
        <v>10</v>
      </c>
      <c r="C54" s="58">
        <f t="shared" si="6"/>
        <v>4</v>
      </c>
      <c r="F54" s="74">
        <v>10</v>
      </c>
      <c r="G54" s="58">
        <f t="shared" si="5"/>
        <v>12.5</v>
      </c>
      <c r="H54" s="58">
        <f t="shared" si="9"/>
        <v>9.0909090909090899</v>
      </c>
      <c r="N54" s="58">
        <v>12.5</v>
      </c>
      <c r="O54" s="58">
        <f t="shared" si="7"/>
        <v>10.875</v>
      </c>
      <c r="P54" s="58">
        <v>10.875</v>
      </c>
      <c r="Q54" s="58">
        <f t="shared" si="8"/>
        <v>13.750000000000002</v>
      </c>
      <c r="T54" s="58">
        <v>9.0909090909090899</v>
      </c>
    </row>
    <row r="55" spans="2:20" ht="18">
      <c r="B55" s="74">
        <v>50</v>
      </c>
      <c r="C55" s="58">
        <f t="shared" si="6"/>
        <v>20</v>
      </c>
      <c r="F55" s="74">
        <v>50</v>
      </c>
      <c r="G55" s="58">
        <f t="shared" si="5"/>
        <v>62.5</v>
      </c>
      <c r="H55" s="58">
        <f t="shared" si="9"/>
        <v>45.454545454545453</v>
      </c>
      <c r="N55" s="58">
        <v>62.5</v>
      </c>
      <c r="O55" s="58">
        <f t="shared" si="7"/>
        <v>54.375</v>
      </c>
      <c r="P55" s="58">
        <v>54.375</v>
      </c>
      <c r="Q55" s="58">
        <f t="shared" si="8"/>
        <v>68.75</v>
      </c>
      <c r="T55" s="58">
        <v>45.454545454545453</v>
      </c>
    </row>
    <row r="56" spans="2:20" ht="18">
      <c r="B56" s="74">
        <v>50</v>
      </c>
      <c r="C56" s="58">
        <f t="shared" si="6"/>
        <v>20</v>
      </c>
      <c r="F56" s="74">
        <v>50</v>
      </c>
      <c r="G56" s="58">
        <f t="shared" si="5"/>
        <v>62.5</v>
      </c>
      <c r="H56" s="58">
        <f t="shared" si="9"/>
        <v>45.454545454545453</v>
      </c>
      <c r="N56" s="58">
        <v>62.5</v>
      </c>
      <c r="O56" s="58">
        <f t="shared" si="7"/>
        <v>54.375</v>
      </c>
      <c r="P56" s="58">
        <v>54.375</v>
      </c>
      <c r="Q56" s="58">
        <f t="shared" si="8"/>
        <v>68.75</v>
      </c>
      <c r="T56" s="58">
        <v>45.454545454545453</v>
      </c>
    </row>
    <row r="57" spans="2:20" ht="18">
      <c r="B57" s="74">
        <v>100</v>
      </c>
      <c r="C57" s="58">
        <f t="shared" si="6"/>
        <v>40</v>
      </c>
      <c r="F57" s="74">
        <v>100</v>
      </c>
      <c r="G57" s="58">
        <f t="shared" si="5"/>
        <v>125</v>
      </c>
      <c r="H57" s="58">
        <f t="shared" si="9"/>
        <v>90.909090909090907</v>
      </c>
      <c r="N57" s="58">
        <v>125</v>
      </c>
      <c r="O57" s="58">
        <f t="shared" si="7"/>
        <v>108.75</v>
      </c>
      <c r="P57" s="58">
        <v>108.75</v>
      </c>
      <c r="Q57" s="58">
        <f t="shared" si="8"/>
        <v>137.5</v>
      </c>
      <c r="T57" s="58">
        <v>90.909090909090907</v>
      </c>
    </row>
    <row r="58" spans="2:20" ht="18">
      <c r="B58" s="74">
        <v>100</v>
      </c>
      <c r="C58" s="58">
        <f t="shared" si="6"/>
        <v>40</v>
      </c>
      <c r="F58" s="74">
        <v>100</v>
      </c>
      <c r="G58" s="58">
        <f t="shared" si="5"/>
        <v>125</v>
      </c>
      <c r="H58" s="58">
        <f t="shared" si="9"/>
        <v>90.909090909090907</v>
      </c>
      <c r="N58" s="58">
        <v>125</v>
      </c>
      <c r="O58" s="58">
        <f t="shared" si="7"/>
        <v>108.75</v>
      </c>
      <c r="P58" s="58">
        <v>108.75</v>
      </c>
      <c r="Q58" s="58">
        <f t="shared" si="8"/>
        <v>137.5</v>
      </c>
      <c r="T58" s="58">
        <v>90.909090909090907</v>
      </c>
    </row>
    <row r="59" spans="2:20" ht="18">
      <c r="B59" s="74">
        <v>100</v>
      </c>
      <c r="C59" s="58">
        <f t="shared" si="6"/>
        <v>40</v>
      </c>
      <c r="F59" s="74">
        <v>100</v>
      </c>
      <c r="G59" s="58">
        <f t="shared" si="5"/>
        <v>125</v>
      </c>
      <c r="H59" s="58">
        <f t="shared" si="9"/>
        <v>90.909090909090907</v>
      </c>
      <c r="N59" s="58">
        <v>125</v>
      </c>
      <c r="O59" s="58">
        <f t="shared" si="7"/>
        <v>108.75</v>
      </c>
      <c r="P59" s="58">
        <v>108.75</v>
      </c>
      <c r="Q59" s="58">
        <f t="shared" si="8"/>
        <v>137.5</v>
      </c>
      <c r="T59" s="58">
        <v>90.909090909090907</v>
      </c>
    </row>
    <row r="60" spans="2:20" ht="18">
      <c r="B60" s="74">
        <v>100</v>
      </c>
      <c r="C60" s="58">
        <f t="shared" si="6"/>
        <v>40</v>
      </c>
      <c r="F60" s="74"/>
      <c r="G60" s="58">
        <v>25</v>
      </c>
      <c r="H60" s="58">
        <f t="shared" si="9"/>
        <v>0</v>
      </c>
      <c r="N60" s="58">
        <v>25</v>
      </c>
      <c r="O60" s="58">
        <f t="shared" si="7"/>
        <v>21.75</v>
      </c>
      <c r="P60" s="58">
        <v>21.75</v>
      </c>
      <c r="Q60" s="58">
        <f t="shared" si="8"/>
        <v>27.500000000000004</v>
      </c>
      <c r="T60" s="58">
        <v>0</v>
      </c>
    </row>
    <row r="61" spans="2:20" ht="18">
      <c r="F61" s="74"/>
      <c r="G61" s="58">
        <v>25</v>
      </c>
      <c r="H61" s="58">
        <f t="shared" si="9"/>
        <v>0</v>
      </c>
      <c r="N61" s="58">
        <v>25</v>
      </c>
      <c r="O61" s="58">
        <f t="shared" si="7"/>
        <v>21.75</v>
      </c>
      <c r="P61" s="58">
        <v>21.75</v>
      </c>
      <c r="Q61" s="58">
        <f t="shared" si="8"/>
        <v>27.500000000000004</v>
      </c>
      <c r="T61" s="58">
        <v>0</v>
      </c>
    </row>
    <row r="62" spans="2:20" ht="18">
      <c r="F62" s="74">
        <v>100</v>
      </c>
      <c r="G62" s="58">
        <f>F62/0.8</f>
        <v>125</v>
      </c>
      <c r="H62" s="58">
        <f t="shared" si="9"/>
        <v>90.909090909090907</v>
      </c>
      <c r="N62" s="58">
        <v>125</v>
      </c>
      <c r="O62" s="58">
        <f t="shared" si="7"/>
        <v>108.75</v>
      </c>
      <c r="P62" s="58">
        <v>108.75</v>
      </c>
      <c r="Q62" s="58">
        <f t="shared" si="8"/>
        <v>137.5</v>
      </c>
      <c r="T62" s="58">
        <v>90.909090909090907</v>
      </c>
    </row>
    <row r="63" spans="2:20" ht="18">
      <c r="N63" s="74">
        <v>5</v>
      </c>
      <c r="O63" s="58">
        <f t="shared" si="7"/>
        <v>4.3499999999999996</v>
      </c>
      <c r="P63" s="58">
        <v>4.3499999999999996</v>
      </c>
      <c r="Q63" s="58">
        <f t="shared" si="8"/>
        <v>5.5</v>
      </c>
    </row>
    <row r="64" spans="2:20" ht="18">
      <c r="N64" s="74">
        <v>5</v>
      </c>
      <c r="O64" s="58">
        <f t="shared" si="7"/>
        <v>4.3499999999999996</v>
      </c>
      <c r="P64" s="58">
        <v>4.3499999999999996</v>
      </c>
      <c r="Q64" s="58">
        <f t="shared" si="8"/>
        <v>5.5</v>
      </c>
    </row>
    <row r="65" spans="14:17" ht="18">
      <c r="N65" s="74">
        <v>5</v>
      </c>
      <c r="O65" s="58">
        <f t="shared" si="7"/>
        <v>4.3499999999999996</v>
      </c>
      <c r="P65" s="58">
        <v>4.3499999999999996</v>
      </c>
      <c r="Q65" s="58">
        <f t="shared" si="8"/>
        <v>5.5</v>
      </c>
    </row>
    <row r="66" spans="14:17" ht="18">
      <c r="N66" s="74">
        <v>5</v>
      </c>
      <c r="O66" s="58">
        <f t="shared" si="7"/>
        <v>4.3499999999999996</v>
      </c>
      <c r="P66" s="58">
        <v>4.3499999999999996</v>
      </c>
      <c r="Q66" s="58">
        <f t="shared" si="8"/>
        <v>5.5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2024_Ушаков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License Wabco</cp:lastModifiedBy>
  <cp:revision>42</cp:revision>
  <dcterms:created xsi:type="dcterms:W3CDTF">2015-06-05T18:19:34Z</dcterms:created>
  <dcterms:modified xsi:type="dcterms:W3CDTF">2026-06-08T13:14:25Z</dcterms:modified>
</cp:coreProperties>
</file>